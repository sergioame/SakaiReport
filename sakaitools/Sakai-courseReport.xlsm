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 yWindow="465" windowWidth="11790" windowHeight="5130" tabRatio="811" firstSheet="5" activeTab="13"/>
  </bookViews>
  <sheets>
    <sheet name="Summary" sheetId="15" r:id="rId1"/>
    <sheet name="Status" sheetId="10" r:id="rId2"/>
    <sheet name="Summary-Forum" sheetId="2" r:id="rId3"/>
    <sheet name="Summary-Visits" sheetId="9" r:id="rId4"/>
    <sheet name="Data-Submits" sheetId="16" r:id="rId5"/>
    <sheet name="Data-Assigns" sheetId="11" r:id="rId6"/>
    <sheet name="Data-Forums" sheetId="1" r:id="rId7"/>
    <sheet name="Data-Faculty" sheetId="4" r:id="rId8"/>
    <sheet name="Data-SiteVisits" sheetId="8" r:id="rId9"/>
    <sheet name="Submissions" sheetId="14" r:id="rId10"/>
    <sheet name="Assignments" sheetId="13" r:id="rId11"/>
    <sheet name="Roster" sheetId="7" r:id="rId12"/>
    <sheet name="Forum Statistics" sheetId="12" r:id="rId13"/>
    <sheet name="Notes" sheetId="3" r:id="rId14"/>
    <sheet name="Reports" sheetId="5" r:id="rId15"/>
    <sheet name="Data" sheetId="6" r:id="rId16"/>
  </sheets>
  <functionGroups builtInGroupCount="17"/>
  <definedNames>
    <definedName name="_xlnm._FilterDatabase" localSheetId="6" hidden="1">'Data-Forums'!$B$9:$B$484</definedName>
    <definedName name="a1Total">'Data-Assigns'!$O$10</definedName>
    <definedName name="a2Total">'Data-Assigns'!$Q$10</definedName>
    <definedName name="a3Total">'Data-Assigns'!$S$10</definedName>
    <definedName name="a4Total">'Data-Assigns'!$U$10</definedName>
    <definedName name="aMax">Status!$41:$41</definedName>
    <definedName name="AsgnData" localSheetId="5">'Data-Assigns'!$D:$K</definedName>
    <definedName name="AsgnHdRows" localSheetId="5">'Data-Assigns'!$7:$10</definedName>
    <definedName name="AsgnNames" localSheetId="10">Assignments!$B:$B</definedName>
    <definedName name="asnData" localSheetId="5">'Data-Assigns'!$11:$19</definedName>
    <definedName name="asnNames" localSheetId="5">'Data-Assigns'!$7:$7</definedName>
    <definedName name="asnNames" localSheetId="9">Submissions!$7:$7</definedName>
    <definedName name="asnRep">'Data-Assigns'!$6:$6</definedName>
    <definedName name="assign" localSheetId="9">Submissions!$C:$C</definedName>
    <definedName name="AssignData">'Data-Assigns'!$11:$37</definedName>
    <definedName name="count">'Data-Forums'!$E:$E</definedName>
    <definedName name="CourseEnd">Summary!$D$5</definedName>
    <definedName name="CourseName">Summary!$D$3</definedName>
    <definedName name="CourseStart">Summary!$D$4</definedName>
    <definedName name="cTotal">'Data-Assigns'!$O$10</definedName>
    <definedName name="Data" localSheetId="10">Assignments!$6:$13</definedName>
    <definedName name="Data" localSheetId="5">'Data-Assigns'!$11:$27</definedName>
    <definedName name="data" localSheetId="6">'Data-Forums'!$9:$600</definedName>
    <definedName name="Data" localSheetId="8">'Data-SiteVisits'!$B:$F</definedName>
    <definedName name="Data" localSheetId="9">Submissions!$6:$670</definedName>
    <definedName name="data">'Data-Forums'!$8:$601</definedName>
    <definedName name="Data_Update" localSheetId="10">Assignments!$C$2</definedName>
    <definedName name="Data_Update" localSheetId="5">'Data-Assigns'!$C$4</definedName>
    <definedName name="Data_Update" localSheetId="9">Submissions!$D$2</definedName>
    <definedName name="date" localSheetId="6">'Data-Forums'!$D:$D</definedName>
    <definedName name="date">'Data-SiteVisits'!$E:$E</definedName>
    <definedName name="Event">'Data-Forums'!$C:$C</definedName>
    <definedName name="_xlnm.Extract" localSheetId="2">'Summary-Forum'!$C$56</definedName>
    <definedName name="facCount">'Data-Faculty'!$E:$E</definedName>
    <definedName name="facData">'Data-Faculty'!$8:$11</definedName>
    <definedName name="facEvent">'Data-Faculty'!$C:$C</definedName>
    <definedName name="FacultyUpdate" localSheetId="7">'Data-Faculty'!$B$4</definedName>
    <definedName name="facWeek">'Data-Faculty'!$F:$F</definedName>
    <definedName name="fCols" localSheetId="7">'Data-Faculty'!$A:$E</definedName>
    <definedName name="fCount">'Summary-Forum'!$B$54</definedName>
    <definedName name="fData" localSheetId="10">Assignments!$B:$E</definedName>
    <definedName name="fData" localSheetId="7">'Data-Faculty'!$9:$10</definedName>
    <definedName name="fData" localSheetId="6">'Data-Forums'!$A:$E</definedName>
    <definedName name="fData" localSheetId="9">Submissions!$B:$F</definedName>
    <definedName name="ForumData">'Summary-Forum'!$26:$52</definedName>
    <definedName name="ForumsUpdate">'Data-Forums'!$B$4</definedName>
    <definedName name="fTot">'Summary-Forum'!$S:$S</definedName>
    <definedName name="fWeek">'Summary-Forum'!$25:$25</definedName>
    <definedName name="fweeks">'Summary-Forum'!$D:$S</definedName>
    <definedName name="grade" localSheetId="9">Submissions!$F:$F</definedName>
    <definedName name="id">'Data-SiteVisits'!$B:$B</definedName>
    <definedName name="name" localSheetId="1">Status!$B:$B</definedName>
    <definedName name="name" localSheetId="9">Submissions!$B:$B</definedName>
    <definedName name="name">'Data-Forums'!$B:$B</definedName>
    <definedName name="names" localSheetId="5">'Data-Assigns'!$C:$C</definedName>
    <definedName name="names" localSheetId="9">Submissions!$C:$C</definedName>
    <definedName name="namez">'Data-Forums'!$B$9:$B$484</definedName>
    <definedName name="qName">'Summary-Forum'!$U$4</definedName>
    <definedName name="qType">'Summary-Forum'!$60:$60</definedName>
    <definedName name="rCols" localSheetId="11">Roster!$C:$F</definedName>
    <definedName name="rCount">Roster!$D$4</definedName>
    <definedName name="rData" localSheetId="11">Roster!$8:$34</definedName>
    <definedName name="rename" localSheetId="8">'Data-SiteVisits'!$H:$H</definedName>
    <definedName name="Report_Date">Summary!$D$6</definedName>
    <definedName name="ReportWeeks">Status!$7:$7</definedName>
    <definedName name="rName">Roster!$C:$C</definedName>
    <definedName name="rosterUpdate">Roster!$D$3</definedName>
    <definedName name="scount">'Summary-Visits'!$B$36</definedName>
    <definedName name="sData">'Summary-Visits'!$7:$35</definedName>
    <definedName name="sfLabels">'Data-Forums'!$A$7:$E$7</definedName>
    <definedName name="sfName">'Summary-Visits'!$B:$B</definedName>
    <definedName name="sName" localSheetId="4">'Data-Submits'!$C:$C</definedName>
    <definedName name="sName" localSheetId="3">'Summary-Visits'!$B:$B</definedName>
    <definedName name="sname">'Summary-Forum'!$B:$B</definedName>
    <definedName name="sNames">'Summary-Forum'!$26:$34</definedName>
    <definedName name="start">Summary!$D$4</definedName>
    <definedName name="StatCount">Status!$B$39</definedName>
    <definedName name="Status">Summary!$G$4</definedName>
    <definedName name="StatusCols">Status!$A:$AC</definedName>
    <definedName name="statusData">Status!$11:$37</definedName>
    <definedName name="sTot">'Summary-Visits'!$S:$S</definedName>
    <definedName name="subDate" localSheetId="9">Submissions!$E:$E</definedName>
    <definedName name="subName">'Data-Submits'!$B:$B</definedName>
    <definedName name="svWeek">'Summary-Visits'!$6:$6</definedName>
    <definedName name="svWeeks">'Summary-Visits'!$C:$R</definedName>
    <definedName name="sWeek" localSheetId="4">'Data-Submits'!$5:$5</definedName>
    <definedName name="sWeek" localSheetId="9">Submissions!$G:$G</definedName>
    <definedName name="sweek">'Summary-Forum'!$25:$25</definedName>
    <definedName name="test">'Data-Forums'!$9:$484</definedName>
    <definedName name="Total">'Data-Assigns'!$L$10</definedName>
    <definedName name="type">'Summary-Forum'!$4:$4</definedName>
    <definedName name="vCols" localSheetId="8">'Data-SiteVisits'!$B:$F</definedName>
    <definedName name="vCount">'Data-SiteVisits'!$F:$F</definedName>
    <definedName name="vdata">'Data-SiteVisits'!$9:$3758</definedName>
    <definedName name="VisitData">'Summary-Visits'!$8:$34</definedName>
    <definedName name="VisitsUpdate">'Data-SiteVisits'!$C$4</definedName>
    <definedName name="vName">'Data-SiteVisits'!$C:$C</definedName>
    <definedName name="vNames">'Summary-Visits'!$8:$35</definedName>
    <definedName name="vWeek">'Data-SiteVisits'!$G:$G</definedName>
    <definedName name="week">'Data-Forums'!$F:$F</definedName>
    <definedName name="when">'Summary-Forum'!$B:$B</definedName>
  </definedNames>
  <calcPr calcId="145621"/>
</workbook>
</file>

<file path=xl/calcChain.xml><?xml version="1.0" encoding="utf-8"?>
<calcChain xmlns="http://schemas.openxmlformats.org/spreadsheetml/2006/main">
  <c r="D1" i="15" l="1"/>
  <c r="A1" i="4" l="1"/>
  <c r="I3758" i="8" l="1"/>
  <c r="G3758" i="8"/>
  <c r="I3757" i="8"/>
  <c r="G3757" i="8"/>
  <c r="I3756" i="8"/>
  <c r="G3756" i="8"/>
  <c r="I3755" i="8"/>
  <c r="G3755" i="8"/>
  <c r="I3754" i="8"/>
  <c r="G3754" i="8"/>
  <c r="I3753" i="8"/>
  <c r="G3753" i="8"/>
  <c r="I3752" i="8"/>
  <c r="G3752" i="8"/>
  <c r="I3751" i="8"/>
  <c r="G3751" i="8"/>
  <c r="I3750" i="8"/>
  <c r="G3750" i="8"/>
  <c r="I3749" i="8"/>
  <c r="G3749" i="8"/>
  <c r="I3748" i="8"/>
  <c r="G3748" i="8"/>
  <c r="I3747" i="8"/>
  <c r="G3747" i="8"/>
  <c r="I3746" i="8"/>
  <c r="G3746" i="8"/>
  <c r="I3745" i="8"/>
  <c r="G3745" i="8"/>
  <c r="I3744" i="8"/>
  <c r="G3744" i="8"/>
  <c r="I3743" i="8"/>
  <c r="G3743" i="8"/>
  <c r="I3742" i="8"/>
  <c r="G3742" i="8"/>
  <c r="I3741" i="8"/>
  <c r="G3741" i="8"/>
  <c r="I3740" i="8"/>
  <c r="G3740" i="8"/>
  <c r="I3739" i="8"/>
  <c r="G3739" i="8"/>
  <c r="I3738" i="8"/>
  <c r="G3738" i="8"/>
  <c r="I3737" i="8"/>
  <c r="G3737" i="8"/>
  <c r="I3736" i="8"/>
  <c r="G3736" i="8"/>
  <c r="I3735" i="8"/>
  <c r="G3735" i="8"/>
  <c r="I3734" i="8"/>
  <c r="G3734" i="8"/>
  <c r="I3733" i="8"/>
  <c r="G3733" i="8"/>
  <c r="I3732" i="8"/>
  <c r="G3732" i="8"/>
  <c r="I3731" i="8"/>
  <c r="G3731" i="8"/>
  <c r="I3730" i="8"/>
  <c r="G3730" i="8"/>
  <c r="I3729" i="8"/>
  <c r="G3729" i="8"/>
  <c r="I3728" i="8"/>
  <c r="G3728" i="8"/>
  <c r="I3727" i="8"/>
  <c r="G3727" i="8"/>
  <c r="I3726" i="8"/>
  <c r="G3726" i="8"/>
  <c r="I3725" i="8"/>
  <c r="G3725" i="8"/>
  <c r="I3724" i="8"/>
  <c r="G3724" i="8"/>
  <c r="I3723" i="8"/>
  <c r="G3723" i="8"/>
  <c r="I3722" i="8"/>
  <c r="G3722" i="8"/>
  <c r="I3721" i="8"/>
  <c r="G3721" i="8"/>
  <c r="I3720" i="8"/>
  <c r="G3720" i="8"/>
  <c r="I3719" i="8"/>
  <c r="G3719" i="8"/>
  <c r="I3718" i="8"/>
  <c r="G3718" i="8"/>
  <c r="I3717" i="8"/>
  <c r="G3717" i="8"/>
  <c r="I3716" i="8"/>
  <c r="G3716" i="8"/>
  <c r="I3715" i="8"/>
  <c r="G3715" i="8"/>
  <c r="I3714" i="8"/>
  <c r="G3714" i="8"/>
  <c r="I3713" i="8"/>
  <c r="G3713" i="8"/>
  <c r="I3712" i="8"/>
  <c r="G3712" i="8"/>
  <c r="I3711" i="8"/>
  <c r="G3711" i="8"/>
  <c r="I3710" i="8"/>
  <c r="G3710" i="8"/>
  <c r="I3709" i="8"/>
  <c r="G3709" i="8"/>
  <c r="I3708" i="8"/>
  <c r="G3708" i="8"/>
  <c r="I3707" i="8"/>
  <c r="G3707" i="8"/>
  <c r="I3706" i="8"/>
  <c r="G3706" i="8"/>
  <c r="I3705" i="8"/>
  <c r="G3705" i="8"/>
  <c r="I3704" i="8"/>
  <c r="G3704" i="8"/>
  <c r="I3703" i="8"/>
  <c r="G3703" i="8"/>
  <c r="I3702" i="8"/>
  <c r="G3702" i="8"/>
  <c r="I3701" i="8"/>
  <c r="G3701" i="8"/>
  <c r="I3700" i="8"/>
  <c r="G3700" i="8"/>
  <c r="I3699" i="8"/>
  <c r="G3699" i="8"/>
  <c r="I3698" i="8"/>
  <c r="G3698" i="8"/>
  <c r="I3697" i="8"/>
  <c r="G3697" i="8"/>
  <c r="I3696" i="8"/>
  <c r="G3696" i="8"/>
  <c r="I3695" i="8"/>
  <c r="G3695" i="8"/>
  <c r="I3694" i="8"/>
  <c r="G3694" i="8"/>
  <c r="I3693" i="8"/>
  <c r="G3693" i="8"/>
  <c r="I3692" i="8"/>
  <c r="G3692" i="8"/>
  <c r="I3691" i="8"/>
  <c r="G3691" i="8"/>
  <c r="I3690" i="8"/>
  <c r="G3690" i="8"/>
  <c r="I3689" i="8"/>
  <c r="G3689" i="8"/>
  <c r="I3688" i="8"/>
  <c r="G3688" i="8"/>
  <c r="I3687" i="8"/>
  <c r="G3687" i="8"/>
  <c r="I3686" i="8"/>
  <c r="G3686" i="8"/>
  <c r="I3685" i="8"/>
  <c r="G3685" i="8"/>
  <c r="I3684" i="8"/>
  <c r="G3684" i="8"/>
  <c r="I3683" i="8"/>
  <c r="G3683" i="8"/>
  <c r="I3682" i="8"/>
  <c r="G3682" i="8"/>
  <c r="I3681" i="8"/>
  <c r="G3681" i="8"/>
  <c r="I3680" i="8"/>
  <c r="G3680" i="8"/>
  <c r="I3679" i="8"/>
  <c r="G3679" i="8"/>
  <c r="I3678" i="8"/>
  <c r="G3678" i="8"/>
  <c r="I3677" i="8"/>
  <c r="G3677" i="8"/>
  <c r="I3676" i="8"/>
  <c r="G3676" i="8"/>
  <c r="I3675" i="8"/>
  <c r="G3675" i="8"/>
  <c r="I3674" i="8"/>
  <c r="G3674" i="8"/>
  <c r="I3673" i="8"/>
  <c r="G3673" i="8"/>
  <c r="I3672" i="8"/>
  <c r="G3672" i="8"/>
  <c r="I3671" i="8"/>
  <c r="G3671" i="8"/>
  <c r="I3670" i="8"/>
  <c r="G3670" i="8"/>
  <c r="I3669" i="8"/>
  <c r="G3669" i="8"/>
  <c r="I3668" i="8"/>
  <c r="G3668" i="8"/>
  <c r="I3667" i="8"/>
  <c r="G3667" i="8"/>
  <c r="I3666" i="8"/>
  <c r="G3666" i="8"/>
  <c r="I3665" i="8"/>
  <c r="G3665" i="8"/>
  <c r="I3664" i="8"/>
  <c r="G3664" i="8"/>
  <c r="I3663" i="8"/>
  <c r="G3663" i="8"/>
  <c r="I3662" i="8"/>
  <c r="G3662" i="8"/>
  <c r="I3661" i="8"/>
  <c r="G3661" i="8"/>
  <c r="I3660" i="8"/>
  <c r="G3660" i="8"/>
  <c r="I3659" i="8"/>
  <c r="G3659" i="8"/>
  <c r="I3658" i="8"/>
  <c r="G3658" i="8"/>
  <c r="I3657" i="8"/>
  <c r="G3657" i="8"/>
  <c r="I3656" i="8"/>
  <c r="G3656" i="8"/>
  <c r="I3655" i="8"/>
  <c r="G3655" i="8"/>
  <c r="I3654" i="8"/>
  <c r="G3654" i="8"/>
  <c r="I3653" i="8"/>
  <c r="G3653" i="8"/>
  <c r="I3652" i="8"/>
  <c r="G3652" i="8"/>
  <c r="I3651" i="8"/>
  <c r="G3651" i="8"/>
  <c r="I3650" i="8"/>
  <c r="G3650" i="8"/>
  <c r="I3649" i="8"/>
  <c r="G3649" i="8"/>
  <c r="I3648" i="8"/>
  <c r="G3648" i="8"/>
  <c r="I3647" i="8"/>
  <c r="G3647" i="8"/>
  <c r="I3646" i="8"/>
  <c r="G3646" i="8"/>
  <c r="I3645" i="8"/>
  <c r="G3645" i="8"/>
  <c r="I3644" i="8"/>
  <c r="G3644" i="8"/>
  <c r="I3643" i="8"/>
  <c r="G3643" i="8"/>
  <c r="I3642" i="8"/>
  <c r="G3642" i="8"/>
  <c r="I3641" i="8"/>
  <c r="G3641" i="8"/>
  <c r="I3640" i="8"/>
  <c r="G3640" i="8"/>
  <c r="I3639" i="8"/>
  <c r="G3639" i="8"/>
  <c r="I3638" i="8"/>
  <c r="G3638" i="8"/>
  <c r="I3637" i="8"/>
  <c r="G3637" i="8"/>
  <c r="I3636" i="8"/>
  <c r="G3636" i="8"/>
  <c r="I3635" i="8"/>
  <c r="G3635" i="8"/>
  <c r="I3634" i="8"/>
  <c r="G3634" i="8"/>
  <c r="I3633" i="8"/>
  <c r="G3633" i="8"/>
  <c r="I3632" i="8"/>
  <c r="G3632" i="8"/>
  <c r="I3631" i="8"/>
  <c r="G3631" i="8"/>
  <c r="I3630" i="8"/>
  <c r="G3630" i="8"/>
  <c r="I3629" i="8"/>
  <c r="G3629" i="8"/>
  <c r="I3628" i="8"/>
  <c r="G3628" i="8"/>
  <c r="I3627" i="8"/>
  <c r="G3627" i="8"/>
  <c r="I3626" i="8"/>
  <c r="G3626" i="8"/>
  <c r="I3625" i="8"/>
  <c r="G3625" i="8"/>
  <c r="I3624" i="8"/>
  <c r="G3624" i="8"/>
  <c r="I3623" i="8"/>
  <c r="G3623" i="8"/>
  <c r="I3622" i="8"/>
  <c r="G3622" i="8"/>
  <c r="I3621" i="8"/>
  <c r="G3621" i="8"/>
  <c r="I3620" i="8"/>
  <c r="G3620" i="8"/>
  <c r="I3619" i="8"/>
  <c r="G3619" i="8"/>
  <c r="I3618" i="8"/>
  <c r="G3618" i="8"/>
  <c r="I3617" i="8"/>
  <c r="G3617" i="8"/>
  <c r="I3616" i="8"/>
  <c r="G3616" i="8"/>
  <c r="I3615" i="8"/>
  <c r="G3615" i="8"/>
  <c r="I3614" i="8"/>
  <c r="G3614" i="8"/>
  <c r="I3613" i="8"/>
  <c r="G3613" i="8"/>
  <c r="I3612" i="8"/>
  <c r="G3612" i="8"/>
  <c r="I3611" i="8"/>
  <c r="G3611" i="8"/>
  <c r="I3610" i="8"/>
  <c r="G3610" i="8"/>
  <c r="I3609" i="8"/>
  <c r="G3609" i="8"/>
  <c r="I3608" i="8"/>
  <c r="G3608" i="8"/>
  <c r="I3607" i="8"/>
  <c r="G3607" i="8"/>
  <c r="I3606" i="8"/>
  <c r="G3606" i="8"/>
  <c r="I3605" i="8"/>
  <c r="G3605" i="8"/>
  <c r="I3604" i="8"/>
  <c r="G3604" i="8"/>
  <c r="I3603" i="8"/>
  <c r="G3603" i="8"/>
  <c r="I3602" i="8"/>
  <c r="G3602" i="8"/>
  <c r="I3601" i="8"/>
  <c r="G3601" i="8"/>
  <c r="I3600" i="8"/>
  <c r="G3600" i="8"/>
  <c r="I3599" i="8"/>
  <c r="G3599" i="8"/>
  <c r="I3598" i="8"/>
  <c r="G3598" i="8"/>
  <c r="I3597" i="8"/>
  <c r="G3597" i="8"/>
  <c r="I3596" i="8"/>
  <c r="G3596" i="8"/>
  <c r="I3595" i="8"/>
  <c r="G3595" i="8"/>
  <c r="I3594" i="8"/>
  <c r="G3594" i="8"/>
  <c r="I3593" i="8"/>
  <c r="G3593" i="8"/>
  <c r="I3592" i="8"/>
  <c r="G3592" i="8"/>
  <c r="I3591" i="8"/>
  <c r="G3591" i="8"/>
  <c r="I3590" i="8"/>
  <c r="G3590" i="8"/>
  <c r="I3589" i="8"/>
  <c r="G3589" i="8"/>
  <c r="I3588" i="8"/>
  <c r="G3588" i="8"/>
  <c r="I3587" i="8"/>
  <c r="G3587" i="8"/>
  <c r="I3586" i="8"/>
  <c r="G3586" i="8"/>
  <c r="I3585" i="8"/>
  <c r="G3585" i="8"/>
  <c r="I3584" i="8"/>
  <c r="G3584" i="8"/>
  <c r="I3583" i="8"/>
  <c r="G3583" i="8"/>
  <c r="I3582" i="8"/>
  <c r="G3582" i="8"/>
  <c r="I3581" i="8"/>
  <c r="G3581" i="8"/>
  <c r="I3580" i="8"/>
  <c r="G3580" i="8"/>
  <c r="I3579" i="8"/>
  <c r="G3579" i="8"/>
  <c r="I3578" i="8"/>
  <c r="G3578" i="8"/>
  <c r="I3577" i="8"/>
  <c r="G3577" i="8"/>
  <c r="I3576" i="8"/>
  <c r="G3576" i="8"/>
  <c r="I3575" i="8"/>
  <c r="G3575" i="8"/>
  <c r="I3574" i="8"/>
  <c r="G3574" i="8"/>
  <c r="I3573" i="8"/>
  <c r="G3573" i="8"/>
  <c r="I3572" i="8"/>
  <c r="G3572" i="8"/>
  <c r="I3571" i="8"/>
  <c r="G3571" i="8"/>
  <c r="I3570" i="8"/>
  <c r="G3570" i="8"/>
  <c r="I3569" i="8"/>
  <c r="G3569" i="8"/>
  <c r="I3568" i="8"/>
  <c r="G3568" i="8"/>
  <c r="I3567" i="8"/>
  <c r="G3567" i="8"/>
  <c r="I3566" i="8"/>
  <c r="G3566" i="8"/>
  <c r="I3565" i="8"/>
  <c r="G3565" i="8"/>
  <c r="I3564" i="8"/>
  <c r="G3564" i="8"/>
  <c r="I3563" i="8"/>
  <c r="G3563" i="8"/>
  <c r="I3562" i="8"/>
  <c r="G3562" i="8"/>
  <c r="I3561" i="8"/>
  <c r="G3561" i="8"/>
  <c r="I3560" i="8"/>
  <c r="G3560" i="8"/>
  <c r="I3559" i="8"/>
  <c r="G3559" i="8"/>
  <c r="I3558" i="8"/>
  <c r="G3558" i="8"/>
  <c r="I3557" i="8"/>
  <c r="G3557" i="8"/>
  <c r="I3556" i="8"/>
  <c r="G3556" i="8"/>
  <c r="I3555" i="8"/>
  <c r="G3555" i="8"/>
  <c r="I3554" i="8"/>
  <c r="G3554" i="8"/>
  <c r="I3553" i="8"/>
  <c r="G3553" i="8"/>
  <c r="I3552" i="8"/>
  <c r="G3552" i="8"/>
  <c r="I3551" i="8"/>
  <c r="G3551" i="8"/>
  <c r="I3550" i="8"/>
  <c r="G3550" i="8"/>
  <c r="I3549" i="8"/>
  <c r="G3549" i="8"/>
  <c r="I3548" i="8"/>
  <c r="G3548" i="8"/>
  <c r="I3547" i="8"/>
  <c r="G3547" i="8"/>
  <c r="I3546" i="8"/>
  <c r="G3546" i="8"/>
  <c r="I3545" i="8"/>
  <c r="G3545" i="8"/>
  <c r="I3544" i="8"/>
  <c r="G3544" i="8"/>
  <c r="I3543" i="8"/>
  <c r="G3543" i="8"/>
  <c r="I3542" i="8"/>
  <c r="G3542" i="8"/>
  <c r="I3541" i="8"/>
  <c r="G3541" i="8"/>
  <c r="I3540" i="8"/>
  <c r="G3540" i="8"/>
  <c r="I3539" i="8"/>
  <c r="G3539" i="8"/>
  <c r="I3538" i="8"/>
  <c r="G3538" i="8"/>
  <c r="I3537" i="8"/>
  <c r="G3537" i="8"/>
  <c r="I3536" i="8"/>
  <c r="G3536" i="8"/>
  <c r="I3535" i="8"/>
  <c r="G3535" i="8"/>
  <c r="I3534" i="8"/>
  <c r="G3534" i="8"/>
  <c r="I3533" i="8"/>
  <c r="G3533" i="8"/>
  <c r="I3532" i="8"/>
  <c r="G3532" i="8"/>
  <c r="I3531" i="8"/>
  <c r="G3531" i="8"/>
  <c r="I3530" i="8"/>
  <c r="G3530" i="8"/>
  <c r="I3529" i="8"/>
  <c r="G3529" i="8"/>
  <c r="I3528" i="8"/>
  <c r="G3528" i="8"/>
  <c r="I3527" i="8"/>
  <c r="G3527" i="8"/>
  <c r="I3526" i="8"/>
  <c r="G3526" i="8"/>
  <c r="I3525" i="8"/>
  <c r="G3525" i="8"/>
  <c r="I3524" i="8"/>
  <c r="G3524" i="8"/>
  <c r="I3523" i="8"/>
  <c r="G3523" i="8"/>
  <c r="I3522" i="8"/>
  <c r="G3522" i="8"/>
  <c r="I3521" i="8"/>
  <c r="G3521" i="8"/>
  <c r="I3520" i="8"/>
  <c r="G3520" i="8"/>
  <c r="I3519" i="8"/>
  <c r="G3519" i="8"/>
  <c r="I3518" i="8"/>
  <c r="G3518" i="8"/>
  <c r="I3517" i="8"/>
  <c r="G3517" i="8"/>
  <c r="I3516" i="8"/>
  <c r="G3516" i="8"/>
  <c r="I3515" i="8"/>
  <c r="G3515" i="8"/>
  <c r="I3514" i="8"/>
  <c r="G3514" i="8"/>
  <c r="I3513" i="8"/>
  <c r="G3513" i="8"/>
  <c r="I3512" i="8"/>
  <c r="G3512" i="8"/>
  <c r="I3511" i="8"/>
  <c r="G3511" i="8"/>
  <c r="I3510" i="8"/>
  <c r="G3510" i="8"/>
  <c r="I3509" i="8"/>
  <c r="G3509" i="8"/>
  <c r="I3508" i="8"/>
  <c r="G3508" i="8"/>
  <c r="I3507" i="8"/>
  <c r="G3507" i="8"/>
  <c r="I3506" i="8"/>
  <c r="G3506" i="8"/>
  <c r="I3505" i="8"/>
  <c r="G3505" i="8"/>
  <c r="I3504" i="8"/>
  <c r="G3504" i="8"/>
  <c r="I3503" i="8"/>
  <c r="G3503" i="8"/>
  <c r="I3502" i="8"/>
  <c r="G3502" i="8"/>
  <c r="I3501" i="8"/>
  <c r="G3501" i="8"/>
  <c r="I3500" i="8"/>
  <c r="G3500" i="8"/>
  <c r="I3499" i="8"/>
  <c r="G3499" i="8"/>
  <c r="I3498" i="8"/>
  <c r="G3498" i="8"/>
  <c r="I3497" i="8"/>
  <c r="G3497" i="8"/>
  <c r="I3496" i="8"/>
  <c r="G3496" i="8"/>
  <c r="I3495" i="8"/>
  <c r="G3495" i="8"/>
  <c r="I3494" i="8"/>
  <c r="G3494" i="8"/>
  <c r="I3493" i="8"/>
  <c r="G3493" i="8"/>
  <c r="I3492" i="8"/>
  <c r="G3492" i="8"/>
  <c r="I3491" i="8"/>
  <c r="G3491" i="8"/>
  <c r="I3490" i="8"/>
  <c r="G3490" i="8"/>
  <c r="I3489" i="8"/>
  <c r="G3489" i="8"/>
  <c r="I3488" i="8"/>
  <c r="G3488" i="8"/>
  <c r="I3487" i="8"/>
  <c r="G3487" i="8"/>
  <c r="I3486" i="8"/>
  <c r="G3486" i="8"/>
  <c r="I3485" i="8"/>
  <c r="G3485" i="8"/>
  <c r="I3484" i="8"/>
  <c r="G3484" i="8"/>
  <c r="I3483" i="8"/>
  <c r="G3483" i="8"/>
  <c r="I3482" i="8"/>
  <c r="G3482" i="8"/>
  <c r="I3481" i="8"/>
  <c r="G3481" i="8"/>
  <c r="I3480" i="8"/>
  <c r="G3480" i="8"/>
  <c r="I3479" i="8"/>
  <c r="G3479" i="8"/>
  <c r="I3478" i="8"/>
  <c r="G3478" i="8"/>
  <c r="I3477" i="8"/>
  <c r="G3477" i="8"/>
  <c r="I3476" i="8"/>
  <c r="G3476" i="8"/>
  <c r="I3475" i="8"/>
  <c r="G3475" i="8"/>
  <c r="I3474" i="8"/>
  <c r="G3474" i="8"/>
  <c r="I3473" i="8"/>
  <c r="G3473" i="8"/>
  <c r="I3472" i="8"/>
  <c r="G3472" i="8"/>
  <c r="I3471" i="8"/>
  <c r="G3471" i="8"/>
  <c r="I3470" i="8"/>
  <c r="G3470" i="8"/>
  <c r="I3469" i="8"/>
  <c r="G3469" i="8"/>
  <c r="I3468" i="8"/>
  <c r="G3468" i="8"/>
  <c r="I3467" i="8"/>
  <c r="G3467" i="8"/>
  <c r="I3466" i="8"/>
  <c r="G3466" i="8"/>
  <c r="I3465" i="8"/>
  <c r="G3465" i="8"/>
  <c r="I3464" i="8"/>
  <c r="G3464" i="8"/>
  <c r="I3463" i="8"/>
  <c r="G3463" i="8"/>
  <c r="I3462" i="8"/>
  <c r="G3462" i="8"/>
  <c r="I3461" i="8"/>
  <c r="G3461" i="8"/>
  <c r="I3460" i="8"/>
  <c r="G3460" i="8"/>
  <c r="I3459" i="8"/>
  <c r="G3459" i="8"/>
  <c r="I3458" i="8"/>
  <c r="G3458" i="8"/>
  <c r="I3457" i="8"/>
  <c r="G3457" i="8"/>
  <c r="I3456" i="8"/>
  <c r="G3456" i="8"/>
  <c r="I3455" i="8"/>
  <c r="G3455" i="8"/>
  <c r="I3454" i="8"/>
  <c r="G3454" i="8"/>
  <c r="I3453" i="8"/>
  <c r="G3453" i="8"/>
  <c r="I3452" i="8"/>
  <c r="G3452" i="8"/>
  <c r="I3451" i="8"/>
  <c r="G3451" i="8"/>
  <c r="I3450" i="8"/>
  <c r="G3450" i="8"/>
  <c r="I3449" i="8"/>
  <c r="G3449" i="8"/>
  <c r="I3448" i="8"/>
  <c r="G3448" i="8"/>
  <c r="I3447" i="8"/>
  <c r="G3447" i="8"/>
  <c r="I3446" i="8"/>
  <c r="G3446" i="8"/>
  <c r="I3445" i="8"/>
  <c r="G3445" i="8"/>
  <c r="I3444" i="8"/>
  <c r="G3444" i="8"/>
  <c r="I3443" i="8"/>
  <c r="G3443" i="8"/>
  <c r="I3442" i="8"/>
  <c r="G3442" i="8"/>
  <c r="I3441" i="8"/>
  <c r="G3441" i="8"/>
  <c r="I3440" i="8"/>
  <c r="G3440" i="8"/>
  <c r="I3439" i="8"/>
  <c r="G3439" i="8"/>
  <c r="I3438" i="8"/>
  <c r="G3438" i="8"/>
  <c r="I3437" i="8"/>
  <c r="G3437" i="8"/>
  <c r="I3436" i="8"/>
  <c r="G3436" i="8"/>
  <c r="I3435" i="8"/>
  <c r="G3435" i="8"/>
  <c r="I3434" i="8"/>
  <c r="G3434" i="8"/>
  <c r="I3433" i="8"/>
  <c r="G3433" i="8"/>
  <c r="I3432" i="8"/>
  <c r="G3432" i="8"/>
  <c r="I3431" i="8"/>
  <c r="G3431" i="8"/>
  <c r="I3430" i="8"/>
  <c r="G3430" i="8"/>
  <c r="I3429" i="8"/>
  <c r="G3429" i="8"/>
  <c r="I3428" i="8"/>
  <c r="G3428" i="8"/>
  <c r="I3427" i="8"/>
  <c r="G3427" i="8"/>
  <c r="I3426" i="8"/>
  <c r="G3426" i="8"/>
  <c r="I3425" i="8"/>
  <c r="G3425" i="8"/>
  <c r="I3424" i="8"/>
  <c r="G3424" i="8"/>
  <c r="I3423" i="8"/>
  <c r="G3423" i="8"/>
  <c r="I3422" i="8"/>
  <c r="G3422" i="8"/>
  <c r="I3421" i="8"/>
  <c r="G3421" i="8"/>
  <c r="I3420" i="8"/>
  <c r="G3420" i="8"/>
  <c r="I3419" i="8"/>
  <c r="G3419" i="8"/>
  <c r="I3418" i="8"/>
  <c r="G3418" i="8"/>
  <c r="I3417" i="8"/>
  <c r="G3417" i="8"/>
  <c r="I3416" i="8"/>
  <c r="G3416" i="8"/>
  <c r="I3415" i="8"/>
  <c r="G3415" i="8"/>
  <c r="I3414" i="8"/>
  <c r="G3414" i="8"/>
  <c r="I3413" i="8"/>
  <c r="G3413" i="8"/>
  <c r="I3412" i="8"/>
  <c r="G3412" i="8"/>
  <c r="I3411" i="8"/>
  <c r="G3411" i="8"/>
  <c r="I3410" i="8"/>
  <c r="G3410" i="8"/>
  <c r="I3409" i="8"/>
  <c r="G3409" i="8"/>
  <c r="I3408" i="8"/>
  <c r="G3408" i="8"/>
  <c r="I3407" i="8"/>
  <c r="G3407" i="8"/>
  <c r="I3406" i="8"/>
  <c r="G3406" i="8"/>
  <c r="I3405" i="8"/>
  <c r="G3405" i="8"/>
  <c r="I3404" i="8"/>
  <c r="G3404" i="8"/>
  <c r="I3403" i="8"/>
  <c r="G3403" i="8"/>
  <c r="I3402" i="8"/>
  <c r="G3402" i="8"/>
  <c r="I3401" i="8"/>
  <c r="G3401" i="8"/>
  <c r="I3400" i="8"/>
  <c r="G3400" i="8"/>
  <c r="I3399" i="8"/>
  <c r="G3399" i="8"/>
  <c r="I3398" i="8"/>
  <c r="G3398" i="8"/>
  <c r="I3397" i="8"/>
  <c r="G3397" i="8"/>
  <c r="I3396" i="8"/>
  <c r="G3396" i="8"/>
  <c r="I3395" i="8"/>
  <c r="G3395" i="8"/>
  <c r="I3394" i="8"/>
  <c r="G3394" i="8"/>
  <c r="I3393" i="8"/>
  <c r="G3393" i="8"/>
  <c r="I3392" i="8"/>
  <c r="G3392" i="8"/>
  <c r="I3391" i="8"/>
  <c r="G3391" i="8"/>
  <c r="I3390" i="8"/>
  <c r="G3390" i="8"/>
  <c r="I3389" i="8"/>
  <c r="G3389" i="8"/>
  <c r="I3388" i="8"/>
  <c r="G3388" i="8"/>
  <c r="I3387" i="8"/>
  <c r="G3387" i="8"/>
  <c r="I3386" i="8"/>
  <c r="G3386" i="8"/>
  <c r="I3385" i="8"/>
  <c r="G3385" i="8"/>
  <c r="I3384" i="8"/>
  <c r="G3384" i="8"/>
  <c r="I3383" i="8"/>
  <c r="G3383" i="8"/>
  <c r="I3382" i="8"/>
  <c r="G3382" i="8"/>
  <c r="I3381" i="8"/>
  <c r="G3381" i="8"/>
  <c r="I3380" i="8"/>
  <c r="G3380" i="8"/>
  <c r="I3379" i="8"/>
  <c r="G3379" i="8"/>
  <c r="I3378" i="8"/>
  <c r="G3378" i="8"/>
  <c r="I3377" i="8"/>
  <c r="G3377" i="8"/>
  <c r="I3376" i="8"/>
  <c r="G3376" i="8"/>
  <c r="I3375" i="8"/>
  <c r="G3375" i="8"/>
  <c r="I3374" i="8"/>
  <c r="G3374" i="8"/>
  <c r="I3373" i="8"/>
  <c r="G3373" i="8"/>
  <c r="I3372" i="8"/>
  <c r="G3372" i="8"/>
  <c r="I3371" i="8"/>
  <c r="G3371" i="8"/>
  <c r="I3370" i="8"/>
  <c r="G3370" i="8"/>
  <c r="I3369" i="8"/>
  <c r="G3369" i="8"/>
  <c r="I3368" i="8"/>
  <c r="G3368" i="8"/>
  <c r="I3367" i="8"/>
  <c r="G3367" i="8"/>
  <c r="I3366" i="8"/>
  <c r="G3366" i="8"/>
  <c r="I3365" i="8"/>
  <c r="G3365" i="8"/>
  <c r="I3364" i="8"/>
  <c r="G3364" i="8"/>
  <c r="I3363" i="8"/>
  <c r="G3363" i="8"/>
  <c r="I3362" i="8"/>
  <c r="G3362" i="8"/>
  <c r="I3361" i="8"/>
  <c r="G3361" i="8"/>
  <c r="I3360" i="8"/>
  <c r="G3360" i="8"/>
  <c r="I3359" i="8"/>
  <c r="G3359" i="8"/>
  <c r="I3358" i="8"/>
  <c r="G3358" i="8"/>
  <c r="I3357" i="8"/>
  <c r="G3357" i="8"/>
  <c r="I3356" i="8"/>
  <c r="G3356" i="8"/>
  <c r="I3355" i="8"/>
  <c r="G3355" i="8"/>
  <c r="I3354" i="8"/>
  <c r="G3354" i="8"/>
  <c r="I3353" i="8"/>
  <c r="G3353" i="8"/>
  <c r="I3352" i="8"/>
  <c r="G3352" i="8"/>
  <c r="I3351" i="8"/>
  <c r="G3351" i="8"/>
  <c r="I3350" i="8"/>
  <c r="G3350" i="8"/>
  <c r="I3349" i="8"/>
  <c r="G3349" i="8"/>
  <c r="I3348" i="8"/>
  <c r="G3348" i="8"/>
  <c r="I3347" i="8"/>
  <c r="G3347" i="8"/>
  <c r="I3346" i="8"/>
  <c r="G3346" i="8"/>
  <c r="I3345" i="8"/>
  <c r="G3345" i="8"/>
  <c r="I3344" i="8"/>
  <c r="G3344" i="8"/>
  <c r="I3343" i="8"/>
  <c r="G3343" i="8"/>
  <c r="I3342" i="8"/>
  <c r="G3342" i="8"/>
  <c r="I3341" i="8"/>
  <c r="G3341" i="8"/>
  <c r="I3340" i="8"/>
  <c r="G3340" i="8"/>
  <c r="I3339" i="8"/>
  <c r="G3339" i="8"/>
  <c r="I3338" i="8"/>
  <c r="G3338" i="8"/>
  <c r="I3337" i="8"/>
  <c r="G3337" i="8"/>
  <c r="I3336" i="8"/>
  <c r="G3336" i="8"/>
  <c r="I3335" i="8"/>
  <c r="G3335" i="8"/>
  <c r="I3334" i="8"/>
  <c r="G3334" i="8"/>
  <c r="I3333" i="8"/>
  <c r="G3333" i="8"/>
  <c r="I3332" i="8"/>
  <c r="G3332" i="8"/>
  <c r="I3331" i="8"/>
  <c r="G3331" i="8"/>
  <c r="I3330" i="8"/>
  <c r="G3330" i="8"/>
  <c r="I3329" i="8"/>
  <c r="G3329" i="8"/>
  <c r="I3328" i="8"/>
  <c r="G3328" i="8"/>
  <c r="I3327" i="8"/>
  <c r="G3327" i="8"/>
  <c r="I3326" i="8"/>
  <c r="G3326" i="8"/>
  <c r="I3325" i="8"/>
  <c r="G3325" i="8"/>
  <c r="I3324" i="8"/>
  <c r="G3324" i="8"/>
  <c r="I3323" i="8"/>
  <c r="G3323" i="8"/>
  <c r="I3322" i="8"/>
  <c r="G3322" i="8"/>
  <c r="I3321" i="8"/>
  <c r="G3321" i="8"/>
  <c r="I3320" i="8"/>
  <c r="G3320" i="8"/>
  <c r="I3319" i="8"/>
  <c r="G3319" i="8"/>
  <c r="I3318" i="8"/>
  <c r="G3318" i="8"/>
  <c r="I3317" i="8"/>
  <c r="G3317" i="8"/>
  <c r="I3316" i="8"/>
  <c r="G3316" i="8"/>
  <c r="I3315" i="8"/>
  <c r="G3315" i="8"/>
  <c r="I3314" i="8"/>
  <c r="G3314" i="8"/>
  <c r="I3313" i="8"/>
  <c r="G3313" i="8"/>
  <c r="I3312" i="8"/>
  <c r="G3312" i="8"/>
  <c r="I3311" i="8"/>
  <c r="G3311" i="8"/>
  <c r="I3310" i="8"/>
  <c r="G3310" i="8"/>
  <c r="I3309" i="8"/>
  <c r="G3309" i="8"/>
  <c r="I3308" i="8"/>
  <c r="G3308" i="8"/>
  <c r="I3307" i="8"/>
  <c r="G3307" i="8"/>
  <c r="I3306" i="8"/>
  <c r="G3306" i="8"/>
  <c r="I3305" i="8"/>
  <c r="G3305" i="8"/>
  <c r="I3304" i="8"/>
  <c r="G3304" i="8"/>
  <c r="I3303" i="8"/>
  <c r="G3303" i="8"/>
  <c r="I3302" i="8"/>
  <c r="G3302" i="8"/>
  <c r="I3301" i="8"/>
  <c r="G3301" i="8"/>
  <c r="I3300" i="8"/>
  <c r="G3300" i="8"/>
  <c r="I3299" i="8"/>
  <c r="G3299" i="8"/>
  <c r="I3298" i="8"/>
  <c r="G3298" i="8"/>
  <c r="I3297" i="8"/>
  <c r="G3297" i="8"/>
  <c r="I3296" i="8"/>
  <c r="G3296" i="8"/>
  <c r="I3295" i="8"/>
  <c r="G3295" i="8"/>
  <c r="I3294" i="8"/>
  <c r="G3294" i="8"/>
  <c r="I3293" i="8"/>
  <c r="G3293" i="8"/>
  <c r="I3292" i="8"/>
  <c r="G3292" i="8"/>
  <c r="I3291" i="8"/>
  <c r="G3291" i="8"/>
  <c r="I3290" i="8"/>
  <c r="G3290" i="8"/>
  <c r="I3289" i="8"/>
  <c r="G3289" i="8"/>
  <c r="I3288" i="8"/>
  <c r="G3288" i="8"/>
  <c r="I3287" i="8"/>
  <c r="G3287" i="8"/>
  <c r="I3286" i="8"/>
  <c r="G3286" i="8"/>
  <c r="I3285" i="8"/>
  <c r="G3285" i="8"/>
  <c r="I3284" i="8"/>
  <c r="G3284" i="8"/>
  <c r="I3283" i="8"/>
  <c r="G3283" i="8"/>
  <c r="I3282" i="8"/>
  <c r="G3282" i="8"/>
  <c r="I3281" i="8"/>
  <c r="G3281" i="8"/>
  <c r="I3280" i="8"/>
  <c r="G3280" i="8"/>
  <c r="I3279" i="8"/>
  <c r="G3279" i="8"/>
  <c r="I3278" i="8"/>
  <c r="G3278" i="8"/>
  <c r="I3277" i="8"/>
  <c r="G3277" i="8"/>
  <c r="I3276" i="8"/>
  <c r="G3276" i="8"/>
  <c r="I3275" i="8"/>
  <c r="G3275" i="8"/>
  <c r="I3274" i="8"/>
  <c r="G3274" i="8"/>
  <c r="I3273" i="8"/>
  <c r="G3273" i="8"/>
  <c r="I3272" i="8"/>
  <c r="G3272" i="8"/>
  <c r="I3271" i="8"/>
  <c r="G3271" i="8"/>
  <c r="I3270" i="8"/>
  <c r="G3270" i="8"/>
  <c r="I3269" i="8"/>
  <c r="G3269" i="8"/>
  <c r="I3268" i="8"/>
  <c r="G3268" i="8"/>
  <c r="I3267" i="8"/>
  <c r="G3267" i="8"/>
  <c r="I3266" i="8"/>
  <c r="G3266" i="8"/>
  <c r="I3265" i="8"/>
  <c r="G3265" i="8"/>
  <c r="I3264" i="8"/>
  <c r="G3264" i="8"/>
  <c r="I3263" i="8"/>
  <c r="G3263" i="8"/>
  <c r="I3262" i="8"/>
  <c r="G3262" i="8"/>
  <c r="I3261" i="8"/>
  <c r="G3261" i="8"/>
  <c r="I3260" i="8"/>
  <c r="G3260" i="8"/>
  <c r="I3259" i="8"/>
  <c r="G3259" i="8"/>
  <c r="I3258" i="8"/>
  <c r="G3258" i="8"/>
  <c r="I3257" i="8"/>
  <c r="G3257" i="8"/>
  <c r="I3256" i="8"/>
  <c r="G3256" i="8"/>
  <c r="I3255" i="8"/>
  <c r="G3255" i="8"/>
  <c r="I3254" i="8"/>
  <c r="G3254" i="8"/>
  <c r="I3253" i="8"/>
  <c r="G3253" i="8"/>
  <c r="I3252" i="8"/>
  <c r="G3252" i="8"/>
  <c r="I3251" i="8"/>
  <c r="G3251" i="8"/>
  <c r="I3250" i="8"/>
  <c r="G3250" i="8"/>
  <c r="I3249" i="8"/>
  <c r="G3249" i="8"/>
  <c r="I3248" i="8"/>
  <c r="G3248" i="8"/>
  <c r="I3247" i="8"/>
  <c r="G3247" i="8"/>
  <c r="I3246" i="8"/>
  <c r="G3246" i="8"/>
  <c r="I3245" i="8"/>
  <c r="G3245" i="8"/>
  <c r="I3244" i="8"/>
  <c r="G3244" i="8"/>
  <c r="I3243" i="8"/>
  <c r="G3243" i="8"/>
  <c r="I3242" i="8"/>
  <c r="G3242" i="8"/>
  <c r="I3241" i="8"/>
  <c r="G3241" i="8"/>
  <c r="I3240" i="8"/>
  <c r="G3240" i="8"/>
  <c r="I3239" i="8"/>
  <c r="G3239" i="8"/>
  <c r="I3238" i="8"/>
  <c r="G3238" i="8"/>
  <c r="I3237" i="8"/>
  <c r="G3237" i="8"/>
  <c r="I3236" i="8"/>
  <c r="G3236" i="8"/>
  <c r="I3235" i="8"/>
  <c r="G3235" i="8"/>
  <c r="I3234" i="8"/>
  <c r="G3234" i="8"/>
  <c r="I3233" i="8"/>
  <c r="G3233" i="8"/>
  <c r="I3232" i="8"/>
  <c r="G3232" i="8"/>
  <c r="I3231" i="8"/>
  <c r="G3231" i="8"/>
  <c r="I3230" i="8"/>
  <c r="G3230" i="8"/>
  <c r="I3229" i="8"/>
  <c r="G3229" i="8"/>
  <c r="I3228" i="8"/>
  <c r="G3228" i="8"/>
  <c r="I3227" i="8"/>
  <c r="G3227" i="8"/>
  <c r="I3226" i="8"/>
  <c r="G3226" i="8"/>
  <c r="I3225" i="8"/>
  <c r="G3225" i="8"/>
  <c r="I3224" i="8"/>
  <c r="G3224" i="8"/>
  <c r="I3223" i="8"/>
  <c r="G3223" i="8"/>
  <c r="I3222" i="8"/>
  <c r="G3222" i="8"/>
  <c r="I3221" i="8"/>
  <c r="G3221" i="8"/>
  <c r="I3220" i="8"/>
  <c r="G3220" i="8"/>
  <c r="I3219" i="8"/>
  <c r="G3219" i="8"/>
  <c r="I3218" i="8"/>
  <c r="G3218" i="8"/>
  <c r="I3217" i="8"/>
  <c r="G3217" i="8"/>
  <c r="I3216" i="8"/>
  <c r="G3216" i="8"/>
  <c r="I3215" i="8"/>
  <c r="G3215" i="8"/>
  <c r="I3214" i="8"/>
  <c r="G3214" i="8"/>
  <c r="I3213" i="8"/>
  <c r="G3213" i="8"/>
  <c r="I3212" i="8"/>
  <c r="G3212" i="8"/>
  <c r="I3211" i="8"/>
  <c r="G3211" i="8"/>
  <c r="I3210" i="8"/>
  <c r="G3210" i="8"/>
  <c r="I3209" i="8"/>
  <c r="G3209" i="8"/>
  <c r="I3208" i="8"/>
  <c r="G3208" i="8"/>
  <c r="I3207" i="8"/>
  <c r="G3207" i="8"/>
  <c r="I3206" i="8"/>
  <c r="G3206" i="8"/>
  <c r="I3205" i="8"/>
  <c r="G3205" i="8"/>
  <c r="I3204" i="8"/>
  <c r="G3204" i="8"/>
  <c r="I3203" i="8"/>
  <c r="G3203" i="8"/>
  <c r="I3202" i="8"/>
  <c r="G3202" i="8"/>
  <c r="I3201" i="8"/>
  <c r="G3201" i="8"/>
  <c r="I3200" i="8"/>
  <c r="G3200" i="8"/>
  <c r="I3199" i="8"/>
  <c r="G3199" i="8"/>
  <c r="I3198" i="8"/>
  <c r="G3198" i="8"/>
  <c r="I3197" i="8"/>
  <c r="G3197" i="8"/>
  <c r="I3196" i="8"/>
  <c r="G3196" i="8"/>
  <c r="I3195" i="8"/>
  <c r="G3195" i="8"/>
  <c r="I3194" i="8"/>
  <c r="G3194" i="8"/>
  <c r="I3193" i="8"/>
  <c r="G3193" i="8"/>
  <c r="I3192" i="8"/>
  <c r="G3192" i="8"/>
  <c r="I3191" i="8"/>
  <c r="G3191" i="8"/>
  <c r="I3190" i="8"/>
  <c r="G3190" i="8"/>
  <c r="I3189" i="8"/>
  <c r="G3189" i="8"/>
  <c r="I3188" i="8"/>
  <c r="G3188" i="8"/>
  <c r="I3187" i="8"/>
  <c r="G3187" i="8"/>
  <c r="I3186" i="8"/>
  <c r="G3186" i="8"/>
  <c r="I3185" i="8"/>
  <c r="G3185" i="8"/>
  <c r="I3184" i="8"/>
  <c r="G3184" i="8"/>
  <c r="I3183" i="8"/>
  <c r="G3183" i="8"/>
  <c r="I3182" i="8"/>
  <c r="G3182" i="8"/>
  <c r="I3181" i="8"/>
  <c r="G3181" i="8"/>
  <c r="I3180" i="8"/>
  <c r="G3180" i="8"/>
  <c r="I3179" i="8"/>
  <c r="G3179" i="8"/>
  <c r="I3178" i="8"/>
  <c r="G3178" i="8"/>
  <c r="I3177" i="8"/>
  <c r="G3177" i="8"/>
  <c r="I3176" i="8"/>
  <c r="G3176" i="8"/>
  <c r="I3175" i="8"/>
  <c r="G3175" i="8"/>
  <c r="I3174" i="8"/>
  <c r="G3174" i="8"/>
  <c r="I3173" i="8"/>
  <c r="G3173" i="8"/>
  <c r="I3172" i="8"/>
  <c r="G3172" i="8"/>
  <c r="I3171" i="8"/>
  <c r="G3171" i="8"/>
  <c r="I3170" i="8"/>
  <c r="G3170" i="8"/>
  <c r="I3169" i="8"/>
  <c r="G3169" i="8"/>
  <c r="I3168" i="8"/>
  <c r="G3168" i="8"/>
  <c r="I3167" i="8"/>
  <c r="G3167" i="8"/>
  <c r="I3166" i="8"/>
  <c r="G3166" i="8"/>
  <c r="I3165" i="8"/>
  <c r="G3165" i="8"/>
  <c r="I3164" i="8"/>
  <c r="G3164" i="8"/>
  <c r="I3163" i="8"/>
  <c r="G3163" i="8"/>
  <c r="I3162" i="8"/>
  <c r="G3162" i="8"/>
  <c r="I3161" i="8"/>
  <c r="G3161" i="8"/>
  <c r="I3160" i="8"/>
  <c r="G3160" i="8"/>
  <c r="I3159" i="8"/>
  <c r="G3159" i="8"/>
  <c r="I3158" i="8"/>
  <c r="G3158" i="8"/>
  <c r="I3157" i="8"/>
  <c r="G3157" i="8"/>
  <c r="I3156" i="8"/>
  <c r="G3156" i="8"/>
  <c r="I3155" i="8"/>
  <c r="G3155" i="8"/>
  <c r="I3154" i="8"/>
  <c r="G3154" i="8"/>
  <c r="I3153" i="8"/>
  <c r="G3153" i="8"/>
  <c r="I3152" i="8"/>
  <c r="G3152" i="8"/>
  <c r="I3151" i="8"/>
  <c r="G3151" i="8"/>
  <c r="I3150" i="8"/>
  <c r="G3150" i="8"/>
  <c r="I3149" i="8"/>
  <c r="G3149" i="8"/>
  <c r="I3148" i="8"/>
  <c r="G3148" i="8"/>
  <c r="I3147" i="8"/>
  <c r="G3147" i="8"/>
  <c r="I3146" i="8"/>
  <c r="G3146" i="8"/>
  <c r="I3145" i="8"/>
  <c r="G3145" i="8"/>
  <c r="I3144" i="8"/>
  <c r="G3144" i="8"/>
  <c r="I3143" i="8"/>
  <c r="G3143" i="8"/>
  <c r="I3142" i="8"/>
  <c r="G3142" i="8"/>
  <c r="I3141" i="8"/>
  <c r="G3141" i="8"/>
  <c r="I3140" i="8"/>
  <c r="G3140" i="8"/>
  <c r="I3139" i="8"/>
  <c r="G3139" i="8"/>
  <c r="I3138" i="8"/>
  <c r="G3138" i="8"/>
  <c r="I3137" i="8"/>
  <c r="G3137" i="8"/>
  <c r="I3136" i="8"/>
  <c r="G3136" i="8"/>
  <c r="I3135" i="8"/>
  <c r="G3135" i="8"/>
  <c r="I3134" i="8"/>
  <c r="G3134" i="8"/>
  <c r="I3133" i="8"/>
  <c r="G3133" i="8"/>
  <c r="I3132" i="8"/>
  <c r="G3132" i="8"/>
  <c r="I3131" i="8"/>
  <c r="G3131" i="8"/>
  <c r="I3130" i="8"/>
  <c r="G3130" i="8"/>
  <c r="I3129" i="8"/>
  <c r="G3129" i="8"/>
  <c r="I3128" i="8"/>
  <c r="G3128" i="8"/>
  <c r="I3127" i="8"/>
  <c r="G3127" i="8"/>
  <c r="I3126" i="8"/>
  <c r="G3126" i="8"/>
  <c r="I3125" i="8"/>
  <c r="G3125" i="8"/>
  <c r="I3124" i="8"/>
  <c r="G3124" i="8"/>
  <c r="I3123" i="8"/>
  <c r="G3123" i="8"/>
  <c r="I3122" i="8"/>
  <c r="G3122" i="8"/>
  <c r="I3121" i="8"/>
  <c r="G3121" i="8"/>
  <c r="I3120" i="8"/>
  <c r="G3120" i="8"/>
  <c r="I3119" i="8"/>
  <c r="G3119" i="8"/>
  <c r="I3118" i="8"/>
  <c r="G3118" i="8"/>
  <c r="I3117" i="8"/>
  <c r="G3117" i="8"/>
  <c r="I3116" i="8"/>
  <c r="G3116" i="8"/>
  <c r="I3115" i="8"/>
  <c r="G3115" i="8"/>
  <c r="I3114" i="8"/>
  <c r="G3114" i="8"/>
  <c r="I3113" i="8"/>
  <c r="G3113" i="8"/>
  <c r="I3112" i="8"/>
  <c r="G3112" i="8"/>
  <c r="I3111" i="8"/>
  <c r="G3111" i="8"/>
  <c r="I3110" i="8"/>
  <c r="G3110" i="8"/>
  <c r="I3109" i="8"/>
  <c r="G3109" i="8"/>
  <c r="I3108" i="8"/>
  <c r="G3108" i="8"/>
  <c r="I3107" i="8"/>
  <c r="G3107" i="8"/>
  <c r="I3106" i="8"/>
  <c r="G3106" i="8"/>
  <c r="I3105" i="8"/>
  <c r="G3105" i="8"/>
  <c r="I3104" i="8"/>
  <c r="G3104" i="8"/>
  <c r="I3103" i="8"/>
  <c r="G3103" i="8"/>
  <c r="I3102" i="8"/>
  <c r="G3102" i="8"/>
  <c r="I3101" i="8"/>
  <c r="G3101" i="8"/>
  <c r="I3100" i="8"/>
  <c r="G3100" i="8"/>
  <c r="I3099" i="8"/>
  <c r="G3099" i="8"/>
  <c r="I3098" i="8"/>
  <c r="G3098" i="8"/>
  <c r="I3097" i="8"/>
  <c r="G3097" i="8"/>
  <c r="I3096" i="8"/>
  <c r="G3096" i="8"/>
  <c r="I3095" i="8"/>
  <c r="G3095" i="8"/>
  <c r="I3094" i="8"/>
  <c r="G3094" i="8"/>
  <c r="I3093" i="8"/>
  <c r="G3093" i="8"/>
  <c r="I3092" i="8"/>
  <c r="G3092" i="8"/>
  <c r="I3091" i="8"/>
  <c r="G3091" i="8"/>
  <c r="I3090" i="8"/>
  <c r="G3090" i="8"/>
  <c r="I3089" i="8"/>
  <c r="G3089" i="8"/>
  <c r="I3088" i="8"/>
  <c r="G3088" i="8"/>
  <c r="I3087" i="8"/>
  <c r="G3087" i="8"/>
  <c r="I3086" i="8"/>
  <c r="G3086" i="8"/>
  <c r="I3085" i="8"/>
  <c r="G3085" i="8"/>
  <c r="I3084" i="8"/>
  <c r="G3084" i="8"/>
  <c r="I3083" i="8"/>
  <c r="G3083" i="8"/>
  <c r="I3082" i="8"/>
  <c r="G3082" i="8"/>
  <c r="I3081" i="8"/>
  <c r="G3081" i="8"/>
  <c r="I3080" i="8"/>
  <c r="G3080" i="8"/>
  <c r="I3079" i="8"/>
  <c r="G3079" i="8"/>
  <c r="I3078" i="8"/>
  <c r="G3078" i="8"/>
  <c r="I3077" i="8"/>
  <c r="G3077" i="8"/>
  <c r="I3076" i="8"/>
  <c r="G3076" i="8"/>
  <c r="I3075" i="8"/>
  <c r="G3075" i="8"/>
  <c r="I3074" i="8"/>
  <c r="G3074" i="8"/>
  <c r="I3073" i="8"/>
  <c r="G3073" i="8"/>
  <c r="I3072" i="8"/>
  <c r="G3072" i="8"/>
  <c r="I3071" i="8"/>
  <c r="G3071" i="8"/>
  <c r="I3070" i="8"/>
  <c r="G3070" i="8"/>
  <c r="I3069" i="8"/>
  <c r="G3069" i="8"/>
  <c r="I3068" i="8"/>
  <c r="G3068" i="8"/>
  <c r="I3067" i="8"/>
  <c r="G3067" i="8"/>
  <c r="I3066" i="8"/>
  <c r="G3066" i="8"/>
  <c r="I3065" i="8"/>
  <c r="G3065" i="8"/>
  <c r="I3064" i="8"/>
  <c r="G3064" i="8"/>
  <c r="I3063" i="8"/>
  <c r="G3063" i="8"/>
  <c r="I3062" i="8"/>
  <c r="G3062" i="8"/>
  <c r="I3061" i="8"/>
  <c r="G3061" i="8"/>
  <c r="I3060" i="8"/>
  <c r="G3060" i="8"/>
  <c r="I3059" i="8"/>
  <c r="G3059" i="8"/>
  <c r="I3058" i="8"/>
  <c r="G3058" i="8"/>
  <c r="I3057" i="8"/>
  <c r="G3057" i="8"/>
  <c r="I3056" i="8"/>
  <c r="G3056" i="8"/>
  <c r="I3055" i="8"/>
  <c r="G3055" i="8"/>
  <c r="I3054" i="8"/>
  <c r="G3054" i="8"/>
  <c r="I3053" i="8"/>
  <c r="G3053" i="8"/>
  <c r="I3052" i="8"/>
  <c r="G3052" i="8"/>
  <c r="I3051" i="8"/>
  <c r="G3051" i="8"/>
  <c r="I3050" i="8"/>
  <c r="G3050" i="8"/>
  <c r="I3049" i="8"/>
  <c r="G3049" i="8"/>
  <c r="I3048" i="8"/>
  <c r="G3048" i="8"/>
  <c r="I3047" i="8"/>
  <c r="G3047" i="8"/>
  <c r="I3046" i="8"/>
  <c r="G3046" i="8"/>
  <c r="I3045" i="8"/>
  <c r="G3045" i="8"/>
  <c r="I3044" i="8"/>
  <c r="G3044" i="8"/>
  <c r="I3043" i="8"/>
  <c r="G3043" i="8"/>
  <c r="I3042" i="8"/>
  <c r="G3042" i="8"/>
  <c r="I3041" i="8"/>
  <c r="G3041" i="8"/>
  <c r="I3040" i="8"/>
  <c r="G3040" i="8"/>
  <c r="I3039" i="8"/>
  <c r="G3039" i="8"/>
  <c r="I3038" i="8"/>
  <c r="G3038" i="8"/>
  <c r="I3037" i="8"/>
  <c r="G3037" i="8"/>
  <c r="I3036" i="8"/>
  <c r="G3036" i="8"/>
  <c r="I3035" i="8"/>
  <c r="G3035" i="8"/>
  <c r="I3034" i="8"/>
  <c r="G3034" i="8"/>
  <c r="I3033" i="8"/>
  <c r="G3033" i="8"/>
  <c r="I3032" i="8"/>
  <c r="G3032" i="8"/>
  <c r="I3031" i="8"/>
  <c r="G3031" i="8"/>
  <c r="I3030" i="8"/>
  <c r="G3030" i="8"/>
  <c r="I3029" i="8"/>
  <c r="G3029" i="8"/>
  <c r="I3028" i="8"/>
  <c r="G3028" i="8"/>
  <c r="I3027" i="8"/>
  <c r="G3027" i="8"/>
  <c r="I3026" i="8"/>
  <c r="G3026" i="8"/>
  <c r="I3025" i="8"/>
  <c r="G3025" i="8"/>
  <c r="I3024" i="8"/>
  <c r="G3024" i="8"/>
  <c r="I3023" i="8"/>
  <c r="G3023" i="8"/>
  <c r="I3022" i="8"/>
  <c r="G3022" i="8"/>
  <c r="I3021" i="8"/>
  <c r="G3021" i="8"/>
  <c r="I3020" i="8"/>
  <c r="G3020" i="8"/>
  <c r="I3019" i="8"/>
  <c r="G3019" i="8"/>
  <c r="I3018" i="8"/>
  <c r="G3018" i="8"/>
  <c r="I3017" i="8"/>
  <c r="G3017" i="8"/>
  <c r="I3016" i="8"/>
  <c r="G3016" i="8"/>
  <c r="I3015" i="8"/>
  <c r="G3015" i="8"/>
  <c r="I3014" i="8"/>
  <c r="G3014" i="8"/>
  <c r="I3013" i="8"/>
  <c r="G3013" i="8"/>
  <c r="I3012" i="8"/>
  <c r="G3012" i="8"/>
  <c r="I3011" i="8"/>
  <c r="G3011" i="8"/>
  <c r="I3010" i="8"/>
  <c r="G3010" i="8"/>
  <c r="I3009" i="8"/>
  <c r="G3009" i="8"/>
  <c r="I3008" i="8"/>
  <c r="G3008" i="8"/>
  <c r="I3007" i="8"/>
  <c r="G3007" i="8"/>
  <c r="I3006" i="8"/>
  <c r="G3006" i="8"/>
  <c r="I3005" i="8"/>
  <c r="G3005" i="8"/>
  <c r="I3004" i="8"/>
  <c r="G3004" i="8"/>
  <c r="I3003" i="8"/>
  <c r="G3003" i="8"/>
  <c r="I3002" i="8"/>
  <c r="G3002" i="8"/>
  <c r="I3001" i="8"/>
  <c r="G3001" i="8"/>
  <c r="I3000" i="8"/>
  <c r="G3000" i="8"/>
  <c r="I2999" i="8"/>
  <c r="G2999" i="8"/>
  <c r="I2998" i="8"/>
  <c r="G2998" i="8"/>
  <c r="I2997" i="8"/>
  <c r="G2997" i="8"/>
  <c r="I2996" i="8"/>
  <c r="G2996" i="8"/>
  <c r="I2995" i="8"/>
  <c r="G2995" i="8"/>
  <c r="I2994" i="8"/>
  <c r="G2994" i="8"/>
  <c r="I2993" i="8"/>
  <c r="G2993" i="8"/>
  <c r="I2992" i="8"/>
  <c r="G2992" i="8"/>
  <c r="I2991" i="8"/>
  <c r="G2991" i="8"/>
  <c r="I2990" i="8"/>
  <c r="G2990" i="8"/>
  <c r="I2989" i="8"/>
  <c r="G2989" i="8"/>
  <c r="I2988" i="8"/>
  <c r="G2988" i="8"/>
  <c r="I2987" i="8"/>
  <c r="G2987" i="8"/>
  <c r="I2986" i="8"/>
  <c r="G2986" i="8"/>
  <c r="I2985" i="8"/>
  <c r="G2985" i="8"/>
  <c r="I2984" i="8"/>
  <c r="G2984" i="8"/>
  <c r="I2983" i="8"/>
  <c r="G2983" i="8"/>
  <c r="I2982" i="8"/>
  <c r="G2982" i="8"/>
  <c r="I2981" i="8"/>
  <c r="G2981" i="8"/>
  <c r="I2980" i="8"/>
  <c r="G2980" i="8"/>
  <c r="I2979" i="8"/>
  <c r="G2979" i="8"/>
  <c r="I2978" i="8"/>
  <c r="G2978" i="8"/>
  <c r="I2977" i="8"/>
  <c r="G2977" i="8"/>
  <c r="I2976" i="8"/>
  <c r="G2976" i="8"/>
  <c r="I2975" i="8"/>
  <c r="G2975" i="8"/>
  <c r="I2974" i="8"/>
  <c r="G2974" i="8"/>
  <c r="I2973" i="8"/>
  <c r="G2973" i="8"/>
  <c r="I2972" i="8"/>
  <c r="G2972" i="8"/>
  <c r="I2971" i="8"/>
  <c r="G2971" i="8"/>
  <c r="I2970" i="8"/>
  <c r="G2970" i="8"/>
  <c r="I2969" i="8"/>
  <c r="G2969" i="8"/>
  <c r="I2968" i="8"/>
  <c r="G2968" i="8"/>
  <c r="I2967" i="8"/>
  <c r="G2967" i="8"/>
  <c r="I2966" i="8"/>
  <c r="G2966" i="8"/>
  <c r="I2965" i="8"/>
  <c r="G2965" i="8"/>
  <c r="I2964" i="8"/>
  <c r="G2964" i="8"/>
  <c r="I2963" i="8"/>
  <c r="G2963" i="8"/>
  <c r="I2962" i="8"/>
  <c r="G2962" i="8"/>
  <c r="I2961" i="8"/>
  <c r="G2961" i="8"/>
  <c r="I2960" i="8"/>
  <c r="G2960" i="8"/>
  <c r="I2959" i="8"/>
  <c r="G2959" i="8"/>
  <c r="I2958" i="8"/>
  <c r="G2958" i="8"/>
  <c r="I2957" i="8"/>
  <c r="G2957" i="8"/>
  <c r="I2956" i="8"/>
  <c r="G2956" i="8"/>
  <c r="I2955" i="8"/>
  <c r="G2955" i="8"/>
  <c r="I2954" i="8"/>
  <c r="G2954" i="8"/>
  <c r="I2953" i="8"/>
  <c r="G2953" i="8"/>
  <c r="I2952" i="8"/>
  <c r="G2952" i="8"/>
  <c r="I2951" i="8"/>
  <c r="G2951" i="8"/>
  <c r="I2950" i="8"/>
  <c r="G2950" i="8"/>
  <c r="I2949" i="8"/>
  <c r="G2949" i="8"/>
  <c r="I2948" i="8"/>
  <c r="G2948" i="8"/>
  <c r="I2947" i="8"/>
  <c r="G2947" i="8"/>
  <c r="I2946" i="8"/>
  <c r="G2946" i="8"/>
  <c r="I2945" i="8"/>
  <c r="G2945" i="8"/>
  <c r="I2944" i="8"/>
  <c r="G2944" i="8"/>
  <c r="I2943" i="8"/>
  <c r="G2943" i="8"/>
  <c r="I2942" i="8"/>
  <c r="G2942" i="8"/>
  <c r="I2941" i="8"/>
  <c r="G2941" i="8"/>
  <c r="I2940" i="8"/>
  <c r="G2940" i="8"/>
  <c r="I2939" i="8"/>
  <c r="G2939" i="8"/>
  <c r="I2938" i="8"/>
  <c r="G2938" i="8"/>
  <c r="I2937" i="8"/>
  <c r="G2937" i="8"/>
  <c r="I2936" i="8"/>
  <c r="G2936" i="8"/>
  <c r="I2935" i="8"/>
  <c r="G2935" i="8"/>
  <c r="I2934" i="8"/>
  <c r="G2934" i="8"/>
  <c r="I2933" i="8"/>
  <c r="G2933" i="8"/>
  <c r="I2932" i="8"/>
  <c r="G2932" i="8"/>
  <c r="I2931" i="8"/>
  <c r="G2931" i="8"/>
  <c r="I2930" i="8"/>
  <c r="G2930" i="8"/>
  <c r="I2929" i="8"/>
  <c r="G2929" i="8"/>
  <c r="I2928" i="8"/>
  <c r="G2928" i="8"/>
  <c r="I2927" i="8"/>
  <c r="G2927" i="8"/>
  <c r="I2926" i="8"/>
  <c r="G2926" i="8"/>
  <c r="I2925" i="8"/>
  <c r="G2925" i="8"/>
  <c r="I2924" i="8"/>
  <c r="G2924" i="8"/>
  <c r="I2923" i="8"/>
  <c r="G2923" i="8"/>
  <c r="I2922" i="8"/>
  <c r="G2922" i="8"/>
  <c r="I2921" i="8"/>
  <c r="G2921" i="8"/>
  <c r="I2920" i="8"/>
  <c r="G2920" i="8"/>
  <c r="I2919" i="8"/>
  <c r="G2919" i="8"/>
  <c r="I2918" i="8"/>
  <c r="G2918" i="8"/>
  <c r="I2917" i="8"/>
  <c r="G2917" i="8"/>
  <c r="I2916" i="8"/>
  <c r="G2916" i="8"/>
  <c r="I2915" i="8"/>
  <c r="G2915" i="8"/>
  <c r="I2914" i="8"/>
  <c r="G2914" i="8"/>
  <c r="I2913" i="8"/>
  <c r="G2913" i="8"/>
  <c r="I2912" i="8"/>
  <c r="G2912" i="8"/>
  <c r="I2911" i="8"/>
  <c r="G2911" i="8"/>
  <c r="I2910" i="8"/>
  <c r="G2910" i="8"/>
  <c r="I2909" i="8"/>
  <c r="G2909" i="8"/>
  <c r="I2908" i="8"/>
  <c r="G2908" i="8"/>
  <c r="I2907" i="8"/>
  <c r="G2907" i="8"/>
  <c r="I2906" i="8"/>
  <c r="G2906" i="8"/>
  <c r="I2905" i="8"/>
  <c r="G2905" i="8"/>
  <c r="I2904" i="8"/>
  <c r="G2904" i="8"/>
  <c r="I2903" i="8"/>
  <c r="G2903" i="8"/>
  <c r="I2902" i="8"/>
  <c r="G2902" i="8"/>
  <c r="I2901" i="8"/>
  <c r="G2901" i="8"/>
  <c r="I2900" i="8"/>
  <c r="G2900" i="8"/>
  <c r="I2899" i="8"/>
  <c r="G2899" i="8"/>
  <c r="I2898" i="8"/>
  <c r="G2898" i="8"/>
  <c r="I2897" i="8"/>
  <c r="G2897" i="8"/>
  <c r="I2896" i="8"/>
  <c r="G2896" i="8"/>
  <c r="I2895" i="8"/>
  <c r="G2895" i="8"/>
  <c r="I2894" i="8"/>
  <c r="G2894" i="8"/>
  <c r="I2893" i="8"/>
  <c r="G2893" i="8"/>
  <c r="I2892" i="8"/>
  <c r="G2892" i="8"/>
  <c r="I2891" i="8"/>
  <c r="G2891" i="8"/>
  <c r="I2890" i="8"/>
  <c r="G2890" i="8"/>
  <c r="I2889" i="8"/>
  <c r="G2889" i="8"/>
  <c r="I2888" i="8"/>
  <c r="G2888" i="8"/>
  <c r="I2887" i="8"/>
  <c r="G2887" i="8"/>
  <c r="I2886" i="8"/>
  <c r="G2886" i="8"/>
  <c r="I2885" i="8"/>
  <c r="G2885" i="8"/>
  <c r="I2884" i="8"/>
  <c r="G2884" i="8"/>
  <c r="I2883" i="8"/>
  <c r="G2883" i="8"/>
  <c r="I2882" i="8"/>
  <c r="G2882" i="8"/>
  <c r="I2881" i="8"/>
  <c r="G2881" i="8"/>
  <c r="I2880" i="8"/>
  <c r="G2880" i="8"/>
  <c r="I2879" i="8"/>
  <c r="G2879" i="8"/>
  <c r="I2878" i="8"/>
  <c r="G2878" i="8"/>
  <c r="I2877" i="8"/>
  <c r="G2877" i="8"/>
  <c r="I2876" i="8"/>
  <c r="G2876" i="8"/>
  <c r="I2875" i="8"/>
  <c r="G2875" i="8"/>
  <c r="I2874" i="8"/>
  <c r="G2874" i="8"/>
  <c r="I2873" i="8"/>
  <c r="G2873" i="8"/>
  <c r="I2872" i="8"/>
  <c r="G2872" i="8"/>
  <c r="I2871" i="8"/>
  <c r="G2871" i="8"/>
  <c r="I2870" i="8"/>
  <c r="G2870" i="8"/>
  <c r="I2869" i="8"/>
  <c r="G2869" i="8"/>
  <c r="I2868" i="8"/>
  <c r="G2868" i="8"/>
  <c r="I2867" i="8"/>
  <c r="G2867" i="8"/>
  <c r="I2866" i="8"/>
  <c r="G2866" i="8"/>
  <c r="I2865" i="8"/>
  <c r="G2865" i="8"/>
  <c r="I2864" i="8"/>
  <c r="G2864" i="8"/>
  <c r="I2863" i="8"/>
  <c r="G2863" i="8"/>
  <c r="I2862" i="8"/>
  <c r="G2862" i="8"/>
  <c r="I2861" i="8"/>
  <c r="G2861" i="8"/>
  <c r="I2860" i="8"/>
  <c r="G2860" i="8"/>
  <c r="I2859" i="8"/>
  <c r="G2859" i="8"/>
  <c r="I2858" i="8"/>
  <c r="G2858" i="8"/>
  <c r="I2857" i="8"/>
  <c r="G2857" i="8"/>
  <c r="I2856" i="8"/>
  <c r="G2856" i="8"/>
  <c r="I2855" i="8"/>
  <c r="G2855" i="8"/>
  <c r="I2854" i="8"/>
  <c r="G2854" i="8"/>
  <c r="I2853" i="8"/>
  <c r="G2853" i="8"/>
  <c r="I2852" i="8"/>
  <c r="G2852" i="8"/>
  <c r="I2851" i="8"/>
  <c r="G2851" i="8"/>
  <c r="I2850" i="8"/>
  <c r="G2850" i="8"/>
  <c r="I2849" i="8"/>
  <c r="G2849" i="8"/>
  <c r="I2848" i="8"/>
  <c r="G2848" i="8"/>
  <c r="I2847" i="8"/>
  <c r="G2847" i="8"/>
  <c r="I2846" i="8"/>
  <c r="G2846" i="8"/>
  <c r="I2845" i="8"/>
  <c r="G2845" i="8"/>
  <c r="I2844" i="8"/>
  <c r="G2844" i="8"/>
  <c r="I2843" i="8"/>
  <c r="G2843" i="8"/>
  <c r="I2842" i="8"/>
  <c r="G2842" i="8"/>
  <c r="I2841" i="8"/>
  <c r="G2841" i="8"/>
  <c r="I2840" i="8"/>
  <c r="G2840" i="8"/>
  <c r="I2839" i="8"/>
  <c r="G2839" i="8"/>
  <c r="I2838" i="8"/>
  <c r="G2838" i="8"/>
  <c r="I2837" i="8"/>
  <c r="G2837" i="8"/>
  <c r="I2836" i="8"/>
  <c r="G2836" i="8"/>
  <c r="I2835" i="8"/>
  <c r="G2835" i="8"/>
  <c r="I2834" i="8"/>
  <c r="G2834" i="8"/>
  <c r="I2833" i="8"/>
  <c r="G2833" i="8"/>
  <c r="I2832" i="8"/>
  <c r="G2832" i="8"/>
  <c r="I2831" i="8"/>
  <c r="G2831" i="8"/>
  <c r="I2830" i="8"/>
  <c r="G2830" i="8"/>
  <c r="I2829" i="8"/>
  <c r="G2829" i="8"/>
  <c r="I2828" i="8"/>
  <c r="G2828" i="8"/>
  <c r="I2827" i="8"/>
  <c r="G2827" i="8"/>
  <c r="I2826" i="8"/>
  <c r="G2826" i="8"/>
  <c r="I2825" i="8"/>
  <c r="G2825" i="8"/>
  <c r="I2824" i="8"/>
  <c r="G2824" i="8"/>
  <c r="I2823" i="8"/>
  <c r="G2823" i="8"/>
  <c r="I2822" i="8"/>
  <c r="G2822" i="8"/>
  <c r="I2821" i="8"/>
  <c r="G2821" i="8"/>
  <c r="I2820" i="8"/>
  <c r="G2820" i="8"/>
  <c r="I2819" i="8"/>
  <c r="G2819" i="8"/>
  <c r="I2818" i="8"/>
  <c r="G2818" i="8"/>
  <c r="I2817" i="8"/>
  <c r="G2817" i="8"/>
  <c r="I2816" i="8"/>
  <c r="G2816" i="8"/>
  <c r="I2815" i="8"/>
  <c r="G2815" i="8"/>
  <c r="I2814" i="8"/>
  <c r="G2814" i="8"/>
  <c r="I2813" i="8"/>
  <c r="G2813" i="8"/>
  <c r="I2812" i="8"/>
  <c r="G2812" i="8"/>
  <c r="I2811" i="8"/>
  <c r="G2811" i="8"/>
  <c r="I2810" i="8"/>
  <c r="G2810" i="8"/>
  <c r="I2809" i="8"/>
  <c r="G2809" i="8"/>
  <c r="I2808" i="8"/>
  <c r="G2808" i="8"/>
  <c r="I2807" i="8"/>
  <c r="G2807" i="8"/>
  <c r="I2806" i="8"/>
  <c r="G2806" i="8"/>
  <c r="I2805" i="8"/>
  <c r="G2805" i="8"/>
  <c r="I2804" i="8"/>
  <c r="G2804" i="8"/>
  <c r="I2803" i="8"/>
  <c r="G2803" i="8"/>
  <c r="I2802" i="8"/>
  <c r="G2802" i="8"/>
  <c r="I2801" i="8"/>
  <c r="G2801" i="8"/>
  <c r="I2800" i="8"/>
  <c r="G2800" i="8"/>
  <c r="I2799" i="8"/>
  <c r="G2799" i="8"/>
  <c r="I2798" i="8"/>
  <c r="G2798" i="8"/>
  <c r="I2797" i="8"/>
  <c r="G2797" i="8"/>
  <c r="I2796" i="8"/>
  <c r="G2796" i="8"/>
  <c r="I2795" i="8"/>
  <c r="G2795" i="8"/>
  <c r="I2794" i="8"/>
  <c r="G2794" i="8"/>
  <c r="I2793" i="8"/>
  <c r="G2793" i="8"/>
  <c r="I2792" i="8"/>
  <c r="G2792" i="8"/>
  <c r="I2791" i="8"/>
  <c r="G2791" i="8"/>
  <c r="I2790" i="8"/>
  <c r="G2790" i="8"/>
  <c r="I2789" i="8"/>
  <c r="G2789" i="8"/>
  <c r="I2788" i="8"/>
  <c r="G2788" i="8"/>
  <c r="I2787" i="8"/>
  <c r="G2787" i="8"/>
  <c r="I2786" i="8"/>
  <c r="G2786" i="8"/>
  <c r="I2785" i="8"/>
  <c r="G2785" i="8"/>
  <c r="I2784" i="8"/>
  <c r="G2784" i="8"/>
  <c r="I2783" i="8"/>
  <c r="G2783" i="8"/>
  <c r="I2782" i="8"/>
  <c r="G2782" i="8"/>
  <c r="I2781" i="8"/>
  <c r="G2781" i="8"/>
  <c r="I2780" i="8"/>
  <c r="G2780" i="8"/>
  <c r="I2779" i="8"/>
  <c r="G2779" i="8"/>
  <c r="I2778" i="8"/>
  <c r="G2778" i="8"/>
  <c r="I2777" i="8"/>
  <c r="G2777" i="8"/>
  <c r="I2776" i="8"/>
  <c r="G2776" i="8"/>
  <c r="I2775" i="8"/>
  <c r="G2775" i="8"/>
  <c r="I2774" i="8"/>
  <c r="G2774" i="8"/>
  <c r="I2773" i="8"/>
  <c r="G2773" i="8"/>
  <c r="I2772" i="8"/>
  <c r="G2772" i="8"/>
  <c r="I2771" i="8"/>
  <c r="G2771" i="8"/>
  <c r="I2770" i="8"/>
  <c r="G2770" i="8"/>
  <c r="I2769" i="8"/>
  <c r="G2769" i="8"/>
  <c r="I2768" i="8"/>
  <c r="G2768" i="8"/>
  <c r="I2767" i="8"/>
  <c r="G2767" i="8"/>
  <c r="I2766" i="8"/>
  <c r="G2766" i="8"/>
  <c r="I2765" i="8"/>
  <c r="G2765" i="8"/>
  <c r="I2764" i="8"/>
  <c r="G2764" i="8"/>
  <c r="I2763" i="8"/>
  <c r="G2763" i="8"/>
  <c r="I2762" i="8"/>
  <c r="G2762" i="8"/>
  <c r="I2761" i="8"/>
  <c r="G2761" i="8"/>
  <c r="I2760" i="8"/>
  <c r="G2760" i="8"/>
  <c r="I2759" i="8"/>
  <c r="G2759" i="8"/>
  <c r="I2758" i="8"/>
  <c r="G2758" i="8"/>
  <c r="I2757" i="8"/>
  <c r="G2757" i="8"/>
  <c r="I2756" i="8"/>
  <c r="G2756" i="8"/>
  <c r="I2755" i="8"/>
  <c r="G2755" i="8"/>
  <c r="I2754" i="8"/>
  <c r="G2754" i="8"/>
  <c r="I2753" i="8"/>
  <c r="G2753" i="8"/>
  <c r="I2752" i="8"/>
  <c r="G2752" i="8"/>
  <c r="I2751" i="8"/>
  <c r="G2751" i="8"/>
  <c r="I2750" i="8"/>
  <c r="G2750" i="8"/>
  <c r="I2749" i="8"/>
  <c r="G2749" i="8"/>
  <c r="I2748" i="8"/>
  <c r="G2748" i="8"/>
  <c r="I2747" i="8"/>
  <c r="G2747" i="8"/>
  <c r="I2746" i="8"/>
  <c r="G2746" i="8"/>
  <c r="I2745" i="8"/>
  <c r="G2745" i="8"/>
  <c r="I2744" i="8"/>
  <c r="G2744" i="8"/>
  <c r="I2743" i="8"/>
  <c r="G2743" i="8"/>
  <c r="I2742" i="8"/>
  <c r="G2742" i="8"/>
  <c r="I2741" i="8"/>
  <c r="G2741" i="8"/>
  <c r="I2740" i="8"/>
  <c r="G2740" i="8"/>
  <c r="I2739" i="8"/>
  <c r="G2739" i="8"/>
  <c r="I2738" i="8"/>
  <c r="G2738" i="8"/>
  <c r="I2737" i="8"/>
  <c r="G2737" i="8"/>
  <c r="I2736" i="8"/>
  <c r="G2736" i="8"/>
  <c r="I2735" i="8"/>
  <c r="G2735" i="8"/>
  <c r="I2734" i="8"/>
  <c r="G2734" i="8"/>
  <c r="I2733" i="8"/>
  <c r="G2733" i="8"/>
  <c r="I2732" i="8"/>
  <c r="G2732" i="8"/>
  <c r="I2731" i="8"/>
  <c r="G2731" i="8"/>
  <c r="I2730" i="8"/>
  <c r="G2730" i="8"/>
  <c r="I2729" i="8"/>
  <c r="G2729" i="8"/>
  <c r="I2728" i="8"/>
  <c r="G2728" i="8"/>
  <c r="I2727" i="8"/>
  <c r="G2727" i="8"/>
  <c r="I2726" i="8"/>
  <c r="G2726" i="8"/>
  <c r="I2725" i="8"/>
  <c r="G2725" i="8"/>
  <c r="I2724" i="8"/>
  <c r="G2724" i="8"/>
  <c r="I2723" i="8"/>
  <c r="G2723" i="8"/>
  <c r="I2722" i="8"/>
  <c r="G2722" i="8"/>
  <c r="I2721" i="8"/>
  <c r="G2721" i="8"/>
  <c r="I2720" i="8"/>
  <c r="G2720" i="8"/>
  <c r="I2719" i="8"/>
  <c r="G2719" i="8"/>
  <c r="I2718" i="8"/>
  <c r="G2718" i="8"/>
  <c r="I2717" i="8"/>
  <c r="G2717" i="8"/>
  <c r="I2716" i="8"/>
  <c r="G2716" i="8"/>
  <c r="I2715" i="8"/>
  <c r="G2715" i="8"/>
  <c r="I2714" i="8"/>
  <c r="G2714" i="8"/>
  <c r="I2713" i="8"/>
  <c r="G2713" i="8"/>
  <c r="I2712" i="8"/>
  <c r="G2712" i="8"/>
  <c r="I2711" i="8"/>
  <c r="G2711" i="8"/>
  <c r="I2710" i="8"/>
  <c r="G2710" i="8"/>
  <c r="I2709" i="8"/>
  <c r="G2709" i="8"/>
  <c r="I2708" i="8"/>
  <c r="G2708" i="8"/>
  <c r="I2707" i="8"/>
  <c r="G2707" i="8"/>
  <c r="I2706" i="8"/>
  <c r="G2706" i="8"/>
  <c r="I2705" i="8"/>
  <c r="G2705" i="8"/>
  <c r="I2704" i="8"/>
  <c r="G2704" i="8"/>
  <c r="I2703" i="8"/>
  <c r="G2703" i="8"/>
  <c r="I2702" i="8"/>
  <c r="G2702" i="8"/>
  <c r="I2701" i="8"/>
  <c r="G2701" i="8"/>
  <c r="I2700" i="8"/>
  <c r="G2700" i="8"/>
  <c r="I2699" i="8"/>
  <c r="G2699" i="8"/>
  <c r="I2698" i="8"/>
  <c r="G2698" i="8"/>
  <c r="I2697" i="8"/>
  <c r="G2697" i="8"/>
  <c r="I2696" i="8"/>
  <c r="G2696" i="8"/>
  <c r="I2695" i="8"/>
  <c r="G2695" i="8"/>
  <c r="I2694" i="8"/>
  <c r="G2694" i="8"/>
  <c r="I2693" i="8"/>
  <c r="G2693" i="8"/>
  <c r="I2692" i="8"/>
  <c r="G2692" i="8"/>
  <c r="I2691" i="8"/>
  <c r="G2691" i="8"/>
  <c r="I2690" i="8"/>
  <c r="G2690" i="8"/>
  <c r="I2689" i="8"/>
  <c r="G2689" i="8"/>
  <c r="I2688" i="8"/>
  <c r="G2688" i="8"/>
  <c r="I2687" i="8"/>
  <c r="G2687" i="8"/>
  <c r="I2686" i="8"/>
  <c r="G2686" i="8"/>
  <c r="I2685" i="8"/>
  <c r="G2685" i="8"/>
  <c r="I2684" i="8"/>
  <c r="G2684" i="8"/>
  <c r="I2683" i="8"/>
  <c r="G2683" i="8"/>
  <c r="I2682" i="8"/>
  <c r="G2682" i="8"/>
  <c r="I2681" i="8"/>
  <c r="G2681" i="8"/>
  <c r="I2680" i="8"/>
  <c r="G2680" i="8"/>
  <c r="I2679" i="8"/>
  <c r="G2679" i="8"/>
  <c r="I2678" i="8"/>
  <c r="G2678" i="8"/>
  <c r="I2677" i="8"/>
  <c r="G2677" i="8"/>
  <c r="I2676" i="8"/>
  <c r="G2676" i="8"/>
  <c r="I2675" i="8"/>
  <c r="G2675" i="8"/>
  <c r="I2674" i="8"/>
  <c r="G2674" i="8"/>
  <c r="I2673" i="8"/>
  <c r="G2673" i="8"/>
  <c r="I2672" i="8"/>
  <c r="G2672" i="8"/>
  <c r="I2671" i="8"/>
  <c r="G2671" i="8"/>
  <c r="I2670" i="8"/>
  <c r="G2670" i="8"/>
  <c r="I2669" i="8"/>
  <c r="G2669" i="8"/>
  <c r="I2668" i="8"/>
  <c r="G2668" i="8"/>
  <c r="I2667" i="8"/>
  <c r="G2667" i="8"/>
  <c r="I2666" i="8"/>
  <c r="G2666" i="8"/>
  <c r="I2665" i="8"/>
  <c r="G2665" i="8"/>
  <c r="I2664" i="8"/>
  <c r="G2664" i="8"/>
  <c r="I2663" i="8"/>
  <c r="G2663" i="8"/>
  <c r="I2662" i="8"/>
  <c r="G2662" i="8"/>
  <c r="I2661" i="8"/>
  <c r="G2661" i="8"/>
  <c r="I2660" i="8"/>
  <c r="G2660" i="8"/>
  <c r="I2659" i="8"/>
  <c r="G2659" i="8"/>
  <c r="I2658" i="8"/>
  <c r="G2658" i="8"/>
  <c r="I2657" i="8"/>
  <c r="G2657" i="8"/>
  <c r="I2656" i="8"/>
  <c r="G2656" i="8"/>
  <c r="I2655" i="8"/>
  <c r="G2655" i="8"/>
  <c r="I2654" i="8"/>
  <c r="G2654" i="8"/>
  <c r="I2653" i="8"/>
  <c r="G2653" i="8"/>
  <c r="I2652" i="8"/>
  <c r="G2652" i="8"/>
  <c r="I2651" i="8"/>
  <c r="G2651" i="8"/>
  <c r="I2650" i="8"/>
  <c r="G2650" i="8"/>
  <c r="I2649" i="8"/>
  <c r="G2649" i="8"/>
  <c r="I2648" i="8"/>
  <c r="G2648" i="8"/>
  <c r="I2647" i="8"/>
  <c r="G2647" i="8"/>
  <c r="I2646" i="8"/>
  <c r="G2646" i="8"/>
  <c r="I2645" i="8"/>
  <c r="G2645" i="8"/>
  <c r="I2644" i="8"/>
  <c r="G2644" i="8"/>
  <c r="I2643" i="8"/>
  <c r="G2643" i="8"/>
  <c r="I2642" i="8"/>
  <c r="G2642" i="8"/>
  <c r="I2641" i="8"/>
  <c r="G2641" i="8"/>
  <c r="I2640" i="8"/>
  <c r="G2640" i="8"/>
  <c r="I2639" i="8"/>
  <c r="G2639" i="8"/>
  <c r="I2638" i="8"/>
  <c r="G2638" i="8"/>
  <c r="I2637" i="8"/>
  <c r="G2637" i="8"/>
  <c r="I2636" i="8"/>
  <c r="G2636" i="8"/>
  <c r="I2635" i="8"/>
  <c r="G2635" i="8"/>
  <c r="I2634" i="8"/>
  <c r="G2634" i="8"/>
  <c r="I2633" i="8"/>
  <c r="G2633" i="8"/>
  <c r="I2632" i="8"/>
  <c r="G2632" i="8"/>
  <c r="I2631" i="8"/>
  <c r="G2631" i="8"/>
  <c r="I2630" i="8"/>
  <c r="G2630" i="8"/>
  <c r="I2629" i="8"/>
  <c r="G2629" i="8"/>
  <c r="I2628" i="8"/>
  <c r="G2628" i="8"/>
  <c r="I2627" i="8"/>
  <c r="G2627" i="8"/>
  <c r="I2626" i="8"/>
  <c r="G2626" i="8"/>
  <c r="I2625" i="8"/>
  <c r="G2625" i="8"/>
  <c r="I2624" i="8"/>
  <c r="G2624" i="8"/>
  <c r="I2623" i="8"/>
  <c r="G2623" i="8"/>
  <c r="I2622" i="8"/>
  <c r="G2622" i="8"/>
  <c r="I2621" i="8"/>
  <c r="G2621" i="8"/>
  <c r="I2620" i="8"/>
  <c r="G2620" i="8"/>
  <c r="I2619" i="8"/>
  <c r="G2619" i="8"/>
  <c r="I2618" i="8"/>
  <c r="G2618" i="8"/>
  <c r="I2617" i="8"/>
  <c r="G2617" i="8"/>
  <c r="I2616" i="8"/>
  <c r="G2616" i="8"/>
  <c r="I2615" i="8"/>
  <c r="G2615" i="8"/>
  <c r="I2614" i="8"/>
  <c r="G2614" i="8"/>
  <c r="I2613" i="8"/>
  <c r="G2613" i="8"/>
  <c r="I2612" i="8"/>
  <c r="G2612" i="8"/>
  <c r="I2611" i="8"/>
  <c r="G2611" i="8"/>
  <c r="I2610" i="8"/>
  <c r="G2610" i="8"/>
  <c r="I2609" i="8"/>
  <c r="G2609" i="8"/>
  <c r="I2608" i="8"/>
  <c r="G2608" i="8"/>
  <c r="I2607" i="8"/>
  <c r="G2607" i="8"/>
  <c r="I2606" i="8"/>
  <c r="G2606" i="8"/>
  <c r="I2605" i="8"/>
  <c r="G2605" i="8"/>
  <c r="I2604" i="8"/>
  <c r="G2604" i="8"/>
  <c r="I2603" i="8"/>
  <c r="G2603" i="8"/>
  <c r="I2602" i="8"/>
  <c r="G2602" i="8"/>
  <c r="I2601" i="8"/>
  <c r="G2601" i="8"/>
  <c r="I2600" i="8"/>
  <c r="G2600" i="8"/>
  <c r="I2599" i="8"/>
  <c r="G2599" i="8"/>
  <c r="I2598" i="8"/>
  <c r="G2598" i="8"/>
  <c r="I2597" i="8"/>
  <c r="G2597" i="8"/>
  <c r="I2596" i="8"/>
  <c r="G2596" i="8"/>
  <c r="I2595" i="8"/>
  <c r="G2595" i="8"/>
  <c r="I2594" i="8"/>
  <c r="G2594" i="8"/>
  <c r="I2593" i="8"/>
  <c r="G2593" i="8"/>
  <c r="I2592" i="8"/>
  <c r="G2592" i="8"/>
  <c r="I2591" i="8"/>
  <c r="G2591" i="8"/>
  <c r="I2590" i="8"/>
  <c r="G2590" i="8"/>
  <c r="I2589" i="8"/>
  <c r="G2589" i="8"/>
  <c r="I2588" i="8"/>
  <c r="G2588" i="8"/>
  <c r="I2587" i="8"/>
  <c r="G2587" i="8"/>
  <c r="I2586" i="8"/>
  <c r="G2586" i="8"/>
  <c r="I2585" i="8"/>
  <c r="G2585" i="8"/>
  <c r="I2584" i="8"/>
  <c r="G2584" i="8"/>
  <c r="I2583" i="8"/>
  <c r="G2583" i="8"/>
  <c r="I2582" i="8"/>
  <c r="G2582" i="8"/>
  <c r="I2581" i="8"/>
  <c r="G2581" i="8"/>
  <c r="I2580" i="8"/>
  <c r="G2580" i="8"/>
  <c r="I2579" i="8"/>
  <c r="G2579" i="8"/>
  <c r="I2578" i="8"/>
  <c r="G2578" i="8"/>
  <c r="I2577" i="8"/>
  <c r="G2577" i="8"/>
  <c r="I2576" i="8"/>
  <c r="G2576" i="8"/>
  <c r="I2575" i="8"/>
  <c r="G2575" i="8"/>
  <c r="I2574" i="8"/>
  <c r="G2574" i="8"/>
  <c r="I2573" i="8"/>
  <c r="G2573" i="8"/>
  <c r="I2572" i="8"/>
  <c r="G2572" i="8"/>
  <c r="I2571" i="8"/>
  <c r="G2571" i="8"/>
  <c r="I2570" i="8"/>
  <c r="G2570" i="8"/>
  <c r="I2569" i="8"/>
  <c r="G2569" i="8"/>
  <c r="I2568" i="8"/>
  <c r="G2568" i="8"/>
  <c r="I2567" i="8"/>
  <c r="G2567" i="8"/>
  <c r="I2566" i="8"/>
  <c r="G2566" i="8"/>
  <c r="I2565" i="8"/>
  <c r="G2565" i="8"/>
  <c r="I2564" i="8"/>
  <c r="G2564" i="8"/>
  <c r="I2563" i="8"/>
  <c r="G2563" i="8"/>
  <c r="I2562" i="8"/>
  <c r="G2562" i="8"/>
  <c r="I2561" i="8"/>
  <c r="G2561" i="8"/>
  <c r="I2560" i="8"/>
  <c r="G2560" i="8"/>
  <c r="I2559" i="8"/>
  <c r="G2559" i="8"/>
  <c r="I2558" i="8"/>
  <c r="G2558" i="8"/>
  <c r="I2557" i="8"/>
  <c r="G2557" i="8"/>
  <c r="I2556" i="8"/>
  <c r="G2556" i="8"/>
  <c r="I2555" i="8"/>
  <c r="G2555" i="8"/>
  <c r="I2554" i="8"/>
  <c r="G2554" i="8"/>
  <c r="I2553" i="8"/>
  <c r="G2553" i="8"/>
  <c r="I2552" i="8"/>
  <c r="G2552" i="8"/>
  <c r="I2551" i="8"/>
  <c r="G2551" i="8"/>
  <c r="I2550" i="8"/>
  <c r="G2550" i="8"/>
  <c r="I2549" i="8"/>
  <c r="G2549" i="8"/>
  <c r="I2548" i="8"/>
  <c r="G2548" i="8"/>
  <c r="I2547" i="8"/>
  <c r="G2547" i="8"/>
  <c r="I2546" i="8"/>
  <c r="G2546" i="8"/>
  <c r="I2545" i="8"/>
  <c r="G2545" i="8"/>
  <c r="I2544" i="8"/>
  <c r="G2544" i="8"/>
  <c r="I2543" i="8"/>
  <c r="G2543" i="8"/>
  <c r="I2542" i="8"/>
  <c r="G2542" i="8"/>
  <c r="I2541" i="8"/>
  <c r="G2541" i="8"/>
  <c r="I2540" i="8"/>
  <c r="G2540" i="8"/>
  <c r="I2539" i="8"/>
  <c r="G2539" i="8"/>
  <c r="I2538" i="8"/>
  <c r="G2538" i="8"/>
  <c r="I2537" i="8"/>
  <c r="G2537" i="8"/>
  <c r="I2536" i="8"/>
  <c r="G2536" i="8"/>
  <c r="I2535" i="8"/>
  <c r="G2535" i="8"/>
  <c r="I2534" i="8"/>
  <c r="G2534" i="8"/>
  <c r="I2533" i="8"/>
  <c r="G2533" i="8"/>
  <c r="I2532" i="8"/>
  <c r="G2532" i="8"/>
  <c r="I2531" i="8"/>
  <c r="G2531" i="8"/>
  <c r="I2530" i="8"/>
  <c r="G2530" i="8"/>
  <c r="I2529" i="8"/>
  <c r="G2529" i="8"/>
  <c r="I2528" i="8"/>
  <c r="G2528" i="8"/>
  <c r="I2527" i="8"/>
  <c r="G2527" i="8"/>
  <c r="I2526" i="8"/>
  <c r="G2526" i="8"/>
  <c r="I2525" i="8"/>
  <c r="G2525" i="8"/>
  <c r="I2524" i="8"/>
  <c r="G2524" i="8"/>
  <c r="I2523" i="8"/>
  <c r="G2523" i="8"/>
  <c r="I2522" i="8"/>
  <c r="G2522" i="8"/>
  <c r="I2521" i="8"/>
  <c r="G2521" i="8"/>
  <c r="I2520" i="8"/>
  <c r="G2520" i="8"/>
  <c r="I2519" i="8"/>
  <c r="G2519" i="8"/>
  <c r="I2518" i="8"/>
  <c r="G2518" i="8"/>
  <c r="I2517" i="8"/>
  <c r="G2517" i="8"/>
  <c r="I2516" i="8"/>
  <c r="G2516" i="8"/>
  <c r="I2515" i="8"/>
  <c r="G2515" i="8"/>
  <c r="I2514" i="8"/>
  <c r="G2514" i="8"/>
  <c r="I2513" i="8"/>
  <c r="G2513" i="8"/>
  <c r="I2512" i="8"/>
  <c r="G2512" i="8"/>
  <c r="I2511" i="8"/>
  <c r="G2511" i="8"/>
  <c r="I2510" i="8"/>
  <c r="G2510" i="8"/>
  <c r="I2509" i="8"/>
  <c r="G2509" i="8"/>
  <c r="I2508" i="8"/>
  <c r="G2508" i="8"/>
  <c r="I2507" i="8"/>
  <c r="G2507" i="8"/>
  <c r="I2506" i="8"/>
  <c r="G2506" i="8"/>
  <c r="I2505" i="8"/>
  <c r="G2505" i="8"/>
  <c r="I2504" i="8"/>
  <c r="G2504" i="8"/>
  <c r="I2503" i="8"/>
  <c r="G2503" i="8"/>
  <c r="I2502" i="8"/>
  <c r="G2502" i="8"/>
  <c r="I2501" i="8"/>
  <c r="G2501" i="8"/>
  <c r="I2500" i="8"/>
  <c r="G2500" i="8"/>
  <c r="I2499" i="8"/>
  <c r="G2499" i="8"/>
  <c r="I2498" i="8"/>
  <c r="G2498" i="8"/>
  <c r="I2497" i="8"/>
  <c r="G2497" i="8"/>
  <c r="I2496" i="8"/>
  <c r="G2496" i="8"/>
  <c r="I2495" i="8"/>
  <c r="G2495" i="8"/>
  <c r="I2494" i="8"/>
  <c r="G2494" i="8"/>
  <c r="I2493" i="8"/>
  <c r="G2493" i="8"/>
  <c r="I2492" i="8"/>
  <c r="G2492" i="8"/>
  <c r="I2491" i="8"/>
  <c r="G2491" i="8"/>
  <c r="I2490" i="8"/>
  <c r="G2490" i="8"/>
  <c r="I2489" i="8"/>
  <c r="G2489" i="8"/>
  <c r="I2488" i="8"/>
  <c r="G2488" i="8"/>
  <c r="I2487" i="8"/>
  <c r="G2487" i="8"/>
  <c r="I2486" i="8"/>
  <c r="G2486" i="8"/>
  <c r="I2485" i="8"/>
  <c r="G2485" i="8"/>
  <c r="I2484" i="8"/>
  <c r="G2484" i="8"/>
  <c r="I2483" i="8"/>
  <c r="G2483" i="8"/>
  <c r="I2482" i="8"/>
  <c r="G2482" i="8"/>
  <c r="I2481" i="8"/>
  <c r="G2481" i="8"/>
  <c r="I2480" i="8"/>
  <c r="G2480" i="8"/>
  <c r="I2479" i="8"/>
  <c r="G2479" i="8"/>
  <c r="I2478" i="8"/>
  <c r="G2478" i="8"/>
  <c r="I2477" i="8"/>
  <c r="G2477" i="8"/>
  <c r="I2476" i="8"/>
  <c r="G2476" i="8"/>
  <c r="I2475" i="8"/>
  <c r="G2475" i="8"/>
  <c r="I2474" i="8"/>
  <c r="G2474" i="8"/>
  <c r="I2473" i="8"/>
  <c r="G2473" i="8"/>
  <c r="I2472" i="8"/>
  <c r="G2472" i="8"/>
  <c r="I2471" i="8"/>
  <c r="G2471" i="8"/>
  <c r="I2470" i="8"/>
  <c r="G2470" i="8"/>
  <c r="I2469" i="8"/>
  <c r="G2469" i="8"/>
  <c r="I2468" i="8"/>
  <c r="G2468" i="8"/>
  <c r="I2467" i="8"/>
  <c r="G2467" i="8"/>
  <c r="I2466" i="8"/>
  <c r="G2466" i="8"/>
  <c r="I2465" i="8"/>
  <c r="G2465" i="8"/>
  <c r="I2464" i="8"/>
  <c r="G2464" i="8"/>
  <c r="I2463" i="8"/>
  <c r="G2463" i="8"/>
  <c r="I2462" i="8"/>
  <c r="G2462" i="8"/>
  <c r="I2461" i="8"/>
  <c r="G2461" i="8"/>
  <c r="I2460" i="8"/>
  <c r="G2460" i="8"/>
  <c r="I2459" i="8"/>
  <c r="G2459" i="8"/>
  <c r="I2458" i="8"/>
  <c r="G2458" i="8"/>
  <c r="I2457" i="8"/>
  <c r="G2457" i="8"/>
  <c r="I2456" i="8"/>
  <c r="G2456" i="8"/>
  <c r="I2455" i="8"/>
  <c r="G2455" i="8"/>
  <c r="I2454" i="8"/>
  <c r="G2454" i="8"/>
  <c r="I2453" i="8"/>
  <c r="G2453" i="8"/>
  <c r="I2452" i="8"/>
  <c r="G2452" i="8"/>
  <c r="I2451" i="8"/>
  <c r="G2451" i="8"/>
  <c r="I2450" i="8"/>
  <c r="G2450" i="8"/>
  <c r="I2449" i="8"/>
  <c r="G2449" i="8"/>
  <c r="I2448" i="8"/>
  <c r="G2448" i="8"/>
  <c r="I2447" i="8"/>
  <c r="G2447" i="8"/>
  <c r="I2446" i="8"/>
  <c r="G2446" i="8"/>
  <c r="I2445" i="8"/>
  <c r="G2445" i="8"/>
  <c r="I2444" i="8"/>
  <c r="G2444" i="8"/>
  <c r="I2443" i="8"/>
  <c r="G2443" i="8"/>
  <c r="I2442" i="8"/>
  <c r="G2442" i="8"/>
  <c r="I2441" i="8"/>
  <c r="G2441" i="8"/>
  <c r="I2440" i="8"/>
  <c r="G2440" i="8"/>
  <c r="I2439" i="8"/>
  <c r="G2439" i="8"/>
  <c r="I2438" i="8"/>
  <c r="G2438" i="8"/>
  <c r="I2437" i="8"/>
  <c r="G2437" i="8"/>
  <c r="I2436" i="8"/>
  <c r="G2436" i="8"/>
  <c r="I2435" i="8"/>
  <c r="G2435" i="8"/>
  <c r="I2434" i="8"/>
  <c r="G2434" i="8"/>
  <c r="I2433" i="8"/>
  <c r="G2433" i="8"/>
  <c r="I2432" i="8"/>
  <c r="G2432" i="8"/>
  <c r="I2431" i="8"/>
  <c r="G2431" i="8"/>
  <c r="I2430" i="8"/>
  <c r="G2430" i="8"/>
  <c r="I2429" i="8"/>
  <c r="G2429" i="8"/>
  <c r="I2428" i="8"/>
  <c r="G2428" i="8"/>
  <c r="I2427" i="8"/>
  <c r="G2427" i="8"/>
  <c r="I2426" i="8"/>
  <c r="G2426" i="8"/>
  <c r="I2425" i="8"/>
  <c r="G2425" i="8"/>
  <c r="I2424" i="8"/>
  <c r="G2424" i="8"/>
  <c r="I2423" i="8"/>
  <c r="G2423" i="8"/>
  <c r="I2422" i="8"/>
  <c r="G2422" i="8"/>
  <c r="I2421" i="8"/>
  <c r="G2421" i="8"/>
  <c r="I2420" i="8"/>
  <c r="G2420" i="8"/>
  <c r="I2419" i="8"/>
  <c r="G2419" i="8"/>
  <c r="I2418" i="8"/>
  <c r="G2418" i="8"/>
  <c r="I2417" i="8"/>
  <c r="G2417" i="8"/>
  <c r="I2416" i="8"/>
  <c r="G2416" i="8"/>
  <c r="I2415" i="8"/>
  <c r="G2415" i="8"/>
  <c r="I2414" i="8"/>
  <c r="G2414" i="8"/>
  <c r="I2413" i="8"/>
  <c r="G2413" i="8"/>
  <c r="I2412" i="8"/>
  <c r="G2412" i="8"/>
  <c r="I2411" i="8"/>
  <c r="G2411" i="8"/>
  <c r="I2410" i="8"/>
  <c r="G2410" i="8"/>
  <c r="I2409" i="8"/>
  <c r="G2409" i="8"/>
  <c r="I2408" i="8"/>
  <c r="G2408" i="8"/>
  <c r="I2407" i="8"/>
  <c r="G2407" i="8"/>
  <c r="I2406" i="8"/>
  <c r="G2406" i="8"/>
  <c r="I2405" i="8"/>
  <c r="G2405" i="8"/>
  <c r="I2404" i="8"/>
  <c r="G2404" i="8"/>
  <c r="I2403" i="8"/>
  <c r="G2403" i="8"/>
  <c r="I2402" i="8"/>
  <c r="G2402" i="8"/>
  <c r="I2401" i="8"/>
  <c r="G2401" i="8"/>
  <c r="I2400" i="8"/>
  <c r="G2400" i="8"/>
  <c r="I2399" i="8"/>
  <c r="G2399" i="8"/>
  <c r="I2398" i="8"/>
  <c r="G2398" i="8"/>
  <c r="I2397" i="8"/>
  <c r="G2397" i="8"/>
  <c r="I2396" i="8"/>
  <c r="G2396" i="8"/>
  <c r="I2395" i="8"/>
  <c r="G2395" i="8"/>
  <c r="I2394" i="8"/>
  <c r="G2394" i="8"/>
  <c r="I2393" i="8"/>
  <c r="G2393" i="8"/>
  <c r="I2392" i="8"/>
  <c r="G2392" i="8"/>
  <c r="I2391" i="8"/>
  <c r="G2391" i="8"/>
  <c r="I2390" i="8"/>
  <c r="G2390" i="8"/>
  <c r="I2389" i="8"/>
  <c r="G2389" i="8"/>
  <c r="I2388" i="8"/>
  <c r="G2388" i="8"/>
  <c r="I2387" i="8"/>
  <c r="G2387" i="8"/>
  <c r="I2386" i="8"/>
  <c r="G2386" i="8"/>
  <c r="I2385" i="8"/>
  <c r="G2385" i="8"/>
  <c r="I2384" i="8"/>
  <c r="G2384" i="8"/>
  <c r="I2383" i="8"/>
  <c r="G2383" i="8"/>
  <c r="I2382" i="8"/>
  <c r="G2382" i="8"/>
  <c r="I2381" i="8"/>
  <c r="G2381" i="8"/>
  <c r="I2380" i="8"/>
  <c r="G2380" i="8"/>
  <c r="I2379" i="8"/>
  <c r="G2379" i="8"/>
  <c r="I2378" i="8"/>
  <c r="G2378" i="8"/>
  <c r="I2377" i="8"/>
  <c r="G2377" i="8"/>
  <c r="I2376" i="8"/>
  <c r="G2376" i="8"/>
  <c r="I2375" i="8"/>
  <c r="G2375" i="8"/>
  <c r="I2374" i="8"/>
  <c r="G2374" i="8"/>
  <c r="I2373" i="8"/>
  <c r="G2373" i="8"/>
  <c r="I2372" i="8"/>
  <c r="G2372" i="8"/>
  <c r="I2371" i="8"/>
  <c r="G2371" i="8"/>
  <c r="I2370" i="8"/>
  <c r="G2370" i="8"/>
  <c r="I2369" i="8"/>
  <c r="G2369" i="8"/>
  <c r="I2368" i="8"/>
  <c r="G2368" i="8"/>
  <c r="I2367" i="8"/>
  <c r="G2367" i="8"/>
  <c r="I2366" i="8"/>
  <c r="G2366" i="8"/>
  <c r="I2365" i="8"/>
  <c r="G2365" i="8"/>
  <c r="I2364" i="8"/>
  <c r="G2364" i="8"/>
  <c r="I2363" i="8"/>
  <c r="G2363" i="8"/>
  <c r="I2362" i="8"/>
  <c r="G2362" i="8"/>
  <c r="I2361" i="8"/>
  <c r="G2361" i="8"/>
  <c r="I2360" i="8"/>
  <c r="G2360" i="8"/>
  <c r="I2359" i="8"/>
  <c r="G2359" i="8"/>
  <c r="I2358" i="8"/>
  <c r="G2358" i="8"/>
  <c r="I2357" i="8"/>
  <c r="G2357" i="8"/>
  <c r="I2356" i="8"/>
  <c r="G2356" i="8"/>
  <c r="I2355" i="8"/>
  <c r="G2355" i="8"/>
  <c r="I2354" i="8"/>
  <c r="G2354" i="8"/>
  <c r="I2353" i="8"/>
  <c r="G2353" i="8"/>
  <c r="I2352" i="8"/>
  <c r="G2352" i="8"/>
  <c r="I2351" i="8"/>
  <c r="G2351" i="8"/>
  <c r="I2350" i="8"/>
  <c r="G2350" i="8"/>
  <c r="I2349" i="8"/>
  <c r="G2349" i="8"/>
  <c r="I2348" i="8"/>
  <c r="G2348" i="8"/>
  <c r="I2347" i="8"/>
  <c r="G2347" i="8"/>
  <c r="I2346" i="8"/>
  <c r="G2346" i="8"/>
  <c r="I2345" i="8"/>
  <c r="G2345" i="8"/>
  <c r="I2344" i="8"/>
  <c r="G2344" i="8"/>
  <c r="I2343" i="8"/>
  <c r="G2343" i="8"/>
  <c r="I2342" i="8"/>
  <c r="G2342" i="8"/>
  <c r="I2341" i="8"/>
  <c r="G2341" i="8"/>
  <c r="I2340" i="8"/>
  <c r="G2340" i="8"/>
  <c r="I2339" i="8"/>
  <c r="G2339" i="8"/>
  <c r="I2338" i="8"/>
  <c r="G2338" i="8"/>
  <c r="I2337" i="8"/>
  <c r="G2337" i="8"/>
  <c r="I2336" i="8"/>
  <c r="G2336" i="8"/>
  <c r="I2335" i="8"/>
  <c r="G2335" i="8"/>
  <c r="I2334" i="8"/>
  <c r="G2334" i="8"/>
  <c r="I2333" i="8"/>
  <c r="G2333" i="8"/>
  <c r="I2332" i="8"/>
  <c r="G2332" i="8"/>
  <c r="I2331" i="8"/>
  <c r="G2331" i="8"/>
  <c r="I2330" i="8"/>
  <c r="G2330" i="8"/>
  <c r="I2329" i="8"/>
  <c r="G2329" i="8"/>
  <c r="I2328" i="8"/>
  <c r="G2328" i="8"/>
  <c r="I2327" i="8"/>
  <c r="G2327" i="8"/>
  <c r="I2326" i="8"/>
  <c r="G2326" i="8"/>
  <c r="I2325" i="8"/>
  <c r="G2325" i="8"/>
  <c r="I2324" i="8"/>
  <c r="G2324" i="8"/>
  <c r="I2323" i="8"/>
  <c r="G2323" i="8"/>
  <c r="I2322" i="8"/>
  <c r="G2322" i="8"/>
  <c r="I2321" i="8"/>
  <c r="G2321" i="8"/>
  <c r="I2320" i="8"/>
  <c r="G2320" i="8"/>
  <c r="I2319" i="8"/>
  <c r="G2319" i="8"/>
  <c r="I2318" i="8"/>
  <c r="G2318" i="8"/>
  <c r="I2317" i="8"/>
  <c r="G2317" i="8"/>
  <c r="I2316" i="8"/>
  <c r="G2316" i="8"/>
  <c r="I2315" i="8"/>
  <c r="G2315" i="8"/>
  <c r="I2314" i="8"/>
  <c r="G2314" i="8"/>
  <c r="I2313" i="8"/>
  <c r="G2313" i="8"/>
  <c r="I2312" i="8"/>
  <c r="G2312" i="8"/>
  <c r="I2311" i="8"/>
  <c r="G2311" i="8"/>
  <c r="I2310" i="8"/>
  <c r="G2310" i="8"/>
  <c r="I2309" i="8"/>
  <c r="G2309" i="8"/>
  <c r="I2308" i="8"/>
  <c r="G2308" i="8"/>
  <c r="I2307" i="8"/>
  <c r="G2307" i="8"/>
  <c r="I2306" i="8"/>
  <c r="G2306" i="8"/>
  <c r="I2305" i="8"/>
  <c r="G2305" i="8"/>
  <c r="I2304" i="8"/>
  <c r="G2304" i="8"/>
  <c r="I2303" i="8"/>
  <c r="G2303" i="8"/>
  <c r="I2302" i="8"/>
  <c r="G2302" i="8"/>
  <c r="I2301" i="8"/>
  <c r="G2301" i="8"/>
  <c r="I2300" i="8"/>
  <c r="G2300" i="8"/>
  <c r="I2299" i="8"/>
  <c r="G2299" i="8"/>
  <c r="I2298" i="8"/>
  <c r="G2298" i="8"/>
  <c r="I2297" i="8"/>
  <c r="G2297" i="8"/>
  <c r="I2296" i="8"/>
  <c r="G2296" i="8"/>
  <c r="I2295" i="8"/>
  <c r="G2295" i="8"/>
  <c r="I2294" i="8"/>
  <c r="G2294" i="8"/>
  <c r="I2293" i="8"/>
  <c r="G2293" i="8"/>
  <c r="I2292" i="8"/>
  <c r="G2292" i="8"/>
  <c r="I2291" i="8"/>
  <c r="G2291" i="8"/>
  <c r="I2290" i="8"/>
  <c r="G2290" i="8"/>
  <c r="I2289" i="8"/>
  <c r="G2289" i="8"/>
  <c r="I2288" i="8"/>
  <c r="G2288" i="8"/>
  <c r="I2287" i="8"/>
  <c r="G2287" i="8"/>
  <c r="I2286" i="8"/>
  <c r="G2286" i="8"/>
  <c r="I2285" i="8"/>
  <c r="G2285" i="8"/>
  <c r="I2284" i="8"/>
  <c r="G2284" i="8"/>
  <c r="I2283" i="8"/>
  <c r="G2283" i="8"/>
  <c r="I2282" i="8"/>
  <c r="G2282" i="8"/>
  <c r="I2281" i="8"/>
  <c r="G2281" i="8"/>
  <c r="I2280" i="8"/>
  <c r="G2280" i="8"/>
  <c r="I2279" i="8"/>
  <c r="G2279" i="8"/>
  <c r="I2278" i="8"/>
  <c r="G2278" i="8"/>
  <c r="I2277" i="8"/>
  <c r="G2277" i="8"/>
  <c r="I2276" i="8"/>
  <c r="G2276" i="8"/>
  <c r="I2275" i="8"/>
  <c r="G2275" i="8"/>
  <c r="I2274" i="8"/>
  <c r="G2274" i="8"/>
  <c r="I2273" i="8"/>
  <c r="G2273" i="8"/>
  <c r="I2272" i="8"/>
  <c r="G2272" i="8"/>
  <c r="I2271" i="8"/>
  <c r="G2271" i="8"/>
  <c r="I2270" i="8"/>
  <c r="G2270" i="8"/>
  <c r="I2269" i="8"/>
  <c r="G2269" i="8"/>
  <c r="I2268" i="8"/>
  <c r="G2268" i="8"/>
  <c r="I2267" i="8"/>
  <c r="G2267" i="8"/>
  <c r="I2266" i="8"/>
  <c r="G2266" i="8"/>
  <c r="I2265" i="8"/>
  <c r="G2265" i="8"/>
  <c r="I2264" i="8"/>
  <c r="G2264" i="8"/>
  <c r="I2263" i="8"/>
  <c r="G2263" i="8"/>
  <c r="I2262" i="8"/>
  <c r="G2262" i="8"/>
  <c r="I2261" i="8"/>
  <c r="G2261" i="8"/>
  <c r="I2260" i="8"/>
  <c r="G2260" i="8"/>
  <c r="I2259" i="8"/>
  <c r="G2259" i="8"/>
  <c r="I2258" i="8"/>
  <c r="G2258" i="8"/>
  <c r="I2257" i="8"/>
  <c r="G2257" i="8"/>
  <c r="I2256" i="8"/>
  <c r="G2256" i="8"/>
  <c r="I2255" i="8"/>
  <c r="G2255" i="8"/>
  <c r="I2254" i="8"/>
  <c r="G2254" i="8"/>
  <c r="I2253" i="8"/>
  <c r="G2253" i="8"/>
  <c r="I2252" i="8"/>
  <c r="G2252" i="8"/>
  <c r="I2251" i="8"/>
  <c r="G2251" i="8"/>
  <c r="I2250" i="8"/>
  <c r="G2250" i="8"/>
  <c r="I2249" i="8"/>
  <c r="G2249" i="8"/>
  <c r="I2248" i="8"/>
  <c r="G2248" i="8"/>
  <c r="I2247" i="8"/>
  <c r="G2247" i="8"/>
  <c r="I2246" i="8"/>
  <c r="G2246" i="8"/>
  <c r="I2245" i="8"/>
  <c r="G2245" i="8"/>
  <c r="I2244" i="8"/>
  <c r="G2244" i="8"/>
  <c r="I2243" i="8"/>
  <c r="G2243" i="8"/>
  <c r="I2242" i="8"/>
  <c r="G2242" i="8"/>
  <c r="I2241" i="8"/>
  <c r="G2241" i="8"/>
  <c r="I2240" i="8"/>
  <c r="G2240" i="8"/>
  <c r="I2239" i="8"/>
  <c r="G2239" i="8"/>
  <c r="I2238" i="8"/>
  <c r="G2238" i="8"/>
  <c r="I2237" i="8"/>
  <c r="G2237" i="8"/>
  <c r="I2236" i="8"/>
  <c r="G2236" i="8"/>
  <c r="I2235" i="8"/>
  <c r="G2235" i="8"/>
  <c r="I2234" i="8"/>
  <c r="G2234" i="8"/>
  <c r="I2233" i="8"/>
  <c r="G2233" i="8"/>
  <c r="I2232" i="8"/>
  <c r="G2232" i="8"/>
  <c r="I2231" i="8"/>
  <c r="G2231" i="8"/>
  <c r="I2230" i="8"/>
  <c r="G2230" i="8"/>
  <c r="I2229" i="8"/>
  <c r="G2229" i="8"/>
  <c r="I2228" i="8"/>
  <c r="G2228" i="8"/>
  <c r="I2227" i="8"/>
  <c r="G2227" i="8"/>
  <c r="I2226" i="8"/>
  <c r="G2226" i="8"/>
  <c r="I2225" i="8"/>
  <c r="G2225" i="8"/>
  <c r="I2224" i="8"/>
  <c r="G2224" i="8"/>
  <c r="I2223" i="8"/>
  <c r="G2223" i="8"/>
  <c r="I2222" i="8"/>
  <c r="G2222" i="8"/>
  <c r="I2221" i="8"/>
  <c r="G2221" i="8"/>
  <c r="I2220" i="8"/>
  <c r="G2220" i="8"/>
  <c r="I2219" i="8"/>
  <c r="G2219" i="8"/>
  <c r="I2218" i="8"/>
  <c r="G2218" i="8"/>
  <c r="I2217" i="8"/>
  <c r="G2217" i="8"/>
  <c r="I2216" i="8"/>
  <c r="G2216" i="8"/>
  <c r="I2215" i="8"/>
  <c r="G2215" i="8"/>
  <c r="I2214" i="8"/>
  <c r="G2214" i="8"/>
  <c r="I2213" i="8"/>
  <c r="G2213" i="8"/>
  <c r="I2212" i="8"/>
  <c r="G2212" i="8"/>
  <c r="I2211" i="8"/>
  <c r="G2211" i="8"/>
  <c r="I2210" i="8"/>
  <c r="G2210" i="8"/>
  <c r="I2209" i="8"/>
  <c r="G2209" i="8"/>
  <c r="I2208" i="8"/>
  <c r="G2208" i="8"/>
  <c r="I2207" i="8"/>
  <c r="G2207" i="8"/>
  <c r="I2206" i="8"/>
  <c r="G2206" i="8"/>
  <c r="I2205" i="8"/>
  <c r="G2205" i="8"/>
  <c r="I2204" i="8"/>
  <c r="G2204" i="8"/>
  <c r="I2203" i="8"/>
  <c r="G2203" i="8"/>
  <c r="I2202" i="8"/>
  <c r="G2202" i="8"/>
  <c r="I2201" i="8"/>
  <c r="G2201" i="8"/>
  <c r="I2200" i="8"/>
  <c r="G2200" i="8"/>
  <c r="I2199" i="8"/>
  <c r="G2199" i="8"/>
  <c r="I2198" i="8"/>
  <c r="G2198" i="8"/>
  <c r="I2197" i="8"/>
  <c r="G2197" i="8"/>
  <c r="I2196" i="8"/>
  <c r="G2196" i="8"/>
  <c r="I2195" i="8"/>
  <c r="G2195" i="8"/>
  <c r="I2194" i="8"/>
  <c r="G2194" i="8"/>
  <c r="I2193" i="8"/>
  <c r="G2193" i="8"/>
  <c r="I2192" i="8"/>
  <c r="G2192" i="8"/>
  <c r="I2191" i="8"/>
  <c r="G2191" i="8"/>
  <c r="I2190" i="8"/>
  <c r="G2190" i="8"/>
  <c r="I2189" i="8"/>
  <c r="G2189" i="8"/>
  <c r="I2188" i="8"/>
  <c r="G2188" i="8"/>
  <c r="I2187" i="8"/>
  <c r="G2187" i="8"/>
  <c r="I2186" i="8"/>
  <c r="G2186" i="8"/>
  <c r="I2185" i="8"/>
  <c r="G2185" i="8"/>
  <c r="I2184" i="8"/>
  <c r="G2184" i="8"/>
  <c r="I2183" i="8"/>
  <c r="G2183" i="8"/>
  <c r="I2182" i="8"/>
  <c r="G2182" i="8"/>
  <c r="I2181" i="8"/>
  <c r="G2181" i="8"/>
  <c r="I2180" i="8"/>
  <c r="G2180" i="8"/>
  <c r="I2179" i="8"/>
  <c r="G2179" i="8"/>
  <c r="I2178" i="8"/>
  <c r="G2178" i="8"/>
  <c r="I2177" i="8"/>
  <c r="G2177" i="8"/>
  <c r="I2176" i="8"/>
  <c r="G2176" i="8"/>
  <c r="I2175" i="8"/>
  <c r="G2175" i="8"/>
  <c r="I2174" i="8"/>
  <c r="G2174" i="8"/>
  <c r="I2173" i="8"/>
  <c r="G2173" i="8"/>
  <c r="I2172" i="8"/>
  <c r="G2172" i="8"/>
  <c r="I2171" i="8"/>
  <c r="G2171" i="8"/>
  <c r="I2170" i="8"/>
  <c r="G2170" i="8"/>
  <c r="I2169" i="8"/>
  <c r="G2169" i="8"/>
  <c r="I2168" i="8"/>
  <c r="G2168" i="8"/>
  <c r="I2167" i="8"/>
  <c r="G2167" i="8"/>
  <c r="I2166" i="8"/>
  <c r="G2166" i="8"/>
  <c r="I2165" i="8"/>
  <c r="G2165" i="8"/>
  <c r="I2164" i="8"/>
  <c r="G2164" i="8"/>
  <c r="I2163" i="8"/>
  <c r="G2163" i="8"/>
  <c r="I2162" i="8"/>
  <c r="G2162" i="8"/>
  <c r="I2161" i="8"/>
  <c r="G2161" i="8"/>
  <c r="I2160" i="8"/>
  <c r="G2160" i="8"/>
  <c r="I2159" i="8"/>
  <c r="G2159" i="8"/>
  <c r="I2158" i="8"/>
  <c r="G2158" i="8"/>
  <c r="I2157" i="8"/>
  <c r="G2157" i="8"/>
  <c r="I2156" i="8"/>
  <c r="G2156" i="8"/>
  <c r="I2155" i="8"/>
  <c r="G2155" i="8"/>
  <c r="I2154" i="8"/>
  <c r="G2154" i="8"/>
  <c r="I2153" i="8"/>
  <c r="G2153" i="8"/>
  <c r="I2152" i="8"/>
  <c r="G2152" i="8"/>
  <c r="I2151" i="8"/>
  <c r="G2151" i="8"/>
  <c r="I2150" i="8"/>
  <c r="G2150" i="8"/>
  <c r="I2149" i="8"/>
  <c r="G2149" i="8"/>
  <c r="I2148" i="8"/>
  <c r="G2148" i="8"/>
  <c r="I2147" i="8"/>
  <c r="G2147" i="8"/>
  <c r="I2146" i="8"/>
  <c r="G2146" i="8"/>
  <c r="I2145" i="8"/>
  <c r="G2145" i="8"/>
  <c r="I2144" i="8"/>
  <c r="G2144" i="8"/>
  <c r="I2143" i="8"/>
  <c r="G2143" i="8"/>
  <c r="I2142" i="8"/>
  <c r="G2142" i="8"/>
  <c r="I2141" i="8"/>
  <c r="G2141" i="8"/>
  <c r="I2140" i="8"/>
  <c r="G2140" i="8"/>
  <c r="I2139" i="8"/>
  <c r="G2139" i="8"/>
  <c r="I2138" i="8"/>
  <c r="G2138" i="8"/>
  <c r="I2137" i="8"/>
  <c r="G2137" i="8"/>
  <c r="I2136" i="8"/>
  <c r="G2136" i="8"/>
  <c r="I2135" i="8"/>
  <c r="G2135" i="8"/>
  <c r="I2134" i="8"/>
  <c r="G2134" i="8"/>
  <c r="I2133" i="8"/>
  <c r="G2133" i="8"/>
  <c r="I2132" i="8"/>
  <c r="G2132" i="8"/>
  <c r="I2131" i="8"/>
  <c r="G2131" i="8"/>
  <c r="I2130" i="8"/>
  <c r="G2130" i="8"/>
  <c r="I2129" i="8"/>
  <c r="G2129" i="8"/>
  <c r="I2128" i="8"/>
  <c r="G2128" i="8"/>
  <c r="I2127" i="8"/>
  <c r="G2127" i="8"/>
  <c r="I2126" i="8"/>
  <c r="G2126" i="8"/>
  <c r="I2125" i="8"/>
  <c r="G2125" i="8"/>
  <c r="I2124" i="8"/>
  <c r="G2124" i="8"/>
  <c r="I2123" i="8"/>
  <c r="G2123" i="8"/>
  <c r="I2122" i="8"/>
  <c r="G2122" i="8"/>
  <c r="I2121" i="8"/>
  <c r="G2121" i="8"/>
  <c r="I2120" i="8"/>
  <c r="G2120" i="8"/>
  <c r="I2119" i="8"/>
  <c r="G2119" i="8"/>
  <c r="I2118" i="8"/>
  <c r="G2118" i="8"/>
  <c r="I2117" i="8"/>
  <c r="G2117" i="8"/>
  <c r="I2116" i="8"/>
  <c r="G2116" i="8"/>
  <c r="I2115" i="8"/>
  <c r="G2115" i="8"/>
  <c r="I2114" i="8"/>
  <c r="G2114" i="8"/>
  <c r="I2113" i="8"/>
  <c r="G2113" i="8"/>
  <c r="I2112" i="8"/>
  <c r="G2112" i="8"/>
  <c r="I2111" i="8"/>
  <c r="G2111" i="8"/>
  <c r="I2110" i="8"/>
  <c r="G2110" i="8"/>
  <c r="I2109" i="8"/>
  <c r="G2109" i="8"/>
  <c r="I2108" i="8"/>
  <c r="G2108" i="8"/>
  <c r="I2107" i="8"/>
  <c r="G2107" i="8"/>
  <c r="I2106" i="8"/>
  <c r="G2106" i="8"/>
  <c r="I2105" i="8"/>
  <c r="G2105" i="8"/>
  <c r="I2104" i="8"/>
  <c r="G2104" i="8"/>
  <c r="I2103" i="8"/>
  <c r="G2103" i="8"/>
  <c r="I2102" i="8"/>
  <c r="G2102" i="8"/>
  <c r="I2101" i="8"/>
  <c r="G2101" i="8"/>
  <c r="I2100" i="8"/>
  <c r="G2100" i="8"/>
  <c r="I2099" i="8"/>
  <c r="G2099" i="8"/>
  <c r="I2098" i="8"/>
  <c r="G2098" i="8"/>
  <c r="I2097" i="8"/>
  <c r="G2097" i="8"/>
  <c r="I2096" i="8"/>
  <c r="G2096" i="8"/>
  <c r="I2095" i="8"/>
  <c r="G2095" i="8"/>
  <c r="I2094" i="8"/>
  <c r="G2094" i="8"/>
  <c r="I2093" i="8"/>
  <c r="G2093" i="8"/>
  <c r="I2092" i="8"/>
  <c r="G2092" i="8"/>
  <c r="I2091" i="8"/>
  <c r="G2091" i="8"/>
  <c r="I2090" i="8"/>
  <c r="G2090" i="8"/>
  <c r="I2089" i="8"/>
  <c r="G2089" i="8"/>
  <c r="I2088" i="8"/>
  <c r="G2088" i="8"/>
  <c r="I2087" i="8"/>
  <c r="G2087" i="8"/>
  <c r="I2086" i="8"/>
  <c r="G2086" i="8"/>
  <c r="I2085" i="8"/>
  <c r="G2085" i="8"/>
  <c r="I2084" i="8"/>
  <c r="G2084" i="8"/>
  <c r="I2083" i="8"/>
  <c r="G2083" i="8"/>
  <c r="I2082" i="8"/>
  <c r="G2082" i="8"/>
  <c r="I2081" i="8"/>
  <c r="G2081" i="8"/>
  <c r="I2080" i="8"/>
  <c r="G2080" i="8"/>
  <c r="I2079" i="8"/>
  <c r="G2079" i="8"/>
  <c r="I2078" i="8"/>
  <c r="G2078" i="8"/>
  <c r="I2077" i="8"/>
  <c r="G2077" i="8"/>
  <c r="I2076" i="8"/>
  <c r="G2076" i="8"/>
  <c r="I2075" i="8"/>
  <c r="G2075" i="8"/>
  <c r="I2074" i="8"/>
  <c r="G2074" i="8"/>
  <c r="I2073" i="8"/>
  <c r="G2073" i="8"/>
  <c r="I2072" i="8"/>
  <c r="G2072" i="8"/>
  <c r="I2071" i="8"/>
  <c r="G2071" i="8"/>
  <c r="I2070" i="8"/>
  <c r="G2070" i="8"/>
  <c r="I2069" i="8"/>
  <c r="G2069" i="8"/>
  <c r="I2068" i="8"/>
  <c r="G2068" i="8"/>
  <c r="I2067" i="8"/>
  <c r="G2067" i="8"/>
  <c r="I2066" i="8"/>
  <c r="G2066" i="8"/>
  <c r="I2065" i="8"/>
  <c r="G2065" i="8"/>
  <c r="I2064" i="8"/>
  <c r="G2064" i="8"/>
  <c r="I2063" i="8"/>
  <c r="G2063" i="8"/>
  <c r="I2062" i="8"/>
  <c r="G2062" i="8"/>
  <c r="I2061" i="8"/>
  <c r="G2061" i="8"/>
  <c r="I2060" i="8"/>
  <c r="G2060" i="8"/>
  <c r="I2059" i="8"/>
  <c r="G2059" i="8"/>
  <c r="I2058" i="8"/>
  <c r="G2058" i="8"/>
  <c r="I2057" i="8"/>
  <c r="G2057" i="8"/>
  <c r="I2056" i="8"/>
  <c r="G2056" i="8"/>
  <c r="I2055" i="8"/>
  <c r="G2055" i="8"/>
  <c r="I2054" i="8"/>
  <c r="G2054" i="8"/>
  <c r="I2053" i="8"/>
  <c r="G2053" i="8"/>
  <c r="I2052" i="8"/>
  <c r="G2052" i="8"/>
  <c r="I2051" i="8"/>
  <c r="G2051" i="8"/>
  <c r="I2050" i="8"/>
  <c r="G2050" i="8"/>
  <c r="I2049" i="8"/>
  <c r="G2049" i="8"/>
  <c r="I2048" i="8"/>
  <c r="G2048" i="8"/>
  <c r="I2047" i="8"/>
  <c r="G2047" i="8"/>
  <c r="I2046" i="8"/>
  <c r="G2046" i="8"/>
  <c r="I2045" i="8"/>
  <c r="G2045" i="8"/>
  <c r="I2044" i="8"/>
  <c r="G2044" i="8"/>
  <c r="I2043" i="8"/>
  <c r="G2043" i="8"/>
  <c r="I2042" i="8"/>
  <c r="G2042" i="8"/>
  <c r="I2041" i="8"/>
  <c r="G2041" i="8"/>
  <c r="I2040" i="8"/>
  <c r="G2040" i="8"/>
  <c r="I2039" i="8"/>
  <c r="G2039" i="8"/>
  <c r="I2038" i="8"/>
  <c r="G2038" i="8"/>
  <c r="I2037" i="8"/>
  <c r="G2037" i="8"/>
  <c r="I2036" i="8"/>
  <c r="G2036" i="8"/>
  <c r="I2035" i="8"/>
  <c r="G2035" i="8"/>
  <c r="I2034" i="8"/>
  <c r="G2034" i="8"/>
  <c r="I2033" i="8"/>
  <c r="G2033" i="8"/>
  <c r="I2032" i="8"/>
  <c r="G2032" i="8"/>
  <c r="I2031" i="8"/>
  <c r="G2031" i="8"/>
  <c r="I2030" i="8"/>
  <c r="G2030" i="8"/>
  <c r="I2029" i="8"/>
  <c r="G2029" i="8"/>
  <c r="I2028" i="8"/>
  <c r="G2028" i="8"/>
  <c r="I2027" i="8"/>
  <c r="G2027" i="8"/>
  <c r="I2026" i="8"/>
  <c r="G2026" i="8"/>
  <c r="I2025" i="8"/>
  <c r="G2025" i="8"/>
  <c r="I2024" i="8"/>
  <c r="G2024" i="8"/>
  <c r="I2023" i="8"/>
  <c r="G2023" i="8"/>
  <c r="I2022" i="8"/>
  <c r="G2022" i="8"/>
  <c r="I2021" i="8"/>
  <c r="G2021" i="8"/>
  <c r="I2020" i="8"/>
  <c r="G2020" i="8"/>
  <c r="I2019" i="8"/>
  <c r="G2019" i="8"/>
  <c r="I2018" i="8"/>
  <c r="G2018" i="8"/>
  <c r="I2017" i="8"/>
  <c r="G2017" i="8"/>
  <c r="I2016" i="8"/>
  <c r="G2016" i="8"/>
  <c r="I2015" i="8"/>
  <c r="G2015" i="8"/>
  <c r="I2014" i="8"/>
  <c r="G2014" i="8"/>
  <c r="I2013" i="8"/>
  <c r="G2013" i="8"/>
  <c r="I2012" i="8"/>
  <c r="G2012" i="8"/>
  <c r="I2011" i="8"/>
  <c r="G2011" i="8"/>
  <c r="I2010" i="8"/>
  <c r="G2010" i="8"/>
  <c r="I2009" i="8"/>
  <c r="G2009" i="8"/>
  <c r="I2008" i="8"/>
  <c r="G2008" i="8"/>
  <c r="I2007" i="8"/>
  <c r="G2007" i="8"/>
  <c r="I2006" i="8"/>
  <c r="G2006" i="8"/>
  <c r="I2005" i="8"/>
  <c r="G2005" i="8"/>
  <c r="I2004" i="8"/>
  <c r="G2004" i="8"/>
  <c r="I2003" i="8"/>
  <c r="G2003" i="8"/>
  <c r="I2002" i="8"/>
  <c r="G2002" i="8"/>
  <c r="I2001" i="8"/>
  <c r="G2001" i="8"/>
  <c r="I2000" i="8"/>
  <c r="G2000" i="8"/>
  <c r="I1999" i="8"/>
  <c r="G1999" i="8"/>
  <c r="I1998" i="8"/>
  <c r="G1998" i="8"/>
  <c r="I1997" i="8"/>
  <c r="G1997" i="8"/>
  <c r="I1996" i="8"/>
  <c r="G1996" i="8"/>
  <c r="I1995" i="8"/>
  <c r="G1995" i="8"/>
  <c r="I1994" i="8"/>
  <c r="G1994" i="8"/>
  <c r="I1993" i="8"/>
  <c r="G1993" i="8"/>
  <c r="I1992" i="8"/>
  <c r="G1992" i="8"/>
  <c r="I1991" i="8"/>
  <c r="G1991" i="8"/>
  <c r="I1990" i="8"/>
  <c r="G1990" i="8"/>
  <c r="I1989" i="8"/>
  <c r="G1989" i="8"/>
  <c r="I1988" i="8"/>
  <c r="G1988" i="8"/>
  <c r="I1987" i="8"/>
  <c r="G1987" i="8"/>
  <c r="I1986" i="8"/>
  <c r="G1986" i="8"/>
  <c r="I1985" i="8"/>
  <c r="G1985" i="8"/>
  <c r="I1984" i="8"/>
  <c r="G1984" i="8"/>
  <c r="I1983" i="8"/>
  <c r="G1983" i="8"/>
  <c r="I1982" i="8"/>
  <c r="G1982" i="8"/>
  <c r="I1981" i="8"/>
  <c r="G1981" i="8"/>
  <c r="I1980" i="8"/>
  <c r="G1980" i="8"/>
  <c r="I1979" i="8"/>
  <c r="G1979" i="8"/>
  <c r="I1978" i="8"/>
  <c r="G1978" i="8"/>
  <c r="I1977" i="8"/>
  <c r="G1977" i="8"/>
  <c r="I1976" i="8"/>
  <c r="G1976" i="8"/>
  <c r="I1975" i="8"/>
  <c r="G1975" i="8"/>
  <c r="I1974" i="8"/>
  <c r="G1974" i="8"/>
  <c r="I1973" i="8"/>
  <c r="G1973" i="8"/>
  <c r="I1972" i="8"/>
  <c r="G1972" i="8"/>
  <c r="I1971" i="8"/>
  <c r="G1971" i="8"/>
  <c r="I1970" i="8"/>
  <c r="G1970" i="8"/>
  <c r="I1969" i="8"/>
  <c r="G1969" i="8"/>
  <c r="I1968" i="8"/>
  <c r="G1968" i="8"/>
  <c r="I1967" i="8"/>
  <c r="G1967" i="8"/>
  <c r="I1966" i="8"/>
  <c r="G1966" i="8"/>
  <c r="I1965" i="8"/>
  <c r="G1965" i="8"/>
  <c r="I1964" i="8"/>
  <c r="G1964" i="8"/>
  <c r="I1963" i="8"/>
  <c r="G1963" i="8"/>
  <c r="I1962" i="8"/>
  <c r="G1962" i="8"/>
  <c r="I1961" i="8"/>
  <c r="G1961" i="8"/>
  <c r="I1960" i="8"/>
  <c r="G1960" i="8"/>
  <c r="I1959" i="8"/>
  <c r="G1959" i="8"/>
  <c r="I1958" i="8"/>
  <c r="G1958" i="8"/>
  <c r="I1957" i="8"/>
  <c r="G1957" i="8"/>
  <c r="I1956" i="8"/>
  <c r="G1956" i="8"/>
  <c r="I1955" i="8"/>
  <c r="G1955" i="8"/>
  <c r="I1954" i="8"/>
  <c r="G1954" i="8"/>
  <c r="I1953" i="8"/>
  <c r="G1953" i="8"/>
  <c r="I1952" i="8"/>
  <c r="G1952" i="8"/>
  <c r="I1951" i="8"/>
  <c r="G1951" i="8"/>
  <c r="I1950" i="8"/>
  <c r="G1950" i="8"/>
  <c r="I1949" i="8"/>
  <c r="G1949" i="8"/>
  <c r="I1948" i="8"/>
  <c r="G1948" i="8"/>
  <c r="I1947" i="8"/>
  <c r="G1947" i="8"/>
  <c r="I1946" i="8"/>
  <c r="G1946" i="8"/>
  <c r="I1945" i="8"/>
  <c r="G1945" i="8"/>
  <c r="I1944" i="8"/>
  <c r="G1944" i="8"/>
  <c r="I1943" i="8"/>
  <c r="G1943" i="8"/>
  <c r="I1942" i="8"/>
  <c r="G1942" i="8"/>
  <c r="I1941" i="8"/>
  <c r="G1941" i="8"/>
  <c r="I1940" i="8"/>
  <c r="G1940" i="8"/>
  <c r="I1939" i="8"/>
  <c r="G1939" i="8"/>
  <c r="I1938" i="8"/>
  <c r="G1938" i="8"/>
  <c r="I1937" i="8"/>
  <c r="G1937" i="8"/>
  <c r="I1936" i="8"/>
  <c r="G1936" i="8"/>
  <c r="I1935" i="8"/>
  <c r="G1935" i="8"/>
  <c r="I1934" i="8"/>
  <c r="G1934" i="8"/>
  <c r="I1933" i="8"/>
  <c r="G1933" i="8"/>
  <c r="I1932" i="8"/>
  <c r="G1932" i="8"/>
  <c r="I1931" i="8"/>
  <c r="G1931" i="8"/>
  <c r="I1930" i="8"/>
  <c r="G1930" i="8"/>
  <c r="I1929" i="8"/>
  <c r="G1929" i="8"/>
  <c r="I1928" i="8"/>
  <c r="G1928" i="8"/>
  <c r="I1927" i="8"/>
  <c r="G1927" i="8"/>
  <c r="I1926" i="8"/>
  <c r="G1926" i="8"/>
  <c r="I1925" i="8"/>
  <c r="G1925" i="8"/>
  <c r="I1924" i="8"/>
  <c r="G1924" i="8"/>
  <c r="I1923" i="8"/>
  <c r="G1923" i="8"/>
  <c r="I1922" i="8"/>
  <c r="G1922" i="8"/>
  <c r="I1921" i="8"/>
  <c r="G1921" i="8"/>
  <c r="I1920" i="8"/>
  <c r="G1920" i="8"/>
  <c r="I1919" i="8"/>
  <c r="G1919" i="8"/>
  <c r="I1918" i="8"/>
  <c r="G1918" i="8"/>
  <c r="I1917" i="8"/>
  <c r="G1917" i="8"/>
  <c r="I1916" i="8"/>
  <c r="G1916" i="8"/>
  <c r="I1915" i="8"/>
  <c r="G1915" i="8"/>
  <c r="I1914" i="8"/>
  <c r="G1914" i="8"/>
  <c r="I1913" i="8"/>
  <c r="G1913" i="8"/>
  <c r="I1912" i="8"/>
  <c r="G1912" i="8"/>
  <c r="I1911" i="8"/>
  <c r="G1911" i="8"/>
  <c r="I1910" i="8"/>
  <c r="G1910" i="8"/>
  <c r="I1909" i="8"/>
  <c r="G1909" i="8"/>
  <c r="I1908" i="8"/>
  <c r="G1908" i="8"/>
  <c r="I1907" i="8"/>
  <c r="G1907" i="8"/>
  <c r="I1906" i="8"/>
  <c r="G1906" i="8"/>
  <c r="I1905" i="8"/>
  <c r="G1905" i="8"/>
  <c r="I1904" i="8"/>
  <c r="G1904" i="8"/>
  <c r="I1903" i="8"/>
  <c r="G1903" i="8"/>
  <c r="I1902" i="8"/>
  <c r="G1902" i="8"/>
  <c r="I1901" i="8"/>
  <c r="G1901" i="8"/>
  <c r="I1900" i="8"/>
  <c r="G1900" i="8"/>
  <c r="I1899" i="8"/>
  <c r="G1899" i="8"/>
  <c r="I1898" i="8"/>
  <c r="G1898" i="8"/>
  <c r="I1897" i="8"/>
  <c r="G1897" i="8"/>
  <c r="I1896" i="8"/>
  <c r="G1896" i="8"/>
  <c r="I1895" i="8"/>
  <c r="G1895" i="8"/>
  <c r="I1894" i="8"/>
  <c r="G1894" i="8"/>
  <c r="I1893" i="8"/>
  <c r="G1893" i="8"/>
  <c r="I1892" i="8"/>
  <c r="G1892" i="8"/>
  <c r="I1891" i="8"/>
  <c r="G1891" i="8"/>
  <c r="I1890" i="8"/>
  <c r="G1890" i="8"/>
  <c r="I1889" i="8"/>
  <c r="G1889" i="8"/>
  <c r="I1888" i="8"/>
  <c r="G1888" i="8"/>
  <c r="I1887" i="8"/>
  <c r="G1887" i="8"/>
  <c r="I1886" i="8"/>
  <c r="G1886" i="8"/>
  <c r="I1885" i="8"/>
  <c r="G1885" i="8"/>
  <c r="I1884" i="8"/>
  <c r="G1884" i="8"/>
  <c r="I1883" i="8"/>
  <c r="G1883" i="8"/>
  <c r="I1882" i="8"/>
  <c r="G1882" i="8"/>
  <c r="I1881" i="8"/>
  <c r="G1881" i="8"/>
  <c r="I1880" i="8"/>
  <c r="G1880" i="8"/>
  <c r="I1879" i="8"/>
  <c r="G1879" i="8"/>
  <c r="I1878" i="8"/>
  <c r="G1878" i="8"/>
  <c r="I1877" i="8"/>
  <c r="G1877" i="8"/>
  <c r="I1876" i="8"/>
  <c r="G1876" i="8"/>
  <c r="I1875" i="8"/>
  <c r="G1875" i="8"/>
  <c r="I1874" i="8"/>
  <c r="G1874" i="8"/>
  <c r="I1873" i="8"/>
  <c r="G1873" i="8"/>
  <c r="I1872" i="8"/>
  <c r="G1872" i="8"/>
  <c r="I1871" i="8"/>
  <c r="G1871" i="8"/>
  <c r="I1870" i="8"/>
  <c r="G1870" i="8"/>
  <c r="I1869" i="8"/>
  <c r="G1869" i="8"/>
  <c r="I1868" i="8"/>
  <c r="G1868" i="8"/>
  <c r="I1867" i="8"/>
  <c r="G1867" i="8"/>
  <c r="I1866" i="8"/>
  <c r="G1866" i="8"/>
  <c r="I1865" i="8"/>
  <c r="G1865" i="8"/>
  <c r="I1864" i="8"/>
  <c r="G1864" i="8"/>
  <c r="I1863" i="8"/>
  <c r="G1863" i="8"/>
  <c r="I1862" i="8"/>
  <c r="G1862" i="8"/>
  <c r="I1861" i="8"/>
  <c r="G1861" i="8"/>
  <c r="I1860" i="8"/>
  <c r="G1860" i="8"/>
  <c r="I1859" i="8"/>
  <c r="G1859" i="8"/>
  <c r="I1858" i="8"/>
  <c r="G1858" i="8"/>
  <c r="I1857" i="8"/>
  <c r="G1857" i="8"/>
  <c r="I1856" i="8"/>
  <c r="G1856" i="8"/>
  <c r="I1855" i="8"/>
  <c r="G1855" i="8"/>
  <c r="I1854" i="8"/>
  <c r="G1854" i="8"/>
  <c r="I1853" i="8"/>
  <c r="G1853" i="8"/>
  <c r="I1852" i="8"/>
  <c r="G1852" i="8"/>
  <c r="I1851" i="8"/>
  <c r="G1851" i="8"/>
  <c r="I1850" i="8"/>
  <c r="G1850" i="8"/>
  <c r="I1849" i="8"/>
  <c r="G1849" i="8"/>
  <c r="I1848" i="8"/>
  <c r="G1848" i="8"/>
  <c r="I1847" i="8"/>
  <c r="G1847" i="8"/>
  <c r="I1846" i="8"/>
  <c r="G1846" i="8"/>
  <c r="I1845" i="8"/>
  <c r="G1845" i="8"/>
  <c r="I1844" i="8"/>
  <c r="G1844" i="8"/>
  <c r="I1843" i="8"/>
  <c r="G1843" i="8"/>
  <c r="I1842" i="8"/>
  <c r="G1842" i="8"/>
  <c r="I1841" i="8"/>
  <c r="G1841" i="8"/>
  <c r="I1840" i="8"/>
  <c r="G1840" i="8"/>
  <c r="I1839" i="8"/>
  <c r="G1839" i="8"/>
  <c r="I1838" i="8"/>
  <c r="G1838" i="8"/>
  <c r="I1837" i="8"/>
  <c r="G1837" i="8"/>
  <c r="I1836" i="8"/>
  <c r="G1836" i="8"/>
  <c r="I1835" i="8"/>
  <c r="G1835" i="8"/>
  <c r="I1834" i="8"/>
  <c r="G1834" i="8"/>
  <c r="I1833" i="8"/>
  <c r="G1833" i="8"/>
  <c r="I1832" i="8"/>
  <c r="G1832" i="8"/>
  <c r="I1831" i="8"/>
  <c r="G1831" i="8"/>
  <c r="I1830" i="8"/>
  <c r="G1830" i="8"/>
  <c r="I1829" i="8"/>
  <c r="G1829" i="8"/>
  <c r="I1828" i="8"/>
  <c r="G1828" i="8"/>
  <c r="I1827" i="8"/>
  <c r="G1827" i="8"/>
  <c r="I1826" i="8"/>
  <c r="G1826" i="8"/>
  <c r="I1825" i="8"/>
  <c r="G1825" i="8"/>
  <c r="I1824" i="8"/>
  <c r="G1824" i="8"/>
  <c r="I1823" i="8"/>
  <c r="G1823" i="8"/>
  <c r="I1822" i="8"/>
  <c r="G1822" i="8"/>
  <c r="I1821" i="8"/>
  <c r="G1821" i="8"/>
  <c r="I1820" i="8"/>
  <c r="G1820" i="8"/>
  <c r="I1819" i="8"/>
  <c r="G1819" i="8"/>
  <c r="I1818" i="8"/>
  <c r="G1818" i="8"/>
  <c r="I1817" i="8"/>
  <c r="G1817" i="8"/>
  <c r="I1816" i="8"/>
  <c r="G1816" i="8"/>
  <c r="I1815" i="8"/>
  <c r="G1815" i="8"/>
  <c r="I1814" i="8"/>
  <c r="G1814" i="8"/>
  <c r="I1813" i="8"/>
  <c r="G1813" i="8"/>
  <c r="I1812" i="8"/>
  <c r="G1812" i="8"/>
  <c r="I1811" i="8"/>
  <c r="G1811" i="8"/>
  <c r="I1810" i="8"/>
  <c r="G1810" i="8"/>
  <c r="I1809" i="8"/>
  <c r="G1809" i="8"/>
  <c r="I1808" i="8"/>
  <c r="G1808" i="8"/>
  <c r="I1807" i="8"/>
  <c r="G1807" i="8"/>
  <c r="I1806" i="8"/>
  <c r="G1806" i="8"/>
  <c r="I1805" i="8"/>
  <c r="G1805" i="8"/>
  <c r="I1804" i="8"/>
  <c r="G1804" i="8"/>
  <c r="I1803" i="8"/>
  <c r="G1803" i="8"/>
  <c r="I1802" i="8"/>
  <c r="G1802" i="8"/>
  <c r="I1801" i="8"/>
  <c r="G1801" i="8"/>
  <c r="I1800" i="8"/>
  <c r="G1800" i="8"/>
  <c r="I1799" i="8"/>
  <c r="G1799" i="8"/>
  <c r="I1798" i="8"/>
  <c r="G1798" i="8"/>
  <c r="I1797" i="8"/>
  <c r="G1797" i="8"/>
  <c r="I1796" i="8"/>
  <c r="G1796" i="8"/>
  <c r="I1795" i="8"/>
  <c r="G1795" i="8"/>
  <c r="I1794" i="8"/>
  <c r="G1794" i="8"/>
  <c r="I1793" i="8"/>
  <c r="G1793" i="8"/>
  <c r="I1792" i="8"/>
  <c r="G1792" i="8"/>
  <c r="I1791" i="8"/>
  <c r="G1791" i="8"/>
  <c r="I1790" i="8"/>
  <c r="G1790" i="8"/>
  <c r="I1789" i="8"/>
  <c r="G1789" i="8"/>
  <c r="I1788" i="8"/>
  <c r="G1788" i="8"/>
  <c r="I1787" i="8"/>
  <c r="G1787" i="8"/>
  <c r="I1786" i="8"/>
  <c r="G1786" i="8"/>
  <c r="I1785" i="8"/>
  <c r="G1785" i="8"/>
  <c r="I1784" i="8"/>
  <c r="G1784" i="8"/>
  <c r="I1783" i="8"/>
  <c r="G1783" i="8"/>
  <c r="I1782" i="8"/>
  <c r="G1782" i="8"/>
  <c r="I1781" i="8"/>
  <c r="G1781" i="8"/>
  <c r="I1780" i="8"/>
  <c r="G1780" i="8"/>
  <c r="I1779" i="8"/>
  <c r="G1779" i="8"/>
  <c r="I1778" i="8"/>
  <c r="G1778" i="8"/>
  <c r="I1777" i="8"/>
  <c r="G1777" i="8"/>
  <c r="I1776" i="8"/>
  <c r="G1776" i="8"/>
  <c r="I1775" i="8"/>
  <c r="G1775" i="8"/>
  <c r="I1774" i="8"/>
  <c r="G1774" i="8"/>
  <c r="I1773" i="8"/>
  <c r="G1773" i="8"/>
  <c r="I1772" i="8"/>
  <c r="G1772" i="8"/>
  <c r="I1771" i="8"/>
  <c r="G1771" i="8"/>
  <c r="I1770" i="8"/>
  <c r="G1770" i="8"/>
  <c r="I1769" i="8"/>
  <c r="G1769" i="8"/>
  <c r="I1768" i="8"/>
  <c r="G1768" i="8"/>
  <c r="I1767" i="8"/>
  <c r="G1767" i="8"/>
  <c r="I1766" i="8"/>
  <c r="G1766" i="8"/>
  <c r="I1765" i="8"/>
  <c r="G1765" i="8"/>
  <c r="I1764" i="8"/>
  <c r="G1764" i="8"/>
  <c r="I1763" i="8"/>
  <c r="G1763" i="8"/>
  <c r="I1762" i="8"/>
  <c r="G1762" i="8"/>
  <c r="I1761" i="8"/>
  <c r="G1761" i="8"/>
  <c r="I1760" i="8"/>
  <c r="G1760" i="8"/>
  <c r="I1759" i="8"/>
  <c r="G1759" i="8"/>
  <c r="I1758" i="8"/>
  <c r="G1758" i="8"/>
  <c r="I1757" i="8"/>
  <c r="G1757" i="8"/>
  <c r="I1756" i="8"/>
  <c r="G1756" i="8"/>
  <c r="I1755" i="8"/>
  <c r="G1755" i="8"/>
  <c r="I1754" i="8"/>
  <c r="G1754" i="8"/>
  <c r="I1753" i="8"/>
  <c r="G1753" i="8"/>
  <c r="I1752" i="8"/>
  <c r="G1752" i="8"/>
  <c r="I1751" i="8"/>
  <c r="G1751" i="8"/>
  <c r="I1750" i="8"/>
  <c r="G1750" i="8"/>
  <c r="I1749" i="8"/>
  <c r="G1749" i="8"/>
  <c r="I1748" i="8"/>
  <c r="G1748" i="8"/>
  <c r="I1747" i="8"/>
  <c r="G1747" i="8"/>
  <c r="I1746" i="8"/>
  <c r="G1746" i="8"/>
  <c r="I1745" i="8"/>
  <c r="G1745" i="8"/>
  <c r="I1744" i="8"/>
  <c r="G1744" i="8"/>
  <c r="I1743" i="8"/>
  <c r="G1743" i="8"/>
  <c r="I1742" i="8"/>
  <c r="G1742" i="8"/>
  <c r="I1741" i="8"/>
  <c r="G1741" i="8"/>
  <c r="I1740" i="8"/>
  <c r="G1740" i="8"/>
  <c r="I1739" i="8"/>
  <c r="G1739" i="8"/>
  <c r="I1738" i="8"/>
  <c r="G1738" i="8"/>
  <c r="I1737" i="8"/>
  <c r="G1737" i="8"/>
  <c r="I1736" i="8"/>
  <c r="G1736" i="8"/>
  <c r="I1735" i="8"/>
  <c r="G1735" i="8"/>
  <c r="I1734" i="8"/>
  <c r="G1734" i="8"/>
  <c r="I1733" i="8"/>
  <c r="G1733" i="8"/>
  <c r="I1732" i="8"/>
  <c r="G1732" i="8"/>
  <c r="I1731" i="8"/>
  <c r="G1731" i="8"/>
  <c r="I1730" i="8"/>
  <c r="G1730" i="8"/>
  <c r="I1729" i="8"/>
  <c r="G1729" i="8"/>
  <c r="I1728" i="8"/>
  <c r="G1728" i="8"/>
  <c r="I1727" i="8"/>
  <c r="G1727" i="8"/>
  <c r="I1726" i="8"/>
  <c r="G1726" i="8"/>
  <c r="I1725" i="8"/>
  <c r="G1725" i="8"/>
  <c r="I1724" i="8"/>
  <c r="G1724" i="8"/>
  <c r="I1723" i="8"/>
  <c r="G1723" i="8"/>
  <c r="I1722" i="8"/>
  <c r="G1722" i="8"/>
  <c r="I1721" i="8"/>
  <c r="G1721" i="8"/>
  <c r="I1720" i="8"/>
  <c r="G1720" i="8"/>
  <c r="I1719" i="8"/>
  <c r="G1719" i="8"/>
  <c r="I1718" i="8"/>
  <c r="G1718" i="8"/>
  <c r="I1717" i="8"/>
  <c r="G1717" i="8"/>
  <c r="I1716" i="8"/>
  <c r="G1716" i="8"/>
  <c r="I1715" i="8"/>
  <c r="G1715" i="8"/>
  <c r="I1714" i="8"/>
  <c r="G1714" i="8"/>
  <c r="I1713" i="8"/>
  <c r="G1713" i="8"/>
  <c r="I1712" i="8"/>
  <c r="G1712" i="8"/>
  <c r="I1711" i="8"/>
  <c r="G1711" i="8"/>
  <c r="I1710" i="8"/>
  <c r="G1710" i="8"/>
  <c r="I1709" i="8"/>
  <c r="G1709" i="8"/>
  <c r="I1708" i="8"/>
  <c r="G1708" i="8"/>
  <c r="I1707" i="8"/>
  <c r="G1707" i="8"/>
  <c r="I1706" i="8"/>
  <c r="G1706" i="8"/>
  <c r="I1705" i="8"/>
  <c r="G1705" i="8"/>
  <c r="I1704" i="8"/>
  <c r="G1704" i="8"/>
  <c r="I1703" i="8"/>
  <c r="G1703" i="8"/>
  <c r="I1702" i="8"/>
  <c r="G1702" i="8"/>
  <c r="I1701" i="8"/>
  <c r="G1701" i="8"/>
  <c r="I1700" i="8"/>
  <c r="G1700" i="8"/>
  <c r="I1699" i="8"/>
  <c r="G1699" i="8"/>
  <c r="I1698" i="8"/>
  <c r="G1698" i="8"/>
  <c r="I1697" i="8"/>
  <c r="G1697" i="8"/>
  <c r="I1696" i="8"/>
  <c r="G1696" i="8"/>
  <c r="I1695" i="8"/>
  <c r="G1695" i="8"/>
  <c r="I1694" i="8"/>
  <c r="G1694" i="8"/>
  <c r="I1693" i="8"/>
  <c r="G1693" i="8"/>
  <c r="I1692" i="8"/>
  <c r="G1692" i="8"/>
  <c r="I1691" i="8"/>
  <c r="G1691" i="8"/>
  <c r="I1690" i="8"/>
  <c r="G1690" i="8"/>
  <c r="I1689" i="8"/>
  <c r="G1689" i="8"/>
  <c r="I1688" i="8"/>
  <c r="G1688" i="8"/>
  <c r="I1687" i="8"/>
  <c r="G1687" i="8"/>
  <c r="I1686" i="8"/>
  <c r="G1686" i="8"/>
  <c r="I1685" i="8"/>
  <c r="G1685" i="8"/>
  <c r="I1684" i="8"/>
  <c r="G1684" i="8"/>
  <c r="I1683" i="8"/>
  <c r="G1683" i="8"/>
  <c r="I1682" i="8"/>
  <c r="G1682" i="8"/>
  <c r="I1681" i="8"/>
  <c r="G1681" i="8"/>
  <c r="I1680" i="8"/>
  <c r="G1680" i="8"/>
  <c r="I1679" i="8"/>
  <c r="G1679" i="8"/>
  <c r="I1678" i="8"/>
  <c r="G1678" i="8"/>
  <c r="I1677" i="8"/>
  <c r="G1677" i="8"/>
  <c r="I1676" i="8"/>
  <c r="G1676" i="8"/>
  <c r="I1675" i="8"/>
  <c r="G1675" i="8"/>
  <c r="I1674" i="8"/>
  <c r="G1674" i="8"/>
  <c r="I1673" i="8"/>
  <c r="G1673" i="8"/>
  <c r="I1672" i="8"/>
  <c r="G1672" i="8"/>
  <c r="I1671" i="8"/>
  <c r="G1671" i="8"/>
  <c r="I1670" i="8"/>
  <c r="G1670" i="8"/>
  <c r="I1669" i="8"/>
  <c r="G1669" i="8"/>
  <c r="I1668" i="8"/>
  <c r="G1668" i="8"/>
  <c r="I1667" i="8"/>
  <c r="G1667" i="8"/>
  <c r="I1666" i="8"/>
  <c r="G1666" i="8"/>
  <c r="I1665" i="8"/>
  <c r="G1665" i="8"/>
  <c r="I1664" i="8"/>
  <c r="G1664" i="8"/>
  <c r="I1663" i="8"/>
  <c r="G1663" i="8"/>
  <c r="I1662" i="8"/>
  <c r="G1662" i="8"/>
  <c r="I1661" i="8"/>
  <c r="G1661" i="8"/>
  <c r="I1660" i="8"/>
  <c r="G1660" i="8"/>
  <c r="I1659" i="8"/>
  <c r="G1659" i="8"/>
  <c r="I1658" i="8"/>
  <c r="G1658" i="8"/>
  <c r="I1657" i="8"/>
  <c r="G1657" i="8"/>
  <c r="I1656" i="8"/>
  <c r="G1656" i="8"/>
  <c r="I1655" i="8"/>
  <c r="G1655" i="8"/>
  <c r="I1654" i="8"/>
  <c r="G1654" i="8"/>
  <c r="I1653" i="8"/>
  <c r="G1653" i="8"/>
  <c r="I1652" i="8"/>
  <c r="G1652" i="8"/>
  <c r="I1651" i="8"/>
  <c r="G1651" i="8"/>
  <c r="I1650" i="8"/>
  <c r="G1650" i="8"/>
  <c r="I1649" i="8"/>
  <c r="G1649" i="8"/>
  <c r="I1648" i="8"/>
  <c r="G1648" i="8"/>
  <c r="I1647" i="8"/>
  <c r="G1647" i="8"/>
  <c r="I1646" i="8"/>
  <c r="G1646" i="8"/>
  <c r="I1645" i="8"/>
  <c r="G1645" i="8"/>
  <c r="I1644" i="8"/>
  <c r="G1644" i="8"/>
  <c r="I1643" i="8"/>
  <c r="G1643" i="8"/>
  <c r="I1642" i="8"/>
  <c r="G1642" i="8"/>
  <c r="I1641" i="8"/>
  <c r="G1641" i="8"/>
  <c r="I1640" i="8"/>
  <c r="G1640" i="8"/>
  <c r="I1639" i="8"/>
  <c r="G1639" i="8"/>
  <c r="I1638" i="8"/>
  <c r="G1638" i="8"/>
  <c r="I1637" i="8"/>
  <c r="G1637" i="8"/>
  <c r="I1636" i="8"/>
  <c r="G1636" i="8"/>
  <c r="I1635" i="8"/>
  <c r="G1635" i="8"/>
  <c r="I1634" i="8"/>
  <c r="G1634" i="8"/>
  <c r="I1633" i="8"/>
  <c r="G1633" i="8"/>
  <c r="I1632" i="8"/>
  <c r="G1632" i="8"/>
  <c r="I1631" i="8"/>
  <c r="G1631" i="8"/>
  <c r="I1630" i="8"/>
  <c r="G1630" i="8"/>
  <c r="I1629" i="8"/>
  <c r="G1629" i="8"/>
  <c r="I1628" i="8"/>
  <c r="G1628" i="8"/>
  <c r="I1627" i="8"/>
  <c r="G1627" i="8"/>
  <c r="I1626" i="8"/>
  <c r="G1626" i="8"/>
  <c r="I1625" i="8"/>
  <c r="G1625" i="8"/>
  <c r="I1624" i="8"/>
  <c r="G1624" i="8"/>
  <c r="I1623" i="8"/>
  <c r="G1623" i="8"/>
  <c r="I1622" i="8"/>
  <c r="G1622" i="8"/>
  <c r="I1621" i="8"/>
  <c r="G1621" i="8"/>
  <c r="I1620" i="8"/>
  <c r="G1620" i="8"/>
  <c r="I1619" i="8"/>
  <c r="G1619" i="8"/>
  <c r="I1618" i="8"/>
  <c r="G1618" i="8"/>
  <c r="I1617" i="8"/>
  <c r="G1617" i="8"/>
  <c r="I1616" i="8"/>
  <c r="G1616" i="8"/>
  <c r="I1615" i="8"/>
  <c r="G1615" i="8"/>
  <c r="I1614" i="8"/>
  <c r="G1614" i="8"/>
  <c r="I1613" i="8"/>
  <c r="G1613" i="8"/>
  <c r="I1612" i="8"/>
  <c r="G1612" i="8"/>
  <c r="I1611" i="8"/>
  <c r="G1611" i="8"/>
  <c r="I1610" i="8"/>
  <c r="G1610" i="8"/>
  <c r="I1609" i="8"/>
  <c r="G1609" i="8"/>
  <c r="I1608" i="8"/>
  <c r="G1608" i="8"/>
  <c r="I1607" i="8"/>
  <c r="G1607" i="8"/>
  <c r="I1606" i="8"/>
  <c r="G1606" i="8"/>
  <c r="I1605" i="8"/>
  <c r="G1605" i="8"/>
  <c r="I1604" i="8"/>
  <c r="G1604" i="8"/>
  <c r="I1603" i="8"/>
  <c r="G1603" i="8"/>
  <c r="I1602" i="8"/>
  <c r="G1602" i="8"/>
  <c r="I1601" i="8"/>
  <c r="G1601" i="8"/>
  <c r="I1600" i="8"/>
  <c r="G1600" i="8"/>
  <c r="I1599" i="8"/>
  <c r="G1599" i="8"/>
  <c r="I1598" i="8"/>
  <c r="G1598" i="8"/>
  <c r="I1597" i="8"/>
  <c r="G1597" i="8"/>
  <c r="I1596" i="8"/>
  <c r="G1596" i="8"/>
  <c r="I1595" i="8"/>
  <c r="G1595" i="8"/>
  <c r="I1594" i="8"/>
  <c r="G1594" i="8"/>
  <c r="I1593" i="8"/>
  <c r="G1593" i="8"/>
  <c r="I1592" i="8"/>
  <c r="G1592" i="8"/>
  <c r="I1591" i="8"/>
  <c r="G1591" i="8"/>
  <c r="I1590" i="8"/>
  <c r="G1590" i="8"/>
  <c r="I1589" i="8"/>
  <c r="G1589" i="8"/>
  <c r="I1588" i="8"/>
  <c r="G1588" i="8"/>
  <c r="I1587" i="8"/>
  <c r="G1587" i="8"/>
  <c r="I1586" i="8"/>
  <c r="G1586" i="8"/>
  <c r="I1585" i="8"/>
  <c r="G1585" i="8"/>
  <c r="I1584" i="8"/>
  <c r="G1584" i="8"/>
  <c r="I1583" i="8"/>
  <c r="G1583" i="8"/>
  <c r="I1582" i="8"/>
  <c r="G1582" i="8"/>
  <c r="I1581" i="8"/>
  <c r="G1581" i="8"/>
  <c r="I1580" i="8"/>
  <c r="G1580" i="8"/>
  <c r="I1579" i="8"/>
  <c r="G1579" i="8"/>
  <c r="I1578" i="8"/>
  <c r="G1578" i="8"/>
  <c r="I1577" i="8"/>
  <c r="G1577" i="8"/>
  <c r="I1576" i="8"/>
  <c r="G1576" i="8"/>
  <c r="I1575" i="8"/>
  <c r="G1575" i="8"/>
  <c r="I1574" i="8"/>
  <c r="G1574" i="8"/>
  <c r="I1573" i="8"/>
  <c r="G1573" i="8"/>
  <c r="I1572" i="8"/>
  <c r="G1572" i="8"/>
  <c r="I1571" i="8"/>
  <c r="G1571" i="8"/>
  <c r="I1570" i="8"/>
  <c r="G1570" i="8"/>
  <c r="I1569" i="8"/>
  <c r="G1569" i="8"/>
  <c r="I1568" i="8"/>
  <c r="G1568" i="8"/>
  <c r="I1567" i="8"/>
  <c r="G1567" i="8"/>
  <c r="I1566" i="8"/>
  <c r="G1566" i="8"/>
  <c r="I1565" i="8"/>
  <c r="G1565" i="8"/>
  <c r="I1564" i="8"/>
  <c r="G1564" i="8"/>
  <c r="I1563" i="8"/>
  <c r="G1563" i="8"/>
  <c r="I1562" i="8"/>
  <c r="G1562" i="8"/>
  <c r="I1561" i="8"/>
  <c r="G1561" i="8"/>
  <c r="I1560" i="8"/>
  <c r="G1560" i="8"/>
  <c r="I1559" i="8"/>
  <c r="G1559" i="8"/>
  <c r="I1558" i="8"/>
  <c r="G1558" i="8"/>
  <c r="I1557" i="8"/>
  <c r="G1557" i="8"/>
  <c r="I1556" i="8"/>
  <c r="G1556" i="8"/>
  <c r="I1555" i="8"/>
  <c r="G1555" i="8"/>
  <c r="I1554" i="8"/>
  <c r="G1554" i="8"/>
  <c r="I1553" i="8"/>
  <c r="G1553" i="8"/>
  <c r="I1552" i="8"/>
  <c r="G1552" i="8"/>
  <c r="I1551" i="8"/>
  <c r="G1551" i="8"/>
  <c r="I1550" i="8"/>
  <c r="G1550" i="8"/>
  <c r="I1549" i="8"/>
  <c r="G1549" i="8"/>
  <c r="I1548" i="8"/>
  <c r="G1548" i="8"/>
  <c r="I1547" i="8"/>
  <c r="G1547" i="8"/>
  <c r="I1546" i="8"/>
  <c r="G1546" i="8"/>
  <c r="I1545" i="8"/>
  <c r="G1545" i="8"/>
  <c r="I1544" i="8"/>
  <c r="G1544" i="8"/>
  <c r="I1543" i="8"/>
  <c r="G1543" i="8"/>
  <c r="I1542" i="8"/>
  <c r="G1542" i="8"/>
  <c r="I1541" i="8"/>
  <c r="G1541" i="8"/>
  <c r="I1540" i="8"/>
  <c r="G1540" i="8"/>
  <c r="I1539" i="8"/>
  <c r="G1539" i="8"/>
  <c r="I1538" i="8"/>
  <c r="G1538" i="8"/>
  <c r="I1537" i="8"/>
  <c r="G1537" i="8"/>
  <c r="I1536" i="8"/>
  <c r="G1536" i="8"/>
  <c r="I1535" i="8"/>
  <c r="G1535" i="8"/>
  <c r="I1534" i="8"/>
  <c r="G1534" i="8"/>
  <c r="I1533" i="8"/>
  <c r="G1533" i="8"/>
  <c r="I1532" i="8"/>
  <c r="G1532" i="8"/>
  <c r="I1531" i="8"/>
  <c r="G1531" i="8"/>
  <c r="I1530" i="8"/>
  <c r="G1530" i="8"/>
  <c r="I1529" i="8"/>
  <c r="G1529" i="8"/>
  <c r="I1528" i="8"/>
  <c r="G1528" i="8"/>
  <c r="I1527" i="8"/>
  <c r="G1527" i="8"/>
  <c r="I1526" i="8"/>
  <c r="G1526" i="8"/>
  <c r="I1525" i="8"/>
  <c r="G1525" i="8"/>
  <c r="I1524" i="8"/>
  <c r="G1524" i="8"/>
  <c r="I1523" i="8"/>
  <c r="G1523" i="8"/>
  <c r="I1522" i="8"/>
  <c r="G1522" i="8"/>
  <c r="I1521" i="8"/>
  <c r="G1521" i="8"/>
  <c r="I1520" i="8"/>
  <c r="G1520" i="8"/>
  <c r="I1519" i="8"/>
  <c r="G1519" i="8"/>
  <c r="I1518" i="8"/>
  <c r="G1518" i="8"/>
  <c r="I1517" i="8"/>
  <c r="G1517" i="8"/>
  <c r="I1516" i="8"/>
  <c r="G1516" i="8"/>
  <c r="I1515" i="8"/>
  <c r="G1515" i="8"/>
  <c r="I1514" i="8"/>
  <c r="G1514" i="8"/>
  <c r="I1513" i="8"/>
  <c r="G1513" i="8"/>
  <c r="I1512" i="8"/>
  <c r="G1512" i="8"/>
  <c r="I1511" i="8"/>
  <c r="G1511" i="8"/>
  <c r="I1510" i="8"/>
  <c r="G1510" i="8"/>
  <c r="I1509" i="8"/>
  <c r="G1509" i="8"/>
  <c r="I1508" i="8"/>
  <c r="G1508" i="8"/>
  <c r="I1507" i="8"/>
  <c r="G1507" i="8"/>
  <c r="I1506" i="8"/>
  <c r="G1506" i="8"/>
  <c r="I1505" i="8"/>
  <c r="G1505" i="8"/>
  <c r="I1504" i="8"/>
  <c r="G1504" i="8"/>
  <c r="I1503" i="8"/>
  <c r="G1503" i="8"/>
  <c r="I1502" i="8"/>
  <c r="G1502" i="8"/>
  <c r="I1501" i="8"/>
  <c r="G1501" i="8"/>
  <c r="I1500" i="8"/>
  <c r="G1500" i="8"/>
  <c r="I1499" i="8"/>
  <c r="G1499" i="8"/>
  <c r="I1498" i="8"/>
  <c r="G1498" i="8"/>
  <c r="I1497" i="8"/>
  <c r="G1497" i="8"/>
  <c r="I1496" i="8"/>
  <c r="G1496" i="8"/>
  <c r="I1495" i="8"/>
  <c r="G1495" i="8"/>
  <c r="I1494" i="8"/>
  <c r="G1494" i="8"/>
  <c r="I1493" i="8"/>
  <c r="G1493" i="8"/>
  <c r="I1492" i="8"/>
  <c r="G1492" i="8"/>
  <c r="I1491" i="8"/>
  <c r="G1491" i="8"/>
  <c r="I1490" i="8"/>
  <c r="G1490" i="8"/>
  <c r="I1489" i="8"/>
  <c r="G1489" i="8"/>
  <c r="I1488" i="8"/>
  <c r="G1488" i="8"/>
  <c r="I1487" i="8"/>
  <c r="G1487" i="8"/>
  <c r="I1486" i="8"/>
  <c r="G1486" i="8"/>
  <c r="I1485" i="8"/>
  <c r="G1485" i="8"/>
  <c r="I1484" i="8"/>
  <c r="G1484" i="8"/>
  <c r="I1483" i="8"/>
  <c r="G1483" i="8"/>
  <c r="I1482" i="8"/>
  <c r="G1482" i="8"/>
  <c r="I1481" i="8"/>
  <c r="G1481" i="8"/>
  <c r="I1480" i="8"/>
  <c r="G1480" i="8"/>
  <c r="I1479" i="8"/>
  <c r="G1479" i="8"/>
  <c r="I1478" i="8"/>
  <c r="G1478" i="8"/>
  <c r="I1477" i="8"/>
  <c r="G1477" i="8"/>
  <c r="I1476" i="8"/>
  <c r="G1476" i="8"/>
  <c r="I1475" i="8"/>
  <c r="G1475" i="8"/>
  <c r="I1474" i="8"/>
  <c r="G1474" i="8"/>
  <c r="I1473" i="8"/>
  <c r="G1473" i="8"/>
  <c r="I1472" i="8"/>
  <c r="G1472" i="8"/>
  <c r="I1471" i="8"/>
  <c r="G1471" i="8"/>
  <c r="I1470" i="8"/>
  <c r="G1470" i="8"/>
  <c r="I1469" i="8"/>
  <c r="G1469" i="8"/>
  <c r="I1468" i="8"/>
  <c r="G1468" i="8"/>
  <c r="I1467" i="8"/>
  <c r="G1467" i="8"/>
  <c r="I1466" i="8"/>
  <c r="G1466" i="8"/>
  <c r="I1465" i="8"/>
  <c r="G1465" i="8"/>
  <c r="I1464" i="8"/>
  <c r="G1464" i="8"/>
  <c r="I1463" i="8"/>
  <c r="G1463" i="8"/>
  <c r="I1462" i="8"/>
  <c r="G1462" i="8"/>
  <c r="I1461" i="8"/>
  <c r="G1461" i="8"/>
  <c r="I1460" i="8"/>
  <c r="G1460" i="8"/>
  <c r="I1459" i="8"/>
  <c r="G1459" i="8"/>
  <c r="I1458" i="8"/>
  <c r="G1458" i="8"/>
  <c r="I1457" i="8"/>
  <c r="G1457" i="8"/>
  <c r="I1456" i="8"/>
  <c r="G1456" i="8"/>
  <c r="I1455" i="8"/>
  <c r="G1455" i="8"/>
  <c r="I1454" i="8"/>
  <c r="G1454" i="8"/>
  <c r="I1453" i="8"/>
  <c r="G1453" i="8"/>
  <c r="I1452" i="8"/>
  <c r="G1452" i="8"/>
  <c r="I1451" i="8"/>
  <c r="G1451" i="8"/>
  <c r="I1450" i="8"/>
  <c r="G1450" i="8"/>
  <c r="I1449" i="8"/>
  <c r="G1449" i="8"/>
  <c r="I1448" i="8"/>
  <c r="G1448" i="8"/>
  <c r="I1447" i="8"/>
  <c r="G1447" i="8"/>
  <c r="I1446" i="8"/>
  <c r="G1446" i="8"/>
  <c r="I1445" i="8"/>
  <c r="G1445" i="8"/>
  <c r="I1444" i="8"/>
  <c r="G1444" i="8"/>
  <c r="I1443" i="8"/>
  <c r="G1443" i="8"/>
  <c r="I1442" i="8"/>
  <c r="G1442" i="8"/>
  <c r="I1441" i="8"/>
  <c r="G1441" i="8"/>
  <c r="I1440" i="8"/>
  <c r="G1440" i="8"/>
  <c r="I1439" i="8"/>
  <c r="G1439" i="8"/>
  <c r="I1438" i="8"/>
  <c r="G1438" i="8"/>
  <c r="I1437" i="8"/>
  <c r="G1437" i="8"/>
  <c r="I1436" i="8"/>
  <c r="G1436" i="8"/>
  <c r="I1435" i="8"/>
  <c r="G1435" i="8"/>
  <c r="I1434" i="8"/>
  <c r="G1434" i="8"/>
  <c r="I1433" i="8"/>
  <c r="G1433" i="8"/>
  <c r="I1432" i="8"/>
  <c r="G1432" i="8"/>
  <c r="I1431" i="8"/>
  <c r="G1431" i="8"/>
  <c r="I1430" i="8"/>
  <c r="G1430" i="8"/>
  <c r="I1429" i="8"/>
  <c r="G1429" i="8"/>
  <c r="I1428" i="8"/>
  <c r="G1428" i="8"/>
  <c r="I1427" i="8"/>
  <c r="G1427" i="8"/>
  <c r="I1426" i="8"/>
  <c r="G1426" i="8"/>
  <c r="I1425" i="8"/>
  <c r="G1425" i="8"/>
  <c r="I1424" i="8"/>
  <c r="G1424" i="8"/>
  <c r="I1423" i="8"/>
  <c r="G1423" i="8"/>
  <c r="I1422" i="8"/>
  <c r="G1422" i="8"/>
  <c r="I1421" i="8"/>
  <c r="G1421" i="8"/>
  <c r="I1420" i="8"/>
  <c r="G1420" i="8"/>
  <c r="I1419" i="8"/>
  <c r="G1419" i="8"/>
  <c r="I1418" i="8"/>
  <c r="G1418" i="8"/>
  <c r="I1417" i="8"/>
  <c r="G1417" i="8"/>
  <c r="I1416" i="8"/>
  <c r="G1416" i="8"/>
  <c r="I1415" i="8"/>
  <c r="G1415" i="8"/>
  <c r="I1414" i="8"/>
  <c r="G1414" i="8"/>
  <c r="I1413" i="8"/>
  <c r="G1413" i="8"/>
  <c r="I1412" i="8"/>
  <c r="G1412" i="8"/>
  <c r="I1411" i="8"/>
  <c r="G1411" i="8"/>
  <c r="I1410" i="8"/>
  <c r="G1410" i="8"/>
  <c r="I1409" i="8"/>
  <c r="G1409" i="8"/>
  <c r="I1408" i="8"/>
  <c r="G1408" i="8"/>
  <c r="I1407" i="8"/>
  <c r="G1407" i="8"/>
  <c r="I1406" i="8"/>
  <c r="G1406" i="8"/>
  <c r="I1405" i="8"/>
  <c r="G1405" i="8"/>
  <c r="I1404" i="8"/>
  <c r="G1404" i="8"/>
  <c r="I1403" i="8"/>
  <c r="G1403" i="8"/>
  <c r="I1402" i="8"/>
  <c r="G1402" i="8"/>
  <c r="I1401" i="8"/>
  <c r="G1401" i="8"/>
  <c r="I1400" i="8"/>
  <c r="G1400" i="8"/>
  <c r="I1399" i="8"/>
  <c r="G1399" i="8"/>
  <c r="I1398" i="8"/>
  <c r="G1398" i="8"/>
  <c r="I1397" i="8"/>
  <c r="G1397" i="8"/>
  <c r="I1396" i="8"/>
  <c r="G1396" i="8"/>
  <c r="I1395" i="8"/>
  <c r="G1395" i="8"/>
  <c r="I1394" i="8"/>
  <c r="G1394" i="8"/>
  <c r="I1393" i="8"/>
  <c r="G1393" i="8"/>
  <c r="I1392" i="8"/>
  <c r="G1392" i="8"/>
  <c r="I1391" i="8"/>
  <c r="G1391" i="8"/>
  <c r="I1390" i="8"/>
  <c r="G1390" i="8"/>
  <c r="I1389" i="8"/>
  <c r="G1389" i="8"/>
  <c r="I1388" i="8"/>
  <c r="G1388" i="8"/>
  <c r="I1387" i="8"/>
  <c r="G1387" i="8"/>
  <c r="I1386" i="8"/>
  <c r="G1386" i="8"/>
  <c r="I1385" i="8"/>
  <c r="G1385" i="8"/>
  <c r="I1384" i="8"/>
  <c r="G1384" i="8"/>
  <c r="I1383" i="8"/>
  <c r="G1383" i="8"/>
  <c r="I1382" i="8"/>
  <c r="G1382" i="8"/>
  <c r="I1381" i="8"/>
  <c r="G1381" i="8"/>
  <c r="I1380" i="8"/>
  <c r="G1380" i="8"/>
  <c r="I1379" i="8"/>
  <c r="G1379" i="8"/>
  <c r="I1378" i="8"/>
  <c r="G1378" i="8"/>
  <c r="I1377" i="8"/>
  <c r="G1377" i="8"/>
  <c r="I1376" i="8"/>
  <c r="G1376" i="8"/>
  <c r="I1375" i="8"/>
  <c r="G1375" i="8"/>
  <c r="I1374" i="8"/>
  <c r="G1374" i="8"/>
  <c r="I1373" i="8"/>
  <c r="G1373" i="8"/>
  <c r="I1372" i="8"/>
  <c r="G1372" i="8"/>
  <c r="I1371" i="8"/>
  <c r="G1371" i="8"/>
  <c r="I1370" i="8"/>
  <c r="G1370" i="8"/>
  <c r="I1369" i="8"/>
  <c r="G1369" i="8"/>
  <c r="I1368" i="8"/>
  <c r="G1368" i="8"/>
  <c r="I1367" i="8"/>
  <c r="G1367" i="8"/>
  <c r="I1366" i="8"/>
  <c r="G1366" i="8"/>
  <c r="I1365" i="8"/>
  <c r="G1365" i="8"/>
  <c r="I1364" i="8"/>
  <c r="G1364" i="8"/>
  <c r="I1363" i="8"/>
  <c r="G1363" i="8"/>
  <c r="I1362" i="8"/>
  <c r="G1362" i="8"/>
  <c r="I1361" i="8"/>
  <c r="G1361" i="8"/>
  <c r="I1360" i="8"/>
  <c r="G1360" i="8"/>
  <c r="I1359" i="8"/>
  <c r="G1359" i="8"/>
  <c r="I1358" i="8"/>
  <c r="G1358" i="8"/>
  <c r="I1357" i="8"/>
  <c r="G1357" i="8"/>
  <c r="I1356" i="8"/>
  <c r="G1356" i="8"/>
  <c r="I1355" i="8"/>
  <c r="G1355" i="8"/>
  <c r="I1354" i="8"/>
  <c r="G1354" i="8"/>
  <c r="I1353" i="8"/>
  <c r="G1353" i="8"/>
  <c r="I1352" i="8"/>
  <c r="G1352" i="8"/>
  <c r="I1351" i="8"/>
  <c r="G1351" i="8"/>
  <c r="I1350" i="8"/>
  <c r="G1350" i="8"/>
  <c r="I1349" i="8"/>
  <c r="G1349" i="8"/>
  <c r="I1348" i="8"/>
  <c r="G1348" i="8"/>
  <c r="I1347" i="8"/>
  <c r="G1347" i="8"/>
  <c r="I1346" i="8"/>
  <c r="G1346" i="8"/>
  <c r="I1345" i="8"/>
  <c r="G1345" i="8"/>
  <c r="I1344" i="8"/>
  <c r="G1344" i="8"/>
  <c r="I1343" i="8"/>
  <c r="G1343" i="8"/>
  <c r="I1342" i="8"/>
  <c r="G1342" i="8"/>
  <c r="I1341" i="8"/>
  <c r="G1341" i="8"/>
  <c r="I1340" i="8"/>
  <c r="G1340" i="8"/>
  <c r="I1339" i="8"/>
  <c r="G1339" i="8"/>
  <c r="I1338" i="8"/>
  <c r="G1338" i="8"/>
  <c r="I1337" i="8"/>
  <c r="G1337" i="8"/>
  <c r="I1336" i="8"/>
  <c r="G1336" i="8"/>
  <c r="I1335" i="8"/>
  <c r="G1335" i="8"/>
  <c r="I1334" i="8"/>
  <c r="G1334" i="8"/>
  <c r="I1333" i="8"/>
  <c r="G1333" i="8"/>
  <c r="I1332" i="8"/>
  <c r="G1332" i="8"/>
  <c r="I1331" i="8"/>
  <c r="G1331" i="8"/>
  <c r="I1330" i="8"/>
  <c r="G1330" i="8"/>
  <c r="I1329" i="8"/>
  <c r="G1329" i="8"/>
  <c r="I1328" i="8"/>
  <c r="G1328" i="8"/>
  <c r="I1327" i="8"/>
  <c r="G1327" i="8"/>
  <c r="I1326" i="8"/>
  <c r="G1326" i="8"/>
  <c r="I1325" i="8"/>
  <c r="G1325" i="8"/>
  <c r="I1324" i="8"/>
  <c r="G1324" i="8"/>
  <c r="I1323" i="8"/>
  <c r="G1323" i="8"/>
  <c r="I1322" i="8"/>
  <c r="G1322" i="8"/>
  <c r="I1321" i="8"/>
  <c r="G1321" i="8"/>
  <c r="I1320" i="8"/>
  <c r="G1320" i="8"/>
  <c r="I1319" i="8"/>
  <c r="G1319" i="8"/>
  <c r="I1318" i="8"/>
  <c r="G1318" i="8"/>
  <c r="I1317" i="8"/>
  <c r="G1317" i="8"/>
  <c r="I1316" i="8"/>
  <c r="G1316" i="8"/>
  <c r="I1315" i="8"/>
  <c r="G1315" i="8"/>
  <c r="I1314" i="8"/>
  <c r="G1314" i="8"/>
  <c r="I1313" i="8"/>
  <c r="G1313" i="8"/>
  <c r="I1312" i="8"/>
  <c r="G1312" i="8"/>
  <c r="I1311" i="8"/>
  <c r="G1311" i="8"/>
  <c r="I1310" i="8"/>
  <c r="G1310" i="8"/>
  <c r="I1309" i="8"/>
  <c r="G1309" i="8"/>
  <c r="I1308" i="8"/>
  <c r="G1308" i="8"/>
  <c r="I1307" i="8"/>
  <c r="G1307" i="8"/>
  <c r="I1306" i="8"/>
  <c r="G1306" i="8"/>
  <c r="I1305" i="8"/>
  <c r="G1305" i="8"/>
  <c r="I1304" i="8"/>
  <c r="G1304" i="8"/>
  <c r="I1303" i="8"/>
  <c r="G1303" i="8"/>
  <c r="I1302" i="8"/>
  <c r="G1302" i="8"/>
  <c r="I1301" i="8"/>
  <c r="G1301" i="8"/>
  <c r="I1300" i="8"/>
  <c r="G1300" i="8"/>
  <c r="I1299" i="8"/>
  <c r="G1299" i="8"/>
  <c r="I1298" i="8"/>
  <c r="G1298" i="8"/>
  <c r="I1297" i="8"/>
  <c r="G1297" i="8"/>
  <c r="I1296" i="8"/>
  <c r="G1296" i="8"/>
  <c r="I1295" i="8"/>
  <c r="G1295" i="8"/>
  <c r="I1294" i="8"/>
  <c r="G1294" i="8"/>
  <c r="I1293" i="8"/>
  <c r="G1293" i="8"/>
  <c r="I1292" i="8"/>
  <c r="G1292" i="8"/>
  <c r="I1291" i="8"/>
  <c r="G1291" i="8"/>
  <c r="I1290" i="8"/>
  <c r="G1290" i="8"/>
  <c r="I1289" i="8"/>
  <c r="G1289" i="8"/>
  <c r="I1288" i="8"/>
  <c r="G1288" i="8"/>
  <c r="I1287" i="8"/>
  <c r="G1287" i="8"/>
  <c r="I1286" i="8"/>
  <c r="G1286" i="8"/>
  <c r="I1285" i="8"/>
  <c r="G1285" i="8"/>
  <c r="I1284" i="8"/>
  <c r="G1284" i="8"/>
  <c r="I1283" i="8"/>
  <c r="G1283" i="8"/>
  <c r="I1282" i="8"/>
  <c r="G1282" i="8"/>
  <c r="I1281" i="8"/>
  <c r="G1281" i="8"/>
  <c r="I1280" i="8"/>
  <c r="G1280" i="8"/>
  <c r="I1279" i="8"/>
  <c r="G1279" i="8"/>
  <c r="I1278" i="8"/>
  <c r="G1278" i="8"/>
  <c r="I1277" i="8"/>
  <c r="G1277" i="8"/>
  <c r="I1276" i="8"/>
  <c r="G1276" i="8"/>
  <c r="I1275" i="8"/>
  <c r="G1275" i="8"/>
  <c r="I1274" i="8"/>
  <c r="G1274" i="8"/>
  <c r="I1273" i="8"/>
  <c r="G1273" i="8"/>
  <c r="I1272" i="8"/>
  <c r="G1272" i="8"/>
  <c r="I1271" i="8"/>
  <c r="G1271" i="8"/>
  <c r="I1270" i="8"/>
  <c r="G1270" i="8"/>
  <c r="I1269" i="8"/>
  <c r="G1269" i="8"/>
  <c r="I1268" i="8"/>
  <c r="G1268" i="8"/>
  <c r="I1267" i="8"/>
  <c r="G1267" i="8"/>
  <c r="I1266" i="8"/>
  <c r="G1266" i="8"/>
  <c r="I1265" i="8"/>
  <c r="G1265" i="8"/>
  <c r="I1264" i="8"/>
  <c r="G1264" i="8"/>
  <c r="I1263" i="8"/>
  <c r="G1263" i="8"/>
  <c r="I1262" i="8"/>
  <c r="G1262" i="8"/>
  <c r="I1261" i="8"/>
  <c r="G1261" i="8"/>
  <c r="I1260" i="8"/>
  <c r="G1260" i="8"/>
  <c r="I1259" i="8"/>
  <c r="G1259" i="8"/>
  <c r="I1258" i="8"/>
  <c r="G1258" i="8"/>
  <c r="I1257" i="8"/>
  <c r="G1257" i="8"/>
  <c r="I1256" i="8"/>
  <c r="G1256" i="8"/>
  <c r="I1255" i="8"/>
  <c r="G1255" i="8"/>
  <c r="I1254" i="8"/>
  <c r="G1254" i="8"/>
  <c r="I1253" i="8"/>
  <c r="G1253" i="8"/>
  <c r="I1252" i="8"/>
  <c r="G1252" i="8"/>
  <c r="I1251" i="8"/>
  <c r="G1251" i="8"/>
  <c r="I1250" i="8"/>
  <c r="G1250" i="8"/>
  <c r="I1249" i="8"/>
  <c r="G1249" i="8"/>
  <c r="I1248" i="8"/>
  <c r="G1248" i="8"/>
  <c r="I1247" i="8"/>
  <c r="G1247" i="8"/>
  <c r="I1246" i="8"/>
  <c r="G1246" i="8"/>
  <c r="I1245" i="8"/>
  <c r="G1245" i="8"/>
  <c r="I1244" i="8"/>
  <c r="G1244" i="8"/>
  <c r="I1243" i="8"/>
  <c r="G1243" i="8"/>
  <c r="I1242" i="8"/>
  <c r="G1242" i="8"/>
  <c r="I1241" i="8"/>
  <c r="G1241" i="8"/>
  <c r="I1240" i="8"/>
  <c r="G1240" i="8"/>
  <c r="I1239" i="8"/>
  <c r="G1239" i="8"/>
  <c r="I1238" i="8"/>
  <c r="G1238" i="8"/>
  <c r="I1237" i="8"/>
  <c r="G1237" i="8"/>
  <c r="I1236" i="8"/>
  <c r="G1236" i="8"/>
  <c r="I1235" i="8"/>
  <c r="G1235" i="8"/>
  <c r="I1234" i="8"/>
  <c r="G1234" i="8"/>
  <c r="I1233" i="8"/>
  <c r="G1233" i="8"/>
  <c r="I1232" i="8"/>
  <c r="G1232" i="8"/>
  <c r="I1231" i="8"/>
  <c r="G1231" i="8"/>
  <c r="I1230" i="8"/>
  <c r="G1230" i="8"/>
  <c r="I1229" i="8"/>
  <c r="G1229" i="8"/>
  <c r="I1228" i="8"/>
  <c r="G1228" i="8"/>
  <c r="I1227" i="8"/>
  <c r="G1227" i="8"/>
  <c r="I1226" i="8"/>
  <c r="G1226" i="8"/>
  <c r="I1225" i="8"/>
  <c r="G1225" i="8"/>
  <c r="I1224" i="8"/>
  <c r="G1224" i="8"/>
  <c r="I1223" i="8"/>
  <c r="G1223" i="8"/>
  <c r="I1222" i="8"/>
  <c r="G1222" i="8"/>
  <c r="I1221" i="8"/>
  <c r="G1221" i="8"/>
  <c r="I1220" i="8"/>
  <c r="G1220" i="8"/>
  <c r="I1219" i="8"/>
  <c r="G1219" i="8"/>
  <c r="I1218" i="8"/>
  <c r="G1218" i="8"/>
  <c r="I1217" i="8"/>
  <c r="G1217" i="8"/>
  <c r="I1216" i="8"/>
  <c r="G1216" i="8"/>
  <c r="I1215" i="8"/>
  <c r="G1215" i="8"/>
  <c r="I1214" i="8"/>
  <c r="G1214" i="8"/>
  <c r="I1213" i="8"/>
  <c r="G1213" i="8"/>
  <c r="I1212" i="8"/>
  <c r="G1212" i="8"/>
  <c r="I1211" i="8"/>
  <c r="G1211" i="8"/>
  <c r="I1210" i="8"/>
  <c r="G1210" i="8"/>
  <c r="I1209" i="8"/>
  <c r="G1209" i="8"/>
  <c r="I1208" i="8"/>
  <c r="G1208" i="8"/>
  <c r="I1207" i="8"/>
  <c r="G1207" i="8"/>
  <c r="I1206" i="8"/>
  <c r="G1206" i="8"/>
  <c r="I1205" i="8"/>
  <c r="G1205" i="8"/>
  <c r="I1204" i="8"/>
  <c r="G1204" i="8"/>
  <c r="I1203" i="8"/>
  <c r="G1203" i="8"/>
  <c r="I1202" i="8"/>
  <c r="G1202" i="8"/>
  <c r="I1201" i="8"/>
  <c r="G1201" i="8"/>
  <c r="I1200" i="8"/>
  <c r="G1200" i="8"/>
  <c r="I1199" i="8"/>
  <c r="G1199" i="8"/>
  <c r="I1198" i="8"/>
  <c r="G1198" i="8"/>
  <c r="I1197" i="8"/>
  <c r="G1197" i="8"/>
  <c r="I1196" i="8"/>
  <c r="G1196" i="8"/>
  <c r="I1195" i="8"/>
  <c r="G1195" i="8"/>
  <c r="I1194" i="8"/>
  <c r="G1194" i="8"/>
  <c r="I1193" i="8"/>
  <c r="G1193" i="8"/>
  <c r="I1192" i="8"/>
  <c r="G1192" i="8"/>
  <c r="I1191" i="8"/>
  <c r="G1191" i="8"/>
  <c r="I1190" i="8"/>
  <c r="G1190" i="8"/>
  <c r="I1189" i="8"/>
  <c r="G1189" i="8"/>
  <c r="I1188" i="8"/>
  <c r="G1188" i="8"/>
  <c r="I1187" i="8"/>
  <c r="G1187" i="8"/>
  <c r="I1186" i="8"/>
  <c r="G1186" i="8"/>
  <c r="I1185" i="8"/>
  <c r="G1185" i="8"/>
  <c r="I1184" i="8"/>
  <c r="G1184" i="8"/>
  <c r="I1183" i="8"/>
  <c r="G1183" i="8"/>
  <c r="I1182" i="8"/>
  <c r="G1182" i="8"/>
  <c r="I1181" i="8"/>
  <c r="G1181" i="8"/>
  <c r="I1180" i="8"/>
  <c r="G1180" i="8"/>
  <c r="I1179" i="8"/>
  <c r="G1179" i="8"/>
  <c r="I1178" i="8"/>
  <c r="G1178" i="8"/>
  <c r="I1177" i="8"/>
  <c r="G1177" i="8"/>
  <c r="I1176" i="8"/>
  <c r="G1176" i="8"/>
  <c r="I1175" i="8"/>
  <c r="G1175" i="8"/>
  <c r="I1174" i="8"/>
  <c r="G1174" i="8"/>
  <c r="I1173" i="8"/>
  <c r="G1173" i="8"/>
  <c r="I1172" i="8"/>
  <c r="G1172" i="8"/>
  <c r="I1171" i="8"/>
  <c r="G1171" i="8"/>
  <c r="I1170" i="8"/>
  <c r="G1170" i="8"/>
  <c r="I1169" i="8"/>
  <c r="G1169" i="8"/>
  <c r="I1168" i="8"/>
  <c r="G1168" i="8"/>
  <c r="I1167" i="8"/>
  <c r="G1167" i="8"/>
  <c r="I1166" i="8"/>
  <c r="G1166" i="8"/>
  <c r="I1165" i="8"/>
  <c r="G1165" i="8"/>
  <c r="I1164" i="8"/>
  <c r="G1164" i="8"/>
  <c r="I1163" i="8"/>
  <c r="G1163" i="8"/>
  <c r="I1162" i="8"/>
  <c r="G1162" i="8"/>
  <c r="I1161" i="8"/>
  <c r="G1161" i="8"/>
  <c r="I1160" i="8"/>
  <c r="G1160" i="8"/>
  <c r="I1159" i="8"/>
  <c r="G1159" i="8"/>
  <c r="I1158" i="8"/>
  <c r="G1158" i="8"/>
  <c r="I1157" i="8"/>
  <c r="G1157" i="8"/>
  <c r="I1156" i="8"/>
  <c r="G1156" i="8"/>
  <c r="I1155" i="8"/>
  <c r="G1155" i="8"/>
  <c r="I1154" i="8"/>
  <c r="G1154" i="8"/>
  <c r="I1153" i="8"/>
  <c r="G1153" i="8"/>
  <c r="I1152" i="8"/>
  <c r="G1152" i="8"/>
  <c r="I1151" i="8"/>
  <c r="G1151" i="8"/>
  <c r="I1150" i="8"/>
  <c r="G1150" i="8"/>
  <c r="I1149" i="8"/>
  <c r="G1149" i="8"/>
  <c r="I1148" i="8"/>
  <c r="G1148" i="8"/>
  <c r="I1147" i="8"/>
  <c r="G1147" i="8"/>
  <c r="I1146" i="8"/>
  <c r="G1146" i="8"/>
  <c r="I1145" i="8"/>
  <c r="G1145" i="8"/>
  <c r="I1144" i="8"/>
  <c r="G1144" i="8"/>
  <c r="I1143" i="8"/>
  <c r="G1143" i="8"/>
  <c r="I1142" i="8"/>
  <c r="G1142" i="8"/>
  <c r="I1141" i="8"/>
  <c r="G1141" i="8"/>
  <c r="I1140" i="8"/>
  <c r="G1140" i="8"/>
  <c r="I1139" i="8"/>
  <c r="G1139" i="8"/>
  <c r="I1138" i="8"/>
  <c r="G1138" i="8"/>
  <c r="I1137" i="8"/>
  <c r="G1137" i="8"/>
  <c r="I1136" i="8"/>
  <c r="G1136" i="8"/>
  <c r="I1135" i="8"/>
  <c r="G1135" i="8"/>
  <c r="I1134" i="8"/>
  <c r="G1134" i="8"/>
  <c r="I1133" i="8"/>
  <c r="G1133" i="8"/>
  <c r="I1132" i="8"/>
  <c r="G1132" i="8"/>
  <c r="I1131" i="8"/>
  <c r="G1131" i="8"/>
  <c r="I1130" i="8"/>
  <c r="G1130" i="8"/>
  <c r="I1129" i="8"/>
  <c r="G1129" i="8"/>
  <c r="I1128" i="8"/>
  <c r="G1128" i="8"/>
  <c r="I1127" i="8"/>
  <c r="G1127" i="8"/>
  <c r="I1126" i="8"/>
  <c r="G1126" i="8"/>
  <c r="I1125" i="8"/>
  <c r="G1125" i="8"/>
  <c r="I1124" i="8"/>
  <c r="G1124" i="8"/>
  <c r="I1123" i="8"/>
  <c r="G1123" i="8"/>
  <c r="I1122" i="8"/>
  <c r="G1122" i="8"/>
  <c r="I1121" i="8"/>
  <c r="G1121" i="8"/>
  <c r="I1120" i="8"/>
  <c r="G1120" i="8"/>
  <c r="I1119" i="8"/>
  <c r="G1119" i="8"/>
  <c r="I1118" i="8"/>
  <c r="G1118" i="8"/>
  <c r="I1117" i="8"/>
  <c r="G1117" i="8"/>
  <c r="I1116" i="8"/>
  <c r="G1116" i="8"/>
  <c r="I1115" i="8"/>
  <c r="G1115" i="8"/>
  <c r="I1114" i="8"/>
  <c r="G1114" i="8"/>
  <c r="I1113" i="8"/>
  <c r="G1113" i="8"/>
  <c r="I1112" i="8"/>
  <c r="G1112" i="8"/>
  <c r="I1111" i="8"/>
  <c r="G1111" i="8"/>
  <c r="I1110" i="8"/>
  <c r="G1110" i="8"/>
  <c r="I1109" i="8"/>
  <c r="G1109" i="8"/>
  <c r="I1108" i="8"/>
  <c r="G1108" i="8"/>
  <c r="I1107" i="8"/>
  <c r="G1107" i="8"/>
  <c r="I1106" i="8"/>
  <c r="G1106" i="8"/>
  <c r="I1105" i="8"/>
  <c r="G1105" i="8"/>
  <c r="I1104" i="8"/>
  <c r="G1104" i="8"/>
  <c r="I1103" i="8"/>
  <c r="G1103" i="8"/>
  <c r="I1102" i="8"/>
  <c r="G1102" i="8"/>
  <c r="I1101" i="8"/>
  <c r="G1101" i="8"/>
  <c r="I1100" i="8"/>
  <c r="G1100" i="8"/>
  <c r="I1099" i="8"/>
  <c r="G1099" i="8"/>
  <c r="I1098" i="8"/>
  <c r="G1098" i="8"/>
  <c r="I1097" i="8"/>
  <c r="G1097" i="8"/>
  <c r="I1096" i="8"/>
  <c r="G1096" i="8"/>
  <c r="I1095" i="8"/>
  <c r="G1095" i="8"/>
  <c r="I1094" i="8"/>
  <c r="G1094" i="8"/>
  <c r="I1093" i="8"/>
  <c r="G1093" i="8"/>
  <c r="I1092" i="8"/>
  <c r="G1092" i="8"/>
  <c r="I1091" i="8"/>
  <c r="G1091" i="8"/>
  <c r="I1090" i="8"/>
  <c r="G1090" i="8"/>
  <c r="I1089" i="8"/>
  <c r="G1089" i="8"/>
  <c r="I1088" i="8"/>
  <c r="G1088" i="8"/>
  <c r="I1087" i="8"/>
  <c r="G1087" i="8"/>
  <c r="I1086" i="8"/>
  <c r="G1086" i="8"/>
  <c r="I1085" i="8"/>
  <c r="G1085" i="8"/>
  <c r="I1084" i="8"/>
  <c r="G1084" i="8"/>
  <c r="I1083" i="8"/>
  <c r="G1083" i="8"/>
  <c r="I1082" i="8"/>
  <c r="G1082" i="8"/>
  <c r="I1081" i="8"/>
  <c r="G1081" i="8"/>
  <c r="I1080" i="8"/>
  <c r="G1080" i="8"/>
  <c r="I1079" i="8"/>
  <c r="G1079" i="8"/>
  <c r="I1078" i="8"/>
  <c r="G1078" i="8"/>
  <c r="I1077" i="8"/>
  <c r="G1077" i="8"/>
  <c r="I1076" i="8"/>
  <c r="G1076" i="8"/>
  <c r="I1075" i="8"/>
  <c r="G1075" i="8"/>
  <c r="I1074" i="8"/>
  <c r="G1074" i="8"/>
  <c r="I1073" i="8"/>
  <c r="G1073" i="8"/>
  <c r="I1072" i="8"/>
  <c r="G1072" i="8"/>
  <c r="I1071" i="8"/>
  <c r="G1071" i="8"/>
  <c r="I1070" i="8"/>
  <c r="G1070" i="8"/>
  <c r="I1069" i="8"/>
  <c r="G1069" i="8"/>
  <c r="I1068" i="8"/>
  <c r="G1068" i="8"/>
  <c r="I1067" i="8"/>
  <c r="G1067" i="8"/>
  <c r="I1066" i="8"/>
  <c r="G1066" i="8"/>
  <c r="I1065" i="8"/>
  <c r="G1065" i="8"/>
  <c r="I1064" i="8"/>
  <c r="G1064" i="8"/>
  <c r="I1063" i="8"/>
  <c r="G1063" i="8"/>
  <c r="I1062" i="8"/>
  <c r="G1062" i="8"/>
  <c r="I1061" i="8"/>
  <c r="G1061" i="8"/>
  <c r="I1060" i="8"/>
  <c r="G1060" i="8"/>
  <c r="I1059" i="8"/>
  <c r="G1059" i="8"/>
  <c r="I1058" i="8"/>
  <c r="G1058" i="8"/>
  <c r="I1057" i="8"/>
  <c r="G1057" i="8"/>
  <c r="I1056" i="8"/>
  <c r="G1056" i="8"/>
  <c r="I1055" i="8"/>
  <c r="G1055" i="8"/>
  <c r="I1054" i="8"/>
  <c r="G1054" i="8"/>
  <c r="I1053" i="8"/>
  <c r="G1053" i="8"/>
  <c r="I1052" i="8"/>
  <c r="G1052" i="8"/>
  <c r="I1051" i="8"/>
  <c r="G1051" i="8"/>
  <c r="I1050" i="8"/>
  <c r="G1050" i="8"/>
  <c r="I1049" i="8"/>
  <c r="G1049" i="8"/>
  <c r="I1048" i="8"/>
  <c r="G1048" i="8"/>
  <c r="I1047" i="8"/>
  <c r="G1047" i="8"/>
  <c r="I1046" i="8"/>
  <c r="G1046" i="8"/>
  <c r="I1045" i="8"/>
  <c r="G1045" i="8"/>
  <c r="I1044" i="8"/>
  <c r="G1044" i="8"/>
  <c r="I1043" i="8"/>
  <c r="G1043" i="8"/>
  <c r="I1042" i="8"/>
  <c r="G1042" i="8"/>
  <c r="I1041" i="8"/>
  <c r="G1041" i="8"/>
  <c r="I1040" i="8"/>
  <c r="G1040" i="8"/>
  <c r="I1039" i="8"/>
  <c r="G1039" i="8"/>
  <c r="I1038" i="8"/>
  <c r="G1038" i="8"/>
  <c r="I1037" i="8"/>
  <c r="G1037" i="8"/>
  <c r="I1036" i="8"/>
  <c r="G1036" i="8"/>
  <c r="I1035" i="8"/>
  <c r="G1035" i="8"/>
  <c r="I1034" i="8"/>
  <c r="G1034" i="8"/>
  <c r="I1033" i="8"/>
  <c r="G1033" i="8"/>
  <c r="I1032" i="8"/>
  <c r="G1032" i="8"/>
  <c r="I1031" i="8"/>
  <c r="G1031" i="8"/>
  <c r="I1030" i="8"/>
  <c r="G1030" i="8"/>
  <c r="I1029" i="8"/>
  <c r="G1029" i="8"/>
  <c r="I1028" i="8"/>
  <c r="G1028" i="8"/>
  <c r="I1027" i="8"/>
  <c r="G1027" i="8"/>
  <c r="I1026" i="8"/>
  <c r="G1026" i="8"/>
  <c r="I1025" i="8"/>
  <c r="G1025" i="8"/>
  <c r="I1024" i="8"/>
  <c r="G1024" i="8"/>
  <c r="I1023" i="8"/>
  <c r="G1023" i="8"/>
  <c r="I1022" i="8"/>
  <c r="G1022" i="8"/>
  <c r="I1021" i="8"/>
  <c r="G1021" i="8"/>
  <c r="I1020" i="8"/>
  <c r="G1020" i="8"/>
  <c r="I1019" i="8"/>
  <c r="G1019" i="8"/>
  <c r="I1018" i="8"/>
  <c r="G1018" i="8"/>
  <c r="I1017" i="8"/>
  <c r="G1017" i="8"/>
  <c r="I1016" i="8"/>
  <c r="G1016" i="8"/>
  <c r="I1015" i="8"/>
  <c r="G1015" i="8"/>
  <c r="I1014" i="8"/>
  <c r="G1014" i="8"/>
  <c r="I1013" i="8"/>
  <c r="G1013" i="8"/>
  <c r="I1012" i="8"/>
  <c r="G1012" i="8"/>
  <c r="I1011" i="8"/>
  <c r="G1011" i="8"/>
  <c r="I1010" i="8"/>
  <c r="G1010" i="8"/>
  <c r="I1009" i="8"/>
  <c r="G1009" i="8"/>
  <c r="I1008" i="8"/>
  <c r="G1008" i="8"/>
  <c r="I1007" i="8"/>
  <c r="G1007" i="8"/>
  <c r="I1006" i="8"/>
  <c r="G1006" i="8"/>
  <c r="I1005" i="8"/>
  <c r="G1005" i="8"/>
  <c r="I1004" i="8"/>
  <c r="G1004" i="8"/>
  <c r="I1003" i="8"/>
  <c r="G1003" i="8"/>
  <c r="I1002" i="8"/>
  <c r="G1002" i="8"/>
  <c r="I1001" i="8"/>
  <c r="G1001" i="8"/>
  <c r="I1000" i="8"/>
  <c r="G1000" i="8"/>
  <c r="I999" i="8"/>
  <c r="G999" i="8"/>
  <c r="I998" i="8"/>
  <c r="G998" i="8"/>
  <c r="I997" i="8"/>
  <c r="G997" i="8"/>
  <c r="I996" i="8"/>
  <c r="G996" i="8"/>
  <c r="I995" i="8"/>
  <c r="G995" i="8"/>
  <c r="I994" i="8"/>
  <c r="G994" i="8"/>
  <c r="I993" i="8"/>
  <c r="G993" i="8"/>
  <c r="I992" i="8"/>
  <c r="G992" i="8"/>
  <c r="I991" i="8"/>
  <c r="G991" i="8"/>
  <c r="I990" i="8"/>
  <c r="G990" i="8"/>
  <c r="I989" i="8"/>
  <c r="G989" i="8"/>
  <c r="I988" i="8"/>
  <c r="G988" i="8"/>
  <c r="I987" i="8"/>
  <c r="G987" i="8"/>
  <c r="I986" i="8"/>
  <c r="G986" i="8"/>
  <c r="I985" i="8"/>
  <c r="G985" i="8"/>
  <c r="I984" i="8"/>
  <c r="G984" i="8"/>
  <c r="I983" i="8"/>
  <c r="G983" i="8"/>
  <c r="I982" i="8"/>
  <c r="G982" i="8"/>
  <c r="I981" i="8"/>
  <c r="G981" i="8"/>
  <c r="I980" i="8"/>
  <c r="G980" i="8"/>
  <c r="I979" i="8"/>
  <c r="G979" i="8"/>
  <c r="I978" i="8"/>
  <c r="G978" i="8"/>
  <c r="I977" i="8"/>
  <c r="G977" i="8"/>
  <c r="I976" i="8"/>
  <c r="G976" i="8"/>
  <c r="I975" i="8"/>
  <c r="G975" i="8"/>
  <c r="I974" i="8"/>
  <c r="G974" i="8"/>
  <c r="I973" i="8"/>
  <c r="G973" i="8"/>
  <c r="I972" i="8"/>
  <c r="G972" i="8"/>
  <c r="I971" i="8"/>
  <c r="G971" i="8"/>
  <c r="I970" i="8"/>
  <c r="G970" i="8"/>
  <c r="I969" i="8"/>
  <c r="G969" i="8"/>
  <c r="I968" i="8"/>
  <c r="G968" i="8"/>
  <c r="I967" i="8"/>
  <c r="G967" i="8"/>
  <c r="I966" i="8"/>
  <c r="G966" i="8"/>
  <c r="I965" i="8"/>
  <c r="G965" i="8"/>
  <c r="I964" i="8"/>
  <c r="G964" i="8"/>
  <c r="I963" i="8"/>
  <c r="G963" i="8"/>
  <c r="I962" i="8"/>
  <c r="G962" i="8"/>
  <c r="I961" i="8"/>
  <c r="G961" i="8"/>
  <c r="I960" i="8"/>
  <c r="G960" i="8"/>
  <c r="I959" i="8"/>
  <c r="G959" i="8"/>
  <c r="I958" i="8"/>
  <c r="G958" i="8"/>
  <c r="I957" i="8"/>
  <c r="G957" i="8"/>
  <c r="I956" i="8"/>
  <c r="G956" i="8"/>
  <c r="I955" i="8"/>
  <c r="G955" i="8"/>
  <c r="I954" i="8"/>
  <c r="G954" i="8"/>
  <c r="I953" i="8"/>
  <c r="G953" i="8"/>
  <c r="I952" i="8"/>
  <c r="G952" i="8"/>
  <c r="I951" i="8"/>
  <c r="G951" i="8"/>
  <c r="I950" i="8"/>
  <c r="G950" i="8"/>
  <c r="I949" i="8"/>
  <c r="G949" i="8"/>
  <c r="I948" i="8"/>
  <c r="G948" i="8"/>
  <c r="I947" i="8"/>
  <c r="G947" i="8"/>
  <c r="I946" i="8"/>
  <c r="G946" i="8"/>
  <c r="I945" i="8"/>
  <c r="G945" i="8"/>
  <c r="I944" i="8"/>
  <c r="G944" i="8"/>
  <c r="I943" i="8"/>
  <c r="G943" i="8"/>
  <c r="I942" i="8"/>
  <c r="G942" i="8"/>
  <c r="I941" i="8"/>
  <c r="G941" i="8"/>
  <c r="I940" i="8"/>
  <c r="G940" i="8"/>
  <c r="I939" i="8"/>
  <c r="G939" i="8"/>
  <c r="I938" i="8"/>
  <c r="G938" i="8"/>
  <c r="I937" i="8"/>
  <c r="G937" i="8"/>
  <c r="I936" i="8"/>
  <c r="G936" i="8"/>
  <c r="I935" i="8"/>
  <c r="G935" i="8"/>
  <c r="I934" i="8"/>
  <c r="G934" i="8"/>
  <c r="I933" i="8"/>
  <c r="G933" i="8"/>
  <c r="I932" i="8"/>
  <c r="G932" i="8"/>
  <c r="I931" i="8"/>
  <c r="G931" i="8"/>
  <c r="I930" i="8"/>
  <c r="G930" i="8"/>
  <c r="I929" i="8"/>
  <c r="G929" i="8"/>
  <c r="I928" i="8"/>
  <c r="G928" i="8"/>
  <c r="I927" i="8"/>
  <c r="G927" i="8"/>
  <c r="I926" i="8"/>
  <c r="G926" i="8"/>
  <c r="I925" i="8"/>
  <c r="G925" i="8"/>
  <c r="I924" i="8"/>
  <c r="G924" i="8"/>
  <c r="I923" i="8"/>
  <c r="G923" i="8"/>
  <c r="I922" i="8"/>
  <c r="G922" i="8"/>
  <c r="I921" i="8"/>
  <c r="G921" i="8"/>
  <c r="I920" i="8"/>
  <c r="G920" i="8"/>
  <c r="I919" i="8"/>
  <c r="G919" i="8"/>
  <c r="I918" i="8"/>
  <c r="G918" i="8"/>
  <c r="I917" i="8"/>
  <c r="G917" i="8"/>
  <c r="I916" i="8"/>
  <c r="G916" i="8"/>
  <c r="I915" i="8"/>
  <c r="G915" i="8"/>
  <c r="I914" i="8"/>
  <c r="G914" i="8"/>
  <c r="I913" i="8"/>
  <c r="G913" i="8"/>
  <c r="I912" i="8"/>
  <c r="G912" i="8"/>
  <c r="I911" i="8"/>
  <c r="G911" i="8"/>
  <c r="I910" i="8"/>
  <c r="G910" i="8"/>
  <c r="I909" i="8"/>
  <c r="G909" i="8"/>
  <c r="I908" i="8"/>
  <c r="G908" i="8"/>
  <c r="I907" i="8"/>
  <c r="G907" i="8"/>
  <c r="I906" i="8"/>
  <c r="G906" i="8"/>
  <c r="I905" i="8"/>
  <c r="G905" i="8"/>
  <c r="I904" i="8"/>
  <c r="G904" i="8"/>
  <c r="I903" i="8"/>
  <c r="G903" i="8"/>
  <c r="I902" i="8"/>
  <c r="G902" i="8"/>
  <c r="I901" i="8"/>
  <c r="G901" i="8"/>
  <c r="I900" i="8"/>
  <c r="G900" i="8"/>
  <c r="I899" i="8"/>
  <c r="G899" i="8"/>
  <c r="I898" i="8"/>
  <c r="G898" i="8"/>
  <c r="I897" i="8"/>
  <c r="G897" i="8"/>
  <c r="I896" i="8"/>
  <c r="G896" i="8"/>
  <c r="I895" i="8"/>
  <c r="G895" i="8"/>
  <c r="I894" i="8"/>
  <c r="G894" i="8"/>
  <c r="I893" i="8"/>
  <c r="G893" i="8"/>
  <c r="I892" i="8"/>
  <c r="G892" i="8"/>
  <c r="I891" i="8"/>
  <c r="G891" i="8"/>
  <c r="I890" i="8"/>
  <c r="G890" i="8"/>
  <c r="I889" i="8"/>
  <c r="G889" i="8"/>
  <c r="I888" i="8"/>
  <c r="G888" i="8"/>
  <c r="I887" i="8"/>
  <c r="G887" i="8"/>
  <c r="I886" i="8"/>
  <c r="G886" i="8"/>
  <c r="I885" i="8"/>
  <c r="G885" i="8"/>
  <c r="I884" i="8"/>
  <c r="G884" i="8"/>
  <c r="I883" i="8"/>
  <c r="G883" i="8"/>
  <c r="I882" i="8"/>
  <c r="G882" i="8"/>
  <c r="I881" i="8"/>
  <c r="G881" i="8"/>
  <c r="I880" i="8"/>
  <c r="G880" i="8"/>
  <c r="I879" i="8"/>
  <c r="G879" i="8"/>
  <c r="I878" i="8"/>
  <c r="G878" i="8"/>
  <c r="I877" i="8"/>
  <c r="G877" i="8"/>
  <c r="I876" i="8"/>
  <c r="G876" i="8"/>
  <c r="I875" i="8"/>
  <c r="G875" i="8"/>
  <c r="I874" i="8"/>
  <c r="G874" i="8"/>
  <c r="I873" i="8"/>
  <c r="G873" i="8"/>
  <c r="I872" i="8"/>
  <c r="G872" i="8"/>
  <c r="I871" i="8"/>
  <c r="G871" i="8"/>
  <c r="I870" i="8"/>
  <c r="G870" i="8"/>
  <c r="I869" i="8"/>
  <c r="G869" i="8"/>
  <c r="I868" i="8"/>
  <c r="G868" i="8"/>
  <c r="I867" i="8"/>
  <c r="G867" i="8"/>
  <c r="I866" i="8"/>
  <c r="G866" i="8"/>
  <c r="I865" i="8"/>
  <c r="G865" i="8"/>
  <c r="I864" i="8"/>
  <c r="G864" i="8"/>
  <c r="I863" i="8"/>
  <c r="G863" i="8"/>
  <c r="I862" i="8"/>
  <c r="G862" i="8"/>
  <c r="I861" i="8"/>
  <c r="G861" i="8"/>
  <c r="I860" i="8"/>
  <c r="G860" i="8"/>
  <c r="I859" i="8"/>
  <c r="G859" i="8"/>
  <c r="I858" i="8"/>
  <c r="G858" i="8"/>
  <c r="I857" i="8"/>
  <c r="G857" i="8"/>
  <c r="I856" i="8"/>
  <c r="G856" i="8"/>
  <c r="I855" i="8"/>
  <c r="G855" i="8"/>
  <c r="I854" i="8"/>
  <c r="G854" i="8"/>
  <c r="I853" i="8"/>
  <c r="G853" i="8"/>
  <c r="I852" i="8"/>
  <c r="G852" i="8"/>
  <c r="I851" i="8"/>
  <c r="G851" i="8"/>
  <c r="I850" i="8"/>
  <c r="G850" i="8"/>
  <c r="I849" i="8"/>
  <c r="G849" i="8"/>
  <c r="I848" i="8"/>
  <c r="G848" i="8"/>
  <c r="I847" i="8"/>
  <c r="G847" i="8"/>
  <c r="I846" i="8"/>
  <c r="G846" i="8"/>
  <c r="I845" i="8"/>
  <c r="G845" i="8"/>
  <c r="I844" i="8"/>
  <c r="G844" i="8"/>
  <c r="I843" i="8"/>
  <c r="G843" i="8"/>
  <c r="I842" i="8"/>
  <c r="G842" i="8"/>
  <c r="I841" i="8"/>
  <c r="G841" i="8"/>
  <c r="I840" i="8"/>
  <c r="G840" i="8"/>
  <c r="I839" i="8"/>
  <c r="G839" i="8"/>
  <c r="I838" i="8"/>
  <c r="G838" i="8"/>
  <c r="I837" i="8"/>
  <c r="G837" i="8"/>
  <c r="I836" i="8"/>
  <c r="G836" i="8"/>
  <c r="I835" i="8"/>
  <c r="G835" i="8"/>
  <c r="I834" i="8"/>
  <c r="G834" i="8"/>
  <c r="I833" i="8"/>
  <c r="G833" i="8"/>
  <c r="I832" i="8"/>
  <c r="G832" i="8"/>
  <c r="I831" i="8"/>
  <c r="G831" i="8"/>
  <c r="I830" i="8"/>
  <c r="G830" i="8"/>
  <c r="I829" i="8"/>
  <c r="G829" i="8"/>
  <c r="I828" i="8"/>
  <c r="G828" i="8"/>
  <c r="I827" i="8"/>
  <c r="G827" i="8"/>
  <c r="I826" i="8"/>
  <c r="G826" i="8"/>
  <c r="I825" i="8"/>
  <c r="G825" i="8"/>
  <c r="I824" i="8"/>
  <c r="G824" i="8"/>
  <c r="I823" i="8"/>
  <c r="G823" i="8"/>
  <c r="I822" i="8"/>
  <c r="G822" i="8"/>
  <c r="I821" i="8"/>
  <c r="G821" i="8"/>
  <c r="I820" i="8"/>
  <c r="G820" i="8"/>
  <c r="I819" i="8"/>
  <c r="G819" i="8"/>
  <c r="I818" i="8"/>
  <c r="G818" i="8"/>
  <c r="I817" i="8"/>
  <c r="G817" i="8"/>
  <c r="I816" i="8"/>
  <c r="G816" i="8"/>
  <c r="I815" i="8"/>
  <c r="G815" i="8"/>
  <c r="I814" i="8"/>
  <c r="G814" i="8"/>
  <c r="I813" i="8"/>
  <c r="G813" i="8"/>
  <c r="I812" i="8"/>
  <c r="G812" i="8"/>
  <c r="I811" i="8"/>
  <c r="G811" i="8"/>
  <c r="I810" i="8"/>
  <c r="G810" i="8"/>
  <c r="I809" i="8"/>
  <c r="G809" i="8"/>
  <c r="I808" i="8"/>
  <c r="G808" i="8"/>
  <c r="I807" i="8"/>
  <c r="G807" i="8"/>
  <c r="I806" i="8"/>
  <c r="G806" i="8"/>
  <c r="I805" i="8"/>
  <c r="G805" i="8"/>
  <c r="I804" i="8"/>
  <c r="G804" i="8"/>
  <c r="I803" i="8"/>
  <c r="G803" i="8"/>
  <c r="I802" i="8"/>
  <c r="G802" i="8"/>
  <c r="I801" i="8"/>
  <c r="G801" i="8"/>
  <c r="I800" i="8"/>
  <c r="G800" i="8"/>
  <c r="I799" i="8"/>
  <c r="G799" i="8"/>
  <c r="I798" i="8"/>
  <c r="G798" i="8"/>
  <c r="I797" i="8"/>
  <c r="G797" i="8"/>
  <c r="I796" i="8"/>
  <c r="G796" i="8"/>
  <c r="I795" i="8"/>
  <c r="G795" i="8"/>
  <c r="I794" i="8"/>
  <c r="G794" i="8"/>
  <c r="I793" i="8"/>
  <c r="G793" i="8"/>
  <c r="I792" i="8"/>
  <c r="G792" i="8"/>
  <c r="I791" i="8"/>
  <c r="G791" i="8"/>
  <c r="I790" i="8"/>
  <c r="G790" i="8"/>
  <c r="I789" i="8"/>
  <c r="G789" i="8"/>
  <c r="I788" i="8"/>
  <c r="G788" i="8"/>
  <c r="I787" i="8"/>
  <c r="G787" i="8"/>
  <c r="I786" i="8"/>
  <c r="G786" i="8"/>
  <c r="I785" i="8"/>
  <c r="G785" i="8"/>
  <c r="I784" i="8"/>
  <c r="G784" i="8"/>
  <c r="I783" i="8"/>
  <c r="G783" i="8"/>
  <c r="I782" i="8"/>
  <c r="G782" i="8"/>
  <c r="I781" i="8"/>
  <c r="G781" i="8"/>
  <c r="I780" i="8"/>
  <c r="G780" i="8"/>
  <c r="I779" i="8"/>
  <c r="G779" i="8"/>
  <c r="I778" i="8"/>
  <c r="G778" i="8"/>
  <c r="I777" i="8"/>
  <c r="G777" i="8"/>
  <c r="I776" i="8"/>
  <c r="G776" i="8"/>
  <c r="I775" i="8"/>
  <c r="G775" i="8"/>
  <c r="I774" i="8"/>
  <c r="G774" i="8"/>
  <c r="I773" i="8"/>
  <c r="G773" i="8"/>
  <c r="I772" i="8"/>
  <c r="G772" i="8"/>
  <c r="I771" i="8"/>
  <c r="G771" i="8"/>
  <c r="I770" i="8"/>
  <c r="G770" i="8"/>
  <c r="I769" i="8"/>
  <c r="G769" i="8"/>
  <c r="I768" i="8"/>
  <c r="G768" i="8"/>
  <c r="I767" i="8"/>
  <c r="G767" i="8"/>
  <c r="I766" i="8"/>
  <c r="G766" i="8"/>
  <c r="I765" i="8"/>
  <c r="G765" i="8"/>
  <c r="I764" i="8"/>
  <c r="G764" i="8"/>
  <c r="I763" i="8"/>
  <c r="G763" i="8"/>
  <c r="I762" i="8"/>
  <c r="G762" i="8"/>
  <c r="I761" i="8"/>
  <c r="G761" i="8"/>
  <c r="I760" i="8"/>
  <c r="G760" i="8"/>
  <c r="I759" i="8"/>
  <c r="G759" i="8"/>
  <c r="I758" i="8"/>
  <c r="G758" i="8"/>
  <c r="I757" i="8"/>
  <c r="G757" i="8"/>
  <c r="I756" i="8"/>
  <c r="G756" i="8"/>
  <c r="I755" i="8"/>
  <c r="G755" i="8"/>
  <c r="I754" i="8"/>
  <c r="G754" i="8"/>
  <c r="I753" i="8"/>
  <c r="G753" i="8"/>
  <c r="I752" i="8"/>
  <c r="G752" i="8"/>
  <c r="I751" i="8"/>
  <c r="G751" i="8"/>
  <c r="I750" i="8"/>
  <c r="G750" i="8"/>
  <c r="I749" i="8"/>
  <c r="G749" i="8"/>
  <c r="I748" i="8"/>
  <c r="G748" i="8"/>
  <c r="I747" i="8"/>
  <c r="G747" i="8"/>
  <c r="I746" i="8"/>
  <c r="G746" i="8"/>
  <c r="I745" i="8"/>
  <c r="G745" i="8"/>
  <c r="I744" i="8"/>
  <c r="G744" i="8"/>
  <c r="I743" i="8"/>
  <c r="G743" i="8"/>
  <c r="I742" i="8"/>
  <c r="G742" i="8"/>
  <c r="I741" i="8"/>
  <c r="G741" i="8"/>
  <c r="I740" i="8"/>
  <c r="G740" i="8"/>
  <c r="I739" i="8"/>
  <c r="G739" i="8"/>
  <c r="I738" i="8"/>
  <c r="G738" i="8"/>
  <c r="I737" i="8"/>
  <c r="G737" i="8"/>
  <c r="I736" i="8"/>
  <c r="G736" i="8"/>
  <c r="I735" i="8"/>
  <c r="G735" i="8"/>
  <c r="I734" i="8"/>
  <c r="G734" i="8"/>
  <c r="I733" i="8"/>
  <c r="G733" i="8"/>
  <c r="I732" i="8"/>
  <c r="G732" i="8"/>
  <c r="I731" i="8"/>
  <c r="G731" i="8"/>
  <c r="I730" i="8"/>
  <c r="G730" i="8"/>
  <c r="I729" i="8"/>
  <c r="G729" i="8"/>
  <c r="I728" i="8"/>
  <c r="G728" i="8"/>
  <c r="I727" i="8"/>
  <c r="G727" i="8"/>
  <c r="I726" i="8"/>
  <c r="G726" i="8"/>
  <c r="I725" i="8"/>
  <c r="G725" i="8"/>
  <c r="I724" i="8"/>
  <c r="G724" i="8"/>
  <c r="I723" i="8"/>
  <c r="G723" i="8"/>
  <c r="I722" i="8"/>
  <c r="G722" i="8"/>
  <c r="I721" i="8"/>
  <c r="G721" i="8"/>
  <c r="I720" i="8"/>
  <c r="G720" i="8"/>
  <c r="I719" i="8"/>
  <c r="G719" i="8"/>
  <c r="I718" i="8"/>
  <c r="G718" i="8"/>
  <c r="I717" i="8"/>
  <c r="G717" i="8"/>
  <c r="I716" i="8"/>
  <c r="G716" i="8"/>
  <c r="I715" i="8"/>
  <c r="G715" i="8"/>
  <c r="I714" i="8"/>
  <c r="G714" i="8"/>
  <c r="I713" i="8"/>
  <c r="G713" i="8"/>
  <c r="I712" i="8"/>
  <c r="G712" i="8"/>
  <c r="I711" i="8"/>
  <c r="G711" i="8"/>
  <c r="I710" i="8"/>
  <c r="G710" i="8"/>
  <c r="I709" i="8"/>
  <c r="G709" i="8"/>
  <c r="I708" i="8"/>
  <c r="G708" i="8"/>
  <c r="I707" i="8"/>
  <c r="G707" i="8"/>
  <c r="I706" i="8"/>
  <c r="G706" i="8"/>
  <c r="I705" i="8"/>
  <c r="G705" i="8"/>
  <c r="I704" i="8"/>
  <c r="G704" i="8"/>
  <c r="I703" i="8"/>
  <c r="G703" i="8"/>
  <c r="I702" i="8"/>
  <c r="G702" i="8"/>
  <c r="I701" i="8"/>
  <c r="G701" i="8"/>
  <c r="I700" i="8"/>
  <c r="G700" i="8"/>
  <c r="I699" i="8"/>
  <c r="G699" i="8"/>
  <c r="I698" i="8"/>
  <c r="G698" i="8"/>
  <c r="I697" i="8"/>
  <c r="G697" i="8"/>
  <c r="I696" i="8"/>
  <c r="G696" i="8"/>
  <c r="I695" i="8"/>
  <c r="G695" i="8"/>
  <c r="I694" i="8"/>
  <c r="G694" i="8"/>
  <c r="I693" i="8"/>
  <c r="G693" i="8"/>
  <c r="I692" i="8"/>
  <c r="G692" i="8"/>
  <c r="I691" i="8"/>
  <c r="G691" i="8"/>
  <c r="I690" i="8"/>
  <c r="G690" i="8"/>
  <c r="I689" i="8"/>
  <c r="G689" i="8"/>
  <c r="I688" i="8"/>
  <c r="G688" i="8"/>
  <c r="I687" i="8"/>
  <c r="G687" i="8"/>
  <c r="I686" i="8"/>
  <c r="G686" i="8"/>
  <c r="I685" i="8"/>
  <c r="G685" i="8"/>
  <c r="I684" i="8"/>
  <c r="G684" i="8"/>
  <c r="I683" i="8"/>
  <c r="G683" i="8"/>
  <c r="I682" i="8"/>
  <c r="G682" i="8"/>
  <c r="I681" i="8"/>
  <c r="G681" i="8"/>
  <c r="I680" i="8"/>
  <c r="G680" i="8"/>
  <c r="I679" i="8"/>
  <c r="G679" i="8"/>
  <c r="I678" i="8"/>
  <c r="G678" i="8"/>
  <c r="I677" i="8"/>
  <c r="G677" i="8"/>
  <c r="I676" i="8"/>
  <c r="G676" i="8"/>
  <c r="I675" i="8"/>
  <c r="G675" i="8"/>
  <c r="I674" i="8"/>
  <c r="G674" i="8"/>
  <c r="I673" i="8"/>
  <c r="G673" i="8"/>
  <c r="I672" i="8"/>
  <c r="G672" i="8"/>
  <c r="I671" i="8"/>
  <c r="G671" i="8"/>
  <c r="I670" i="8"/>
  <c r="G670" i="8"/>
  <c r="I669" i="8"/>
  <c r="G669" i="8"/>
  <c r="I668" i="8"/>
  <c r="G668" i="8"/>
  <c r="I667" i="8"/>
  <c r="G667" i="8"/>
  <c r="I666" i="8"/>
  <c r="G666" i="8"/>
  <c r="I665" i="8"/>
  <c r="G665" i="8"/>
  <c r="I664" i="8"/>
  <c r="G664" i="8"/>
  <c r="I663" i="8"/>
  <c r="G663" i="8"/>
  <c r="I662" i="8"/>
  <c r="G662" i="8"/>
  <c r="I661" i="8"/>
  <c r="G661" i="8"/>
  <c r="I660" i="8"/>
  <c r="G660" i="8"/>
  <c r="I659" i="8"/>
  <c r="G659" i="8"/>
  <c r="I658" i="8"/>
  <c r="G658" i="8"/>
  <c r="I657" i="8"/>
  <c r="G657" i="8"/>
  <c r="I656" i="8"/>
  <c r="G656" i="8"/>
  <c r="I655" i="8"/>
  <c r="G655" i="8"/>
  <c r="I654" i="8"/>
  <c r="G654" i="8"/>
  <c r="I653" i="8"/>
  <c r="G653" i="8"/>
  <c r="I652" i="8"/>
  <c r="G652" i="8"/>
  <c r="I651" i="8"/>
  <c r="G651" i="8"/>
  <c r="I650" i="8"/>
  <c r="G650" i="8"/>
  <c r="I649" i="8"/>
  <c r="G649" i="8"/>
  <c r="I648" i="8"/>
  <c r="G648" i="8"/>
  <c r="I647" i="8"/>
  <c r="G647" i="8"/>
  <c r="I646" i="8"/>
  <c r="G646" i="8"/>
  <c r="I645" i="8"/>
  <c r="G645" i="8"/>
  <c r="I644" i="8"/>
  <c r="G644" i="8"/>
  <c r="I643" i="8"/>
  <c r="G643" i="8"/>
  <c r="I642" i="8"/>
  <c r="G642" i="8"/>
  <c r="I641" i="8"/>
  <c r="G641" i="8"/>
  <c r="I640" i="8"/>
  <c r="G640" i="8"/>
  <c r="I639" i="8"/>
  <c r="G639" i="8"/>
  <c r="I638" i="8"/>
  <c r="G638" i="8"/>
  <c r="I637" i="8"/>
  <c r="G637" i="8"/>
  <c r="I636" i="8"/>
  <c r="G636" i="8"/>
  <c r="I635" i="8"/>
  <c r="G635" i="8"/>
  <c r="I634" i="8"/>
  <c r="G634" i="8"/>
  <c r="I633" i="8"/>
  <c r="G633" i="8"/>
  <c r="I632" i="8"/>
  <c r="G632" i="8"/>
  <c r="I631" i="8"/>
  <c r="G631" i="8"/>
  <c r="I630" i="8"/>
  <c r="G630" i="8"/>
  <c r="I629" i="8"/>
  <c r="G629" i="8"/>
  <c r="I628" i="8"/>
  <c r="G628" i="8"/>
  <c r="I627" i="8"/>
  <c r="G627" i="8"/>
  <c r="I626" i="8"/>
  <c r="G626" i="8"/>
  <c r="I625" i="8"/>
  <c r="G625" i="8"/>
  <c r="I624" i="8"/>
  <c r="G624" i="8"/>
  <c r="I623" i="8"/>
  <c r="G623" i="8"/>
  <c r="I622" i="8"/>
  <c r="G622" i="8"/>
  <c r="I621" i="8"/>
  <c r="G621" i="8"/>
  <c r="I620" i="8"/>
  <c r="G620" i="8"/>
  <c r="I619" i="8"/>
  <c r="G619" i="8"/>
  <c r="I618" i="8"/>
  <c r="G618" i="8"/>
  <c r="I617" i="8"/>
  <c r="G617" i="8"/>
  <c r="I616" i="8"/>
  <c r="G616" i="8"/>
  <c r="I615" i="8"/>
  <c r="G615" i="8"/>
  <c r="I614" i="8"/>
  <c r="G614" i="8"/>
  <c r="I613" i="8"/>
  <c r="G613" i="8"/>
  <c r="I612" i="8"/>
  <c r="G612" i="8"/>
  <c r="I611" i="8"/>
  <c r="G611" i="8"/>
  <c r="I610" i="8"/>
  <c r="G610" i="8"/>
  <c r="I609" i="8"/>
  <c r="G609" i="8"/>
  <c r="I608" i="8"/>
  <c r="G608" i="8"/>
  <c r="I607" i="8"/>
  <c r="G607" i="8"/>
  <c r="I606" i="8"/>
  <c r="G606" i="8"/>
  <c r="I605" i="8"/>
  <c r="G605" i="8"/>
  <c r="I604" i="8"/>
  <c r="G604" i="8"/>
  <c r="I603" i="8"/>
  <c r="G603" i="8"/>
  <c r="I602" i="8"/>
  <c r="G602" i="8"/>
  <c r="I601" i="8"/>
  <c r="G601" i="8"/>
  <c r="I600" i="8"/>
  <c r="G600" i="8"/>
  <c r="I599" i="8"/>
  <c r="G599" i="8"/>
  <c r="I598" i="8"/>
  <c r="G598" i="8"/>
  <c r="I597" i="8"/>
  <c r="G597" i="8"/>
  <c r="I596" i="8"/>
  <c r="G596" i="8"/>
  <c r="I595" i="8"/>
  <c r="G595" i="8"/>
  <c r="I594" i="8"/>
  <c r="G594" i="8"/>
  <c r="I593" i="8"/>
  <c r="G593" i="8"/>
  <c r="I592" i="8"/>
  <c r="G592" i="8"/>
  <c r="I591" i="8"/>
  <c r="G591" i="8"/>
  <c r="I590" i="8"/>
  <c r="G590" i="8"/>
  <c r="I589" i="8"/>
  <c r="G589" i="8"/>
  <c r="I588" i="8"/>
  <c r="G588" i="8"/>
  <c r="I587" i="8"/>
  <c r="G587" i="8"/>
  <c r="I586" i="8"/>
  <c r="G586" i="8"/>
  <c r="I585" i="8"/>
  <c r="G585" i="8"/>
  <c r="I584" i="8"/>
  <c r="G584" i="8"/>
  <c r="I583" i="8"/>
  <c r="G583" i="8"/>
  <c r="I582" i="8"/>
  <c r="G582" i="8"/>
  <c r="I581" i="8"/>
  <c r="G581" i="8"/>
  <c r="I580" i="8"/>
  <c r="G580" i="8"/>
  <c r="I579" i="8"/>
  <c r="G579" i="8"/>
  <c r="I578" i="8"/>
  <c r="G578" i="8"/>
  <c r="I577" i="8"/>
  <c r="G577" i="8"/>
  <c r="I576" i="8"/>
  <c r="G576" i="8"/>
  <c r="I575" i="8"/>
  <c r="G575" i="8"/>
  <c r="I574" i="8"/>
  <c r="G574" i="8"/>
  <c r="I573" i="8"/>
  <c r="G573" i="8"/>
  <c r="I572" i="8"/>
  <c r="G572" i="8"/>
  <c r="I571" i="8"/>
  <c r="G571" i="8"/>
  <c r="I570" i="8"/>
  <c r="G570" i="8"/>
  <c r="I569" i="8"/>
  <c r="G569" i="8"/>
  <c r="I568" i="8"/>
  <c r="G568" i="8"/>
  <c r="I567" i="8"/>
  <c r="G567" i="8"/>
  <c r="I566" i="8"/>
  <c r="G566" i="8"/>
  <c r="I565" i="8"/>
  <c r="G565" i="8"/>
  <c r="I564" i="8"/>
  <c r="G564" i="8"/>
  <c r="I563" i="8"/>
  <c r="G563" i="8"/>
  <c r="I562" i="8"/>
  <c r="G562" i="8"/>
  <c r="I561" i="8"/>
  <c r="G561" i="8"/>
  <c r="I560" i="8"/>
  <c r="G560" i="8"/>
  <c r="I559" i="8"/>
  <c r="G559" i="8"/>
  <c r="I558" i="8"/>
  <c r="G558" i="8"/>
  <c r="I557" i="8"/>
  <c r="G557" i="8"/>
  <c r="I556" i="8"/>
  <c r="G556" i="8"/>
  <c r="I555" i="8"/>
  <c r="G555" i="8"/>
  <c r="I554" i="8"/>
  <c r="G554" i="8"/>
  <c r="I553" i="8"/>
  <c r="G553" i="8"/>
  <c r="I552" i="8"/>
  <c r="G552" i="8"/>
  <c r="I551" i="8"/>
  <c r="G551" i="8"/>
  <c r="I550" i="8"/>
  <c r="G550" i="8"/>
  <c r="I549" i="8"/>
  <c r="G549" i="8"/>
  <c r="I548" i="8"/>
  <c r="G548" i="8"/>
  <c r="I547" i="8"/>
  <c r="G547" i="8"/>
  <c r="I546" i="8"/>
  <c r="G546" i="8"/>
  <c r="I545" i="8"/>
  <c r="G545" i="8"/>
  <c r="I544" i="8"/>
  <c r="G544" i="8"/>
  <c r="I543" i="8"/>
  <c r="G543" i="8"/>
  <c r="I542" i="8"/>
  <c r="G542" i="8"/>
  <c r="I541" i="8"/>
  <c r="G541" i="8"/>
  <c r="I540" i="8"/>
  <c r="G540" i="8"/>
  <c r="I539" i="8"/>
  <c r="G539" i="8"/>
  <c r="I538" i="8"/>
  <c r="G538" i="8"/>
  <c r="I537" i="8"/>
  <c r="G537" i="8"/>
  <c r="I536" i="8"/>
  <c r="G536" i="8"/>
  <c r="I535" i="8"/>
  <c r="G535" i="8"/>
  <c r="I534" i="8"/>
  <c r="G534" i="8"/>
  <c r="I533" i="8"/>
  <c r="G533" i="8"/>
  <c r="I532" i="8"/>
  <c r="G532" i="8"/>
  <c r="I531" i="8"/>
  <c r="G531" i="8"/>
  <c r="I530" i="8"/>
  <c r="G530" i="8"/>
  <c r="I529" i="8"/>
  <c r="G529" i="8"/>
  <c r="I528" i="8"/>
  <c r="G528" i="8"/>
  <c r="I527" i="8"/>
  <c r="G527" i="8"/>
  <c r="I526" i="8"/>
  <c r="G526" i="8"/>
  <c r="I525" i="8"/>
  <c r="G525" i="8"/>
  <c r="I524" i="8"/>
  <c r="G524" i="8"/>
  <c r="I523" i="8"/>
  <c r="G523" i="8"/>
  <c r="I522" i="8"/>
  <c r="G522" i="8"/>
  <c r="I521" i="8"/>
  <c r="G521" i="8"/>
  <c r="I520" i="8"/>
  <c r="G520" i="8"/>
  <c r="I519" i="8"/>
  <c r="G519" i="8"/>
  <c r="I518" i="8"/>
  <c r="G518" i="8"/>
  <c r="I517" i="8"/>
  <c r="G517" i="8"/>
  <c r="I516" i="8"/>
  <c r="G516" i="8"/>
  <c r="I515" i="8"/>
  <c r="G515" i="8"/>
  <c r="I514" i="8"/>
  <c r="G514" i="8"/>
  <c r="I513" i="8"/>
  <c r="G513" i="8"/>
  <c r="I512" i="8"/>
  <c r="G512" i="8"/>
  <c r="I511" i="8"/>
  <c r="G511" i="8"/>
  <c r="I510" i="8"/>
  <c r="G510" i="8"/>
  <c r="I509" i="8"/>
  <c r="G509" i="8"/>
  <c r="I508" i="8"/>
  <c r="G508" i="8"/>
  <c r="I507" i="8"/>
  <c r="G507" i="8"/>
  <c r="I506" i="8"/>
  <c r="G506" i="8"/>
  <c r="I505" i="8"/>
  <c r="G505" i="8"/>
  <c r="I504" i="8"/>
  <c r="G504" i="8"/>
  <c r="I503" i="8"/>
  <c r="G503" i="8"/>
  <c r="I502" i="8"/>
  <c r="G502" i="8"/>
  <c r="I501" i="8"/>
  <c r="G501" i="8"/>
  <c r="I500" i="8"/>
  <c r="G500" i="8"/>
  <c r="I499" i="8"/>
  <c r="G499" i="8"/>
  <c r="I498" i="8"/>
  <c r="G498" i="8"/>
  <c r="I497" i="8"/>
  <c r="G497" i="8"/>
  <c r="I496" i="8"/>
  <c r="G496" i="8"/>
  <c r="I495" i="8"/>
  <c r="G495" i="8"/>
  <c r="I494" i="8"/>
  <c r="G494" i="8"/>
  <c r="I493" i="8"/>
  <c r="G493" i="8"/>
  <c r="I492" i="8"/>
  <c r="G492" i="8"/>
  <c r="I491" i="8"/>
  <c r="G491" i="8"/>
  <c r="I490" i="8"/>
  <c r="G490" i="8"/>
  <c r="I489" i="8"/>
  <c r="G489" i="8"/>
  <c r="I488" i="8"/>
  <c r="G488" i="8"/>
  <c r="I487" i="8"/>
  <c r="G487" i="8"/>
  <c r="I486" i="8"/>
  <c r="G486" i="8"/>
  <c r="I485" i="8"/>
  <c r="G485" i="8"/>
  <c r="I484" i="8"/>
  <c r="G484" i="8"/>
  <c r="I483" i="8"/>
  <c r="G483" i="8"/>
  <c r="I482" i="8"/>
  <c r="G482" i="8"/>
  <c r="I481" i="8"/>
  <c r="G481" i="8"/>
  <c r="I480" i="8"/>
  <c r="G480" i="8"/>
  <c r="I479" i="8"/>
  <c r="G479" i="8"/>
  <c r="I478" i="8"/>
  <c r="G478" i="8"/>
  <c r="I477" i="8"/>
  <c r="G477" i="8"/>
  <c r="I476" i="8"/>
  <c r="G476" i="8"/>
  <c r="I475" i="8"/>
  <c r="G475" i="8"/>
  <c r="I474" i="8"/>
  <c r="G474" i="8"/>
  <c r="I473" i="8"/>
  <c r="G473" i="8"/>
  <c r="I472" i="8"/>
  <c r="G472" i="8"/>
  <c r="I471" i="8"/>
  <c r="G471" i="8"/>
  <c r="I470" i="8"/>
  <c r="G470" i="8"/>
  <c r="I469" i="8"/>
  <c r="G469" i="8"/>
  <c r="I468" i="8"/>
  <c r="G468" i="8"/>
  <c r="I467" i="8"/>
  <c r="G467" i="8"/>
  <c r="I466" i="8"/>
  <c r="G466" i="8"/>
  <c r="I465" i="8"/>
  <c r="G465" i="8"/>
  <c r="I464" i="8"/>
  <c r="G464" i="8"/>
  <c r="I463" i="8"/>
  <c r="G463" i="8"/>
  <c r="I462" i="8"/>
  <c r="G462" i="8"/>
  <c r="I461" i="8"/>
  <c r="G461" i="8"/>
  <c r="I460" i="8"/>
  <c r="G460" i="8"/>
  <c r="I459" i="8"/>
  <c r="G459" i="8"/>
  <c r="I458" i="8"/>
  <c r="G458" i="8"/>
  <c r="I457" i="8"/>
  <c r="G457" i="8"/>
  <c r="I456" i="8"/>
  <c r="G456" i="8"/>
  <c r="I455" i="8"/>
  <c r="G455" i="8"/>
  <c r="I454" i="8"/>
  <c r="G454" i="8"/>
  <c r="I453" i="8"/>
  <c r="G453" i="8"/>
  <c r="I452" i="8"/>
  <c r="G452" i="8"/>
  <c r="I451" i="8"/>
  <c r="G451" i="8"/>
  <c r="I450" i="8"/>
  <c r="G450" i="8"/>
  <c r="I449" i="8"/>
  <c r="G449" i="8"/>
  <c r="I448" i="8"/>
  <c r="G448" i="8"/>
  <c r="I447" i="8"/>
  <c r="G447" i="8"/>
  <c r="I446" i="8"/>
  <c r="G446" i="8"/>
  <c r="I445" i="8"/>
  <c r="G445" i="8"/>
  <c r="I444" i="8"/>
  <c r="G444" i="8"/>
  <c r="I443" i="8"/>
  <c r="G443" i="8"/>
  <c r="I442" i="8"/>
  <c r="G442" i="8"/>
  <c r="I441" i="8"/>
  <c r="G441" i="8"/>
  <c r="I440" i="8"/>
  <c r="G440" i="8"/>
  <c r="I439" i="8"/>
  <c r="G439" i="8"/>
  <c r="I438" i="8"/>
  <c r="G438" i="8"/>
  <c r="I437" i="8"/>
  <c r="G437" i="8"/>
  <c r="I436" i="8"/>
  <c r="G436" i="8"/>
  <c r="I435" i="8"/>
  <c r="G435" i="8"/>
  <c r="I434" i="8"/>
  <c r="G434" i="8"/>
  <c r="I433" i="8"/>
  <c r="G433" i="8"/>
  <c r="I432" i="8"/>
  <c r="G432" i="8"/>
  <c r="I431" i="8"/>
  <c r="G431" i="8"/>
  <c r="I430" i="8"/>
  <c r="G430" i="8"/>
  <c r="I429" i="8"/>
  <c r="G429" i="8"/>
  <c r="I428" i="8"/>
  <c r="G428" i="8"/>
  <c r="I427" i="8"/>
  <c r="G427" i="8"/>
  <c r="I426" i="8"/>
  <c r="G426" i="8"/>
  <c r="I425" i="8"/>
  <c r="G425" i="8"/>
  <c r="I424" i="8"/>
  <c r="G424" i="8"/>
  <c r="I423" i="8"/>
  <c r="G423" i="8"/>
  <c r="I422" i="8"/>
  <c r="G422" i="8"/>
  <c r="I421" i="8"/>
  <c r="G421" i="8"/>
  <c r="I420" i="8"/>
  <c r="G420" i="8"/>
  <c r="I419" i="8"/>
  <c r="G419" i="8"/>
  <c r="I418" i="8"/>
  <c r="G418" i="8"/>
  <c r="I417" i="8"/>
  <c r="G417" i="8"/>
  <c r="I416" i="8"/>
  <c r="G416" i="8"/>
  <c r="I415" i="8"/>
  <c r="G415" i="8"/>
  <c r="I414" i="8"/>
  <c r="G414" i="8"/>
  <c r="I413" i="8"/>
  <c r="G413" i="8"/>
  <c r="I412" i="8"/>
  <c r="G412" i="8"/>
  <c r="I411" i="8"/>
  <c r="G411" i="8"/>
  <c r="I410" i="8"/>
  <c r="G410" i="8"/>
  <c r="I409" i="8"/>
  <c r="G409" i="8"/>
  <c r="I408" i="8"/>
  <c r="G408" i="8"/>
  <c r="I407" i="8"/>
  <c r="G407" i="8"/>
  <c r="I406" i="8"/>
  <c r="G406" i="8"/>
  <c r="I405" i="8"/>
  <c r="G405" i="8"/>
  <c r="I404" i="8"/>
  <c r="G404" i="8"/>
  <c r="I403" i="8"/>
  <c r="G403" i="8"/>
  <c r="I402" i="8"/>
  <c r="G402" i="8"/>
  <c r="I401" i="8"/>
  <c r="G401" i="8"/>
  <c r="I400" i="8"/>
  <c r="G400" i="8"/>
  <c r="I399" i="8"/>
  <c r="G399" i="8"/>
  <c r="I398" i="8"/>
  <c r="G398" i="8"/>
  <c r="I397" i="8"/>
  <c r="G397" i="8"/>
  <c r="I396" i="8"/>
  <c r="G396" i="8"/>
  <c r="I395" i="8"/>
  <c r="G395" i="8"/>
  <c r="I394" i="8"/>
  <c r="G394" i="8"/>
  <c r="I393" i="8"/>
  <c r="G393" i="8"/>
  <c r="I392" i="8"/>
  <c r="G392" i="8"/>
  <c r="I391" i="8"/>
  <c r="G391" i="8"/>
  <c r="I390" i="8"/>
  <c r="G390" i="8"/>
  <c r="I389" i="8"/>
  <c r="G389" i="8"/>
  <c r="I388" i="8"/>
  <c r="G388" i="8"/>
  <c r="I387" i="8"/>
  <c r="G387" i="8"/>
  <c r="I386" i="8"/>
  <c r="G386" i="8"/>
  <c r="I385" i="8"/>
  <c r="G385" i="8"/>
  <c r="I384" i="8"/>
  <c r="G384" i="8"/>
  <c r="I383" i="8"/>
  <c r="G383" i="8"/>
  <c r="I382" i="8"/>
  <c r="G382" i="8"/>
  <c r="I381" i="8"/>
  <c r="G381" i="8"/>
  <c r="I380" i="8"/>
  <c r="G380" i="8"/>
  <c r="I379" i="8"/>
  <c r="G379" i="8"/>
  <c r="I378" i="8"/>
  <c r="G378" i="8"/>
  <c r="I377" i="8"/>
  <c r="G377" i="8"/>
  <c r="I376" i="8"/>
  <c r="G376" i="8"/>
  <c r="I375" i="8"/>
  <c r="G375" i="8"/>
  <c r="I374" i="8"/>
  <c r="G374" i="8"/>
  <c r="I373" i="8"/>
  <c r="G373" i="8"/>
  <c r="I372" i="8"/>
  <c r="G372" i="8"/>
  <c r="I371" i="8"/>
  <c r="G371" i="8"/>
  <c r="I370" i="8"/>
  <c r="G370" i="8"/>
  <c r="I369" i="8"/>
  <c r="G369" i="8"/>
  <c r="I368" i="8"/>
  <c r="G368" i="8"/>
  <c r="I367" i="8"/>
  <c r="G367" i="8"/>
  <c r="I366" i="8"/>
  <c r="G366" i="8"/>
  <c r="I365" i="8"/>
  <c r="G365" i="8"/>
  <c r="I364" i="8"/>
  <c r="G364" i="8"/>
  <c r="I363" i="8"/>
  <c r="G363" i="8"/>
  <c r="I362" i="8"/>
  <c r="G362" i="8"/>
  <c r="I361" i="8"/>
  <c r="G361" i="8"/>
  <c r="I360" i="8"/>
  <c r="G360" i="8"/>
  <c r="I359" i="8"/>
  <c r="G359" i="8"/>
  <c r="I358" i="8"/>
  <c r="G358" i="8"/>
  <c r="I357" i="8"/>
  <c r="G357" i="8"/>
  <c r="I356" i="8"/>
  <c r="G356" i="8"/>
  <c r="I355" i="8"/>
  <c r="G355" i="8"/>
  <c r="I354" i="8"/>
  <c r="G354" i="8"/>
  <c r="I353" i="8"/>
  <c r="G353" i="8"/>
  <c r="I352" i="8"/>
  <c r="G352" i="8"/>
  <c r="I351" i="8"/>
  <c r="G351" i="8"/>
  <c r="I350" i="8"/>
  <c r="G350" i="8"/>
  <c r="I349" i="8"/>
  <c r="G349" i="8"/>
  <c r="I348" i="8"/>
  <c r="G348" i="8"/>
  <c r="I347" i="8"/>
  <c r="G347" i="8"/>
  <c r="I346" i="8"/>
  <c r="G346" i="8"/>
  <c r="I345" i="8"/>
  <c r="G345" i="8"/>
  <c r="I344" i="8"/>
  <c r="G344" i="8"/>
  <c r="I343" i="8"/>
  <c r="G343" i="8"/>
  <c r="I342" i="8"/>
  <c r="G342" i="8"/>
  <c r="I341" i="8"/>
  <c r="G341" i="8"/>
  <c r="I340" i="8"/>
  <c r="G340" i="8"/>
  <c r="I339" i="8"/>
  <c r="G339" i="8"/>
  <c r="I338" i="8"/>
  <c r="G338" i="8"/>
  <c r="I337" i="8"/>
  <c r="G337" i="8"/>
  <c r="I336" i="8"/>
  <c r="G336" i="8"/>
  <c r="I335" i="8"/>
  <c r="G335" i="8"/>
  <c r="I334" i="8"/>
  <c r="G334" i="8"/>
  <c r="I333" i="8"/>
  <c r="G333" i="8"/>
  <c r="I332" i="8"/>
  <c r="G332" i="8"/>
  <c r="I331" i="8"/>
  <c r="G331" i="8"/>
  <c r="I330" i="8"/>
  <c r="G330" i="8"/>
  <c r="I329" i="8"/>
  <c r="G329" i="8"/>
  <c r="I328" i="8"/>
  <c r="G328" i="8"/>
  <c r="I327" i="8"/>
  <c r="G327" i="8"/>
  <c r="I326" i="8"/>
  <c r="G326" i="8"/>
  <c r="I325" i="8"/>
  <c r="G325" i="8"/>
  <c r="I324" i="8"/>
  <c r="G324" i="8"/>
  <c r="I323" i="8"/>
  <c r="G323" i="8"/>
  <c r="I322" i="8"/>
  <c r="G322" i="8"/>
  <c r="I321" i="8"/>
  <c r="G321" i="8"/>
  <c r="I320" i="8"/>
  <c r="G320" i="8"/>
  <c r="I319" i="8"/>
  <c r="G319" i="8"/>
  <c r="I318" i="8"/>
  <c r="G318" i="8"/>
  <c r="I317" i="8"/>
  <c r="G317" i="8"/>
  <c r="I316" i="8"/>
  <c r="G316" i="8"/>
  <c r="I315" i="8"/>
  <c r="G315" i="8"/>
  <c r="I314" i="8"/>
  <c r="G314" i="8"/>
  <c r="I313" i="8"/>
  <c r="G313" i="8"/>
  <c r="I312" i="8"/>
  <c r="G312" i="8"/>
  <c r="I311" i="8"/>
  <c r="G311" i="8"/>
  <c r="I310" i="8"/>
  <c r="G310" i="8"/>
  <c r="I309" i="8"/>
  <c r="G309" i="8"/>
  <c r="I308" i="8"/>
  <c r="G308" i="8"/>
  <c r="I307" i="8"/>
  <c r="G307" i="8"/>
  <c r="I306" i="8"/>
  <c r="G306" i="8"/>
  <c r="I305" i="8"/>
  <c r="G305" i="8"/>
  <c r="I304" i="8"/>
  <c r="G304" i="8"/>
  <c r="I303" i="8"/>
  <c r="G303" i="8"/>
  <c r="I302" i="8"/>
  <c r="G302" i="8"/>
  <c r="I301" i="8"/>
  <c r="G301" i="8"/>
  <c r="I300" i="8"/>
  <c r="G300" i="8"/>
  <c r="I299" i="8"/>
  <c r="G299" i="8"/>
  <c r="I298" i="8"/>
  <c r="G298" i="8"/>
  <c r="I297" i="8"/>
  <c r="G297" i="8"/>
  <c r="I296" i="8"/>
  <c r="G296" i="8"/>
  <c r="I295" i="8"/>
  <c r="G295" i="8"/>
  <c r="I294" i="8"/>
  <c r="G294" i="8"/>
  <c r="I293" i="8"/>
  <c r="G293" i="8"/>
  <c r="I292" i="8"/>
  <c r="G292" i="8"/>
  <c r="I291" i="8"/>
  <c r="G291" i="8"/>
  <c r="I290" i="8"/>
  <c r="G290" i="8"/>
  <c r="I289" i="8"/>
  <c r="G289" i="8"/>
  <c r="I288" i="8"/>
  <c r="G288" i="8"/>
  <c r="I287" i="8"/>
  <c r="G287" i="8"/>
  <c r="I286" i="8"/>
  <c r="G286" i="8"/>
  <c r="I285" i="8"/>
  <c r="G285" i="8"/>
  <c r="I284" i="8"/>
  <c r="G284" i="8"/>
  <c r="I283" i="8"/>
  <c r="G283" i="8"/>
  <c r="I282" i="8"/>
  <c r="G282" i="8"/>
  <c r="I281" i="8"/>
  <c r="G281" i="8"/>
  <c r="I280" i="8"/>
  <c r="G280" i="8"/>
  <c r="I279" i="8"/>
  <c r="G279" i="8"/>
  <c r="I278" i="8"/>
  <c r="G278" i="8"/>
  <c r="I277" i="8"/>
  <c r="G277" i="8"/>
  <c r="I276" i="8"/>
  <c r="G276" i="8"/>
  <c r="I275" i="8"/>
  <c r="G275" i="8"/>
  <c r="I274" i="8"/>
  <c r="G274" i="8"/>
  <c r="I273" i="8"/>
  <c r="G273" i="8"/>
  <c r="I272" i="8"/>
  <c r="G272" i="8"/>
  <c r="I271" i="8"/>
  <c r="G271" i="8"/>
  <c r="I270" i="8"/>
  <c r="G270" i="8"/>
  <c r="I269" i="8"/>
  <c r="G269" i="8"/>
  <c r="I268" i="8"/>
  <c r="G268" i="8"/>
  <c r="I267" i="8"/>
  <c r="G267" i="8"/>
  <c r="I266" i="8"/>
  <c r="G266" i="8"/>
  <c r="I265" i="8"/>
  <c r="G265" i="8"/>
  <c r="I264" i="8"/>
  <c r="G264" i="8"/>
  <c r="I263" i="8"/>
  <c r="G263" i="8"/>
  <c r="I262" i="8"/>
  <c r="G262" i="8"/>
  <c r="I261" i="8"/>
  <c r="G261" i="8"/>
  <c r="I260" i="8"/>
  <c r="G260" i="8"/>
  <c r="I259" i="8"/>
  <c r="G259" i="8"/>
  <c r="I258" i="8"/>
  <c r="G258" i="8"/>
  <c r="I257" i="8"/>
  <c r="G257" i="8"/>
  <c r="I256" i="8"/>
  <c r="G256" i="8"/>
  <c r="I255" i="8"/>
  <c r="G255" i="8"/>
  <c r="I254" i="8"/>
  <c r="G254" i="8"/>
  <c r="I253" i="8"/>
  <c r="G253" i="8"/>
  <c r="I252" i="8"/>
  <c r="G252" i="8"/>
  <c r="I251" i="8"/>
  <c r="G251" i="8"/>
  <c r="I250" i="8"/>
  <c r="G250" i="8"/>
  <c r="I249" i="8"/>
  <c r="G249" i="8"/>
  <c r="I248" i="8"/>
  <c r="G248" i="8"/>
  <c r="I247" i="8"/>
  <c r="G247" i="8"/>
  <c r="I246" i="8"/>
  <c r="G246" i="8"/>
  <c r="I245" i="8"/>
  <c r="G245" i="8"/>
  <c r="I244" i="8"/>
  <c r="G244" i="8"/>
  <c r="I243" i="8"/>
  <c r="G243" i="8"/>
  <c r="I242" i="8"/>
  <c r="G242" i="8"/>
  <c r="I241" i="8"/>
  <c r="G241" i="8"/>
  <c r="I240" i="8"/>
  <c r="G240" i="8"/>
  <c r="I239" i="8"/>
  <c r="G239" i="8"/>
  <c r="I238" i="8"/>
  <c r="G238" i="8"/>
  <c r="I237" i="8"/>
  <c r="G237" i="8"/>
  <c r="I236" i="8"/>
  <c r="G236" i="8"/>
  <c r="I235" i="8"/>
  <c r="G235" i="8"/>
  <c r="I234" i="8"/>
  <c r="G234" i="8"/>
  <c r="I233" i="8"/>
  <c r="G233" i="8"/>
  <c r="I232" i="8"/>
  <c r="G232" i="8"/>
  <c r="I231" i="8"/>
  <c r="G231" i="8"/>
  <c r="I230" i="8"/>
  <c r="G230" i="8"/>
  <c r="I229" i="8"/>
  <c r="G229" i="8"/>
  <c r="I228" i="8"/>
  <c r="G228" i="8"/>
  <c r="I227" i="8"/>
  <c r="G227" i="8"/>
  <c r="I226" i="8"/>
  <c r="G226" i="8"/>
  <c r="I225" i="8"/>
  <c r="G225" i="8"/>
  <c r="I224" i="8"/>
  <c r="G224" i="8"/>
  <c r="I223" i="8"/>
  <c r="G223" i="8"/>
  <c r="I222" i="8"/>
  <c r="G222" i="8"/>
  <c r="I221" i="8"/>
  <c r="G221" i="8"/>
  <c r="I220" i="8"/>
  <c r="G220" i="8"/>
  <c r="I219" i="8"/>
  <c r="G219" i="8"/>
  <c r="I218" i="8"/>
  <c r="G218" i="8"/>
  <c r="I217" i="8"/>
  <c r="G217" i="8"/>
  <c r="I216" i="8"/>
  <c r="G216" i="8"/>
  <c r="I215" i="8"/>
  <c r="G215" i="8"/>
  <c r="I214" i="8"/>
  <c r="G214" i="8"/>
  <c r="I213" i="8"/>
  <c r="G213" i="8"/>
  <c r="I212" i="8"/>
  <c r="G212" i="8"/>
  <c r="I211" i="8"/>
  <c r="G211" i="8"/>
  <c r="I210" i="8"/>
  <c r="G210" i="8"/>
  <c r="I209" i="8"/>
  <c r="G209" i="8"/>
  <c r="I208" i="8"/>
  <c r="G208" i="8"/>
  <c r="I207" i="8"/>
  <c r="G207" i="8"/>
  <c r="I206" i="8"/>
  <c r="G206" i="8"/>
  <c r="I205" i="8"/>
  <c r="G205" i="8"/>
  <c r="I204" i="8"/>
  <c r="G204" i="8"/>
  <c r="I203" i="8"/>
  <c r="G203" i="8"/>
  <c r="I202" i="8"/>
  <c r="G202" i="8"/>
  <c r="I201" i="8"/>
  <c r="G201" i="8"/>
  <c r="I200" i="8"/>
  <c r="G200" i="8"/>
  <c r="I199" i="8"/>
  <c r="G199" i="8"/>
  <c r="I198" i="8"/>
  <c r="G198" i="8"/>
  <c r="I197" i="8"/>
  <c r="G197" i="8"/>
  <c r="I196" i="8"/>
  <c r="G196" i="8"/>
  <c r="I195" i="8"/>
  <c r="G195" i="8"/>
  <c r="I194" i="8"/>
  <c r="G194" i="8"/>
  <c r="I193" i="8"/>
  <c r="G193" i="8"/>
  <c r="I192" i="8"/>
  <c r="G192" i="8"/>
  <c r="I191" i="8"/>
  <c r="G191" i="8"/>
  <c r="I190" i="8"/>
  <c r="G190" i="8"/>
  <c r="I189" i="8"/>
  <c r="G189" i="8"/>
  <c r="I188" i="8"/>
  <c r="G188" i="8"/>
  <c r="I187" i="8"/>
  <c r="G187" i="8"/>
  <c r="I186" i="8"/>
  <c r="G186" i="8"/>
  <c r="I185" i="8"/>
  <c r="G185" i="8"/>
  <c r="I184" i="8"/>
  <c r="G184" i="8"/>
  <c r="I183" i="8"/>
  <c r="G183" i="8"/>
  <c r="I182" i="8"/>
  <c r="G182" i="8"/>
  <c r="I181" i="8"/>
  <c r="G181" i="8"/>
  <c r="I180" i="8"/>
  <c r="G180" i="8"/>
  <c r="I179" i="8"/>
  <c r="G179" i="8"/>
  <c r="I178" i="8"/>
  <c r="G178" i="8"/>
  <c r="I177" i="8"/>
  <c r="G177" i="8"/>
  <c r="I176" i="8"/>
  <c r="G176" i="8"/>
  <c r="I175" i="8"/>
  <c r="G175" i="8"/>
  <c r="I174" i="8"/>
  <c r="G174" i="8"/>
  <c r="I173" i="8"/>
  <c r="G173" i="8"/>
  <c r="I172" i="8"/>
  <c r="G172" i="8"/>
  <c r="I171" i="8"/>
  <c r="G171" i="8"/>
  <c r="I170" i="8"/>
  <c r="G170" i="8"/>
  <c r="I169" i="8"/>
  <c r="G169" i="8"/>
  <c r="I168" i="8"/>
  <c r="G168" i="8"/>
  <c r="I167" i="8"/>
  <c r="G167" i="8"/>
  <c r="I166" i="8"/>
  <c r="G166" i="8"/>
  <c r="I165" i="8"/>
  <c r="G165" i="8"/>
  <c r="I164" i="8"/>
  <c r="G164" i="8"/>
  <c r="I163" i="8"/>
  <c r="G163" i="8"/>
  <c r="I162" i="8"/>
  <c r="G162" i="8"/>
  <c r="I161" i="8"/>
  <c r="G161" i="8"/>
  <c r="I160" i="8"/>
  <c r="G160" i="8"/>
  <c r="I159" i="8"/>
  <c r="G159" i="8"/>
  <c r="I158" i="8"/>
  <c r="G158" i="8"/>
  <c r="I157" i="8"/>
  <c r="G157" i="8"/>
  <c r="I156" i="8"/>
  <c r="G156" i="8"/>
  <c r="I155" i="8"/>
  <c r="G155" i="8"/>
  <c r="I154" i="8"/>
  <c r="G154" i="8"/>
  <c r="I153" i="8"/>
  <c r="G153" i="8"/>
  <c r="I152" i="8"/>
  <c r="G152" i="8"/>
  <c r="I151" i="8"/>
  <c r="G151" i="8"/>
  <c r="I150" i="8"/>
  <c r="G150" i="8"/>
  <c r="I149" i="8"/>
  <c r="G149" i="8"/>
  <c r="I148" i="8"/>
  <c r="G148" i="8"/>
  <c r="I147" i="8"/>
  <c r="G147" i="8"/>
  <c r="I146" i="8"/>
  <c r="G146" i="8"/>
  <c r="I145" i="8"/>
  <c r="G145" i="8"/>
  <c r="I144" i="8"/>
  <c r="G144" i="8"/>
  <c r="I143" i="8"/>
  <c r="G143" i="8"/>
  <c r="I142" i="8"/>
  <c r="G142" i="8"/>
  <c r="I141" i="8"/>
  <c r="G141" i="8"/>
  <c r="I140" i="8"/>
  <c r="G140" i="8"/>
  <c r="I139" i="8"/>
  <c r="G139" i="8"/>
  <c r="I138" i="8"/>
  <c r="G138" i="8"/>
  <c r="I137" i="8"/>
  <c r="G137" i="8"/>
  <c r="I136" i="8"/>
  <c r="G136" i="8"/>
  <c r="I135" i="8"/>
  <c r="G135" i="8"/>
  <c r="I134" i="8"/>
  <c r="G134" i="8"/>
  <c r="I133" i="8"/>
  <c r="G133" i="8"/>
  <c r="I132" i="8"/>
  <c r="G132" i="8"/>
  <c r="I131" i="8"/>
  <c r="G131" i="8"/>
  <c r="I130" i="8"/>
  <c r="G130" i="8"/>
  <c r="I129" i="8"/>
  <c r="G129" i="8"/>
  <c r="I128" i="8"/>
  <c r="G128" i="8"/>
  <c r="I127" i="8"/>
  <c r="G127" i="8"/>
  <c r="I126" i="8"/>
  <c r="G126" i="8"/>
  <c r="I125" i="8"/>
  <c r="G125" i="8"/>
  <c r="I124" i="8"/>
  <c r="G124" i="8"/>
  <c r="I123" i="8"/>
  <c r="G123" i="8"/>
  <c r="I122" i="8"/>
  <c r="G122" i="8"/>
  <c r="I121" i="8"/>
  <c r="G121" i="8"/>
  <c r="I120" i="8"/>
  <c r="G120" i="8"/>
  <c r="I119" i="8"/>
  <c r="G119" i="8"/>
  <c r="I118" i="8"/>
  <c r="G118" i="8"/>
  <c r="I117" i="8"/>
  <c r="G117" i="8"/>
  <c r="I116" i="8"/>
  <c r="G116" i="8"/>
  <c r="I115" i="8"/>
  <c r="G115" i="8"/>
  <c r="I114" i="8"/>
  <c r="G114" i="8"/>
  <c r="I113" i="8"/>
  <c r="G113" i="8"/>
  <c r="I112" i="8"/>
  <c r="G112" i="8"/>
  <c r="I111" i="8"/>
  <c r="G111" i="8"/>
  <c r="I110" i="8"/>
  <c r="G110" i="8"/>
  <c r="I109" i="8"/>
  <c r="G109" i="8"/>
  <c r="I108" i="8"/>
  <c r="G108" i="8"/>
  <c r="I107" i="8"/>
  <c r="G107" i="8"/>
  <c r="I106" i="8"/>
  <c r="G106" i="8"/>
  <c r="I105" i="8"/>
  <c r="G105" i="8"/>
  <c r="I104" i="8"/>
  <c r="G104" i="8"/>
  <c r="I103" i="8"/>
  <c r="G103" i="8"/>
  <c r="I102" i="8"/>
  <c r="G102" i="8"/>
  <c r="I101" i="8"/>
  <c r="G101" i="8"/>
  <c r="I100" i="8"/>
  <c r="G100" i="8"/>
  <c r="I99" i="8"/>
  <c r="G99" i="8"/>
  <c r="I98" i="8"/>
  <c r="G98" i="8"/>
  <c r="I97" i="8"/>
  <c r="G97" i="8"/>
  <c r="I96" i="8"/>
  <c r="G96" i="8"/>
  <c r="I95" i="8"/>
  <c r="G95" i="8"/>
  <c r="I94" i="8"/>
  <c r="G94" i="8"/>
  <c r="I93" i="8"/>
  <c r="G93" i="8"/>
  <c r="I92" i="8"/>
  <c r="G92" i="8"/>
  <c r="I91" i="8"/>
  <c r="G91" i="8"/>
  <c r="I90" i="8"/>
  <c r="G90" i="8"/>
  <c r="I89" i="8"/>
  <c r="G89" i="8"/>
  <c r="I88" i="8"/>
  <c r="G88" i="8"/>
  <c r="I87" i="8"/>
  <c r="G87" i="8"/>
  <c r="I86" i="8"/>
  <c r="G86" i="8"/>
  <c r="I85" i="8"/>
  <c r="G85" i="8"/>
  <c r="I84" i="8"/>
  <c r="G84" i="8"/>
  <c r="I83" i="8"/>
  <c r="G83" i="8"/>
  <c r="I82" i="8"/>
  <c r="G82" i="8"/>
  <c r="I81" i="8"/>
  <c r="G81" i="8"/>
  <c r="I80" i="8"/>
  <c r="G80" i="8"/>
  <c r="I79" i="8"/>
  <c r="G79" i="8"/>
  <c r="I78" i="8"/>
  <c r="G78" i="8"/>
  <c r="I77" i="8"/>
  <c r="G77" i="8"/>
  <c r="I76" i="8"/>
  <c r="G76" i="8"/>
  <c r="I75" i="8"/>
  <c r="G75" i="8"/>
  <c r="I74" i="8"/>
  <c r="G74" i="8"/>
  <c r="I73" i="8"/>
  <c r="G73" i="8"/>
  <c r="I72" i="8"/>
  <c r="G72" i="8"/>
  <c r="I71" i="8"/>
  <c r="G71" i="8"/>
  <c r="I70" i="8"/>
  <c r="G70" i="8"/>
  <c r="I69" i="8"/>
  <c r="G69" i="8"/>
  <c r="I68" i="8"/>
  <c r="G68" i="8"/>
  <c r="I67" i="8"/>
  <c r="G67" i="8"/>
  <c r="I66" i="8"/>
  <c r="G66" i="8"/>
  <c r="I65" i="8"/>
  <c r="G65" i="8"/>
  <c r="I64" i="8"/>
  <c r="G64" i="8"/>
  <c r="I63" i="8"/>
  <c r="G63" i="8"/>
  <c r="I62" i="8"/>
  <c r="G62" i="8"/>
  <c r="I61" i="8"/>
  <c r="G61" i="8"/>
  <c r="I60" i="8"/>
  <c r="G60" i="8"/>
  <c r="I59" i="8"/>
  <c r="G59" i="8"/>
  <c r="I58" i="8"/>
  <c r="G58" i="8"/>
  <c r="I57" i="8"/>
  <c r="G57" i="8"/>
  <c r="I56" i="8"/>
  <c r="G56" i="8"/>
  <c r="I55" i="8"/>
  <c r="G55" i="8"/>
  <c r="I54" i="8"/>
  <c r="G54" i="8"/>
  <c r="I53" i="8"/>
  <c r="G53" i="8"/>
  <c r="I52" i="8"/>
  <c r="G52" i="8"/>
  <c r="I51" i="8"/>
  <c r="G51" i="8"/>
  <c r="I50" i="8"/>
  <c r="G50" i="8"/>
  <c r="I49" i="8"/>
  <c r="G49" i="8"/>
  <c r="I48" i="8"/>
  <c r="G48" i="8"/>
  <c r="I47" i="8"/>
  <c r="G47" i="8"/>
  <c r="I46" i="8"/>
  <c r="G46" i="8"/>
  <c r="I45" i="8"/>
  <c r="G45" i="8"/>
  <c r="I44" i="8"/>
  <c r="G44" i="8"/>
  <c r="I43" i="8"/>
  <c r="G43" i="8"/>
  <c r="I42" i="8"/>
  <c r="G42" i="8"/>
  <c r="I41" i="8"/>
  <c r="G41" i="8"/>
  <c r="I40" i="8"/>
  <c r="G40" i="8"/>
  <c r="I39" i="8"/>
  <c r="G39" i="8"/>
  <c r="I38" i="8"/>
  <c r="G38" i="8"/>
  <c r="I37" i="8"/>
  <c r="G37" i="8"/>
  <c r="I36" i="8"/>
  <c r="G36" i="8"/>
  <c r="I35" i="8"/>
  <c r="G35" i="8"/>
  <c r="I34" i="8"/>
  <c r="G34" i="8"/>
  <c r="I33" i="8"/>
  <c r="G33" i="8"/>
  <c r="I32" i="8"/>
  <c r="G32" i="8"/>
  <c r="I31" i="8"/>
  <c r="G31" i="8"/>
  <c r="I30" i="8"/>
  <c r="G30" i="8"/>
  <c r="I29" i="8"/>
  <c r="G29" i="8"/>
  <c r="I28" i="8"/>
  <c r="G28" i="8"/>
  <c r="I27" i="8"/>
  <c r="G27" i="8"/>
  <c r="I26" i="8"/>
  <c r="G26" i="8"/>
  <c r="I25" i="8"/>
  <c r="G25" i="8"/>
  <c r="I24" i="8"/>
  <c r="G24" i="8"/>
  <c r="I23" i="8"/>
  <c r="G23" i="8"/>
  <c r="I22" i="8"/>
  <c r="G22" i="8"/>
  <c r="I21" i="8"/>
  <c r="G21" i="8"/>
  <c r="I20" i="8"/>
  <c r="G20" i="8"/>
  <c r="I19" i="8"/>
  <c r="G19" i="8"/>
  <c r="I18" i="8"/>
  <c r="G18" i="8"/>
  <c r="I17" i="8"/>
  <c r="G17" i="8"/>
  <c r="I16" i="8"/>
  <c r="G16" i="8"/>
  <c r="I15" i="8"/>
  <c r="G15" i="8"/>
  <c r="I14" i="8"/>
  <c r="G14" i="8"/>
  <c r="I13" i="8"/>
  <c r="G13" i="8"/>
  <c r="I12" i="8"/>
  <c r="G12" i="8"/>
  <c r="I11" i="8"/>
  <c r="G11" i="8"/>
  <c r="I10" i="8"/>
  <c r="G10" i="8"/>
  <c r="G670" i="14" l="1"/>
  <c r="G669" i="14"/>
  <c r="G668" i="14"/>
  <c r="G667" i="14"/>
  <c r="G666" i="14"/>
  <c r="G665" i="14"/>
  <c r="G664" i="14"/>
  <c r="G663" i="14"/>
  <c r="G662" i="14"/>
  <c r="G661" i="14"/>
  <c r="G660" i="14"/>
  <c r="G659" i="14"/>
  <c r="G658" i="14"/>
  <c r="G657" i="14"/>
  <c r="G656" i="14"/>
  <c r="G655" i="14"/>
  <c r="G654" i="14"/>
  <c r="G653" i="14"/>
  <c r="G652" i="14"/>
  <c r="G651" i="14"/>
  <c r="G650" i="14"/>
  <c r="G649" i="14"/>
  <c r="G648" i="14"/>
  <c r="G647" i="14"/>
  <c r="G646" i="14"/>
  <c r="G645" i="14"/>
  <c r="G644" i="14"/>
  <c r="G643" i="14"/>
  <c r="G642" i="14"/>
  <c r="G641" i="14"/>
  <c r="G640" i="14"/>
  <c r="G639" i="14"/>
  <c r="G638" i="14"/>
  <c r="G637" i="14"/>
  <c r="G636" i="14"/>
  <c r="G635" i="14"/>
  <c r="G634" i="14"/>
  <c r="G633" i="14"/>
  <c r="G632" i="14"/>
  <c r="G631" i="14"/>
  <c r="G630" i="14"/>
  <c r="G629" i="14"/>
  <c r="G628" i="14"/>
  <c r="G627" i="14"/>
  <c r="G626" i="14"/>
  <c r="G625" i="14"/>
  <c r="G624" i="14"/>
  <c r="G623" i="14"/>
  <c r="G622" i="14"/>
  <c r="G621" i="14"/>
  <c r="G620" i="14"/>
  <c r="G619" i="14"/>
  <c r="G618" i="14"/>
  <c r="G617" i="14"/>
  <c r="G616" i="14"/>
  <c r="G615" i="14"/>
  <c r="G614" i="14"/>
  <c r="G613" i="14"/>
  <c r="G612" i="14"/>
  <c r="G611" i="14"/>
  <c r="G610" i="14"/>
  <c r="G609" i="14"/>
  <c r="G608" i="14"/>
  <c r="G607" i="14"/>
  <c r="G606" i="14"/>
  <c r="G605" i="14"/>
  <c r="G604" i="14"/>
  <c r="G603" i="14"/>
  <c r="G602" i="14"/>
  <c r="G601" i="14"/>
  <c r="G600" i="14"/>
  <c r="G599" i="14"/>
  <c r="G598" i="14"/>
  <c r="G597" i="14"/>
  <c r="G596" i="14"/>
  <c r="G595" i="14"/>
  <c r="G594" i="14"/>
  <c r="G593" i="14"/>
  <c r="G592" i="14"/>
  <c r="G591" i="14"/>
  <c r="G590" i="14"/>
  <c r="G589" i="14"/>
  <c r="G588" i="14"/>
  <c r="G587" i="14"/>
  <c r="G586" i="14"/>
  <c r="G585" i="14"/>
  <c r="G584" i="14"/>
  <c r="G583" i="14"/>
  <c r="G582" i="14"/>
  <c r="G581" i="14"/>
  <c r="G580" i="14"/>
  <c r="G579" i="14"/>
  <c r="G578" i="14"/>
  <c r="G577" i="14"/>
  <c r="G576" i="14"/>
  <c r="G575" i="14"/>
  <c r="G574" i="14"/>
  <c r="G573" i="14"/>
  <c r="G572" i="14"/>
  <c r="G571" i="14"/>
  <c r="G570" i="14"/>
  <c r="G569" i="14"/>
  <c r="G568" i="14"/>
  <c r="G567" i="14"/>
  <c r="G566" i="14"/>
  <c r="G565" i="14"/>
  <c r="G564" i="14"/>
  <c r="G563" i="14"/>
  <c r="G562" i="14"/>
  <c r="G561" i="14"/>
  <c r="G560" i="14"/>
  <c r="G559" i="14"/>
  <c r="G558" i="14"/>
  <c r="G557" i="14"/>
  <c r="G556" i="14"/>
  <c r="G555" i="14"/>
  <c r="G554" i="14"/>
  <c r="G553" i="14"/>
  <c r="G552" i="14"/>
  <c r="G551" i="14"/>
  <c r="G550" i="14"/>
  <c r="G549" i="14"/>
  <c r="G548" i="14"/>
  <c r="G547" i="14"/>
  <c r="G546" i="14"/>
  <c r="G545" i="14"/>
  <c r="G544" i="14"/>
  <c r="G543" i="14"/>
  <c r="G542" i="14"/>
  <c r="G541" i="14"/>
  <c r="G540" i="14"/>
  <c r="G539" i="14"/>
  <c r="G538" i="14"/>
  <c r="G537" i="14"/>
  <c r="G536" i="14"/>
  <c r="G535" i="14"/>
  <c r="G534" i="14"/>
  <c r="G533" i="14"/>
  <c r="G532" i="14"/>
  <c r="G531" i="14"/>
  <c r="G530" i="14"/>
  <c r="G529" i="14"/>
  <c r="G528" i="14"/>
  <c r="G527" i="14"/>
  <c r="G526" i="14"/>
  <c r="G525" i="14"/>
  <c r="G524" i="14"/>
  <c r="G523" i="14"/>
  <c r="G522" i="14"/>
  <c r="G521" i="14"/>
  <c r="G520" i="14"/>
  <c r="G519" i="14"/>
  <c r="G518" i="14"/>
  <c r="G517" i="14"/>
  <c r="G516" i="14"/>
  <c r="G515" i="14"/>
  <c r="G514" i="14"/>
  <c r="G513" i="14"/>
  <c r="G512" i="14"/>
  <c r="G511" i="14"/>
  <c r="G510" i="14"/>
  <c r="G509" i="14"/>
  <c r="G508" i="14"/>
  <c r="G507" i="14"/>
  <c r="G506" i="14"/>
  <c r="G505" i="14"/>
  <c r="G504" i="14"/>
  <c r="G503" i="14"/>
  <c r="G502" i="14"/>
  <c r="G501" i="14"/>
  <c r="G500" i="14"/>
  <c r="G499" i="14"/>
  <c r="G498" i="14"/>
  <c r="G497" i="14"/>
  <c r="G496" i="14"/>
  <c r="G495" i="14"/>
  <c r="G494" i="14"/>
  <c r="G493" i="14"/>
  <c r="G492" i="14"/>
  <c r="G491" i="14"/>
  <c r="G490" i="14"/>
  <c r="G489" i="14"/>
  <c r="G488" i="14"/>
  <c r="G487" i="14"/>
  <c r="G486" i="14"/>
  <c r="G485" i="14"/>
  <c r="G484" i="14"/>
  <c r="G483" i="14"/>
  <c r="G482" i="14"/>
  <c r="G481" i="14"/>
  <c r="G480" i="14"/>
  <c r="G479" i="14"/>
  <c r="G478" i="14"/>
  <c r="G477" i="14"/>
  <c r="G476" i="14"/>
  <c r="G475" i="14"/>
  <c r="G474" i="14"/>
  <c r="G473" i="14"/>
  <c r="G472" i="14"/>
  <c r="G471" i="14"/>
  <c r="G470" i="14"/>
  <c r="G469" i="14"/>
  <c r="G468" i="14"/>
  <c r="G467" i="14"/>
  <c r="G466" i="14"/>
  <c r="G465" i="14"/>
  <c r="G464" i="14"/>
  <c r="G463" i="14"/>
  <c r="G462" i="14"/>
  <c r="G461" i="14"/>
  <c r="G460" i="14"/>
  <c r="G459" i="14"/>
  <c r="G458" i="14"/>
  <c r="G457" i="14"/>
  <c r="G456" i="14"/>
  <c r="G455" i="14"/>
  <c r="G454" i="14"/>
  <c r="G453" i="14"/>
  <c r="G452" i="14"/>
  <c r="G451" i="14"/>
  <c r="G450" i="14"/>
  <c r="G449" i="14"/>
  <c r="G448" i="14"/>
  <c r="G447" i="14"/>
  <c r="G446" i="14"/>
  <c r="G445" i="14"/>
  <c r="G444" i="14"/>
  <c r="G443" i="14"/>
  <c r="G442" i="14"/>
  <c r="G441" i="14"/>
  <c r="G440" i="14"/>
  <c r="G439" i="14"/>
  <c r="G438" i="14"/>
  <c r="G437" i="14"/>
  <c r="G436" i="14"/>
  <c r="G435" i="14"/>
  <c r="G434" i="14"/>
  <c r="G433" i="14"/>
  <c r="G432" i="14"/>
  <c r="G431" i="14"/>
  <c r="G430" i="14"/>
  <c r="G429" i="14"/>
  <c r="G428" i="14"/>
  <c r="G427" i="14"/>
  <c r="G426" i="14"/>
  <c r="G425" i="14"/>
  <c r="G424" i="14"/>
  <c r="G423" i="14"/>
  <c r="G422" i="14"/>
  <c r="G421" i="14"/>
  <c r="G420" i="14"/>
  <c r="G419" i="14"/>
  <c r="G418" i="14"/>
  <c r="G417" i="14"/>
  <c r="G416" i="14"/>
  <c r="G415" i="14"/>
  <c r="G414" i="14"/>
  <c r="G413" i="14"/>
  <c r="G412" i="14"/>
  <c r="G411" i="14"/>
  <c r="G410" i="14"/>
  <c r="G409" i="14"/>
  <c r="G408" i="14"/>
  <c r="G407" i="14"/>
  <c r="G406" i="14"/>
  <c r="G405" i="14"/>
  <c r="G404" i="14"/>
  <c r="G403" i="14"/>
  <c r="G402" i="14"/>
  <c r="G401" i="14"/>
  <c r="G400" i="14"/>
  <c r="G399" i="14"/>
  <c r="G398" i="14"/>
  <c r="G397" i="14"/>
  <c r="G396" i="14"/>
  <c r="G395" i="14"/>
  <c r="G394" i="14"/>
  <c r="G393" i="14"/>
  <c r="G392" i="14"/>
  <c r="G391" i="14"/>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l="1"/>
  <c r="C4" i="11"/>
  <c r="D13" i="15" s="1"/>
  <c r="B23" i="16" l="1"/>
  <c r="H23" i="16" s="1"/>
  <c r="B24" i="16"/>
  <c r="F24" i="16" s="1"/>
  <c r="B25" i="16"/>
  <c r="B26" i="16"/>
  <c r="D26" i="16" s="1"/>
  <c r="B27" i="16"/>
  <c r="Q27" i="16" s="1"/>
  <c r="B28" i="16"/>
  <c r="D28" i="16" s="1"/>
  <c r="B29" i="16"/>
  <c r="B30" i="16"/>
  <c r="G30" i="16" s="1"/>
  <c r="B31" i="16"/>
  <c r="H31" i="16" s="1"/>
  <c r="B32" i="16"/>
  <c r="E32" i="16" s="1"/>
  <c r="B33" i="16"/>
  <c r="B34" i="16"/>
  <c r="L34" i="16" s="1"/>
  <c r="B35" i="16"/>
  <c r="H35" i="16" s="1"/>
  <c r="B36" i="16"/>
  <c r="L36" i="16" s="1"/>
  <c r="B37" i="16"/>
  <c r="B38" i="16"/>
  <c r="D38" i="16" s="1"/>
  <c r="B39" i="16"/>
  <c r="O39" i="16" s="1"/>
  <c r="B40" i="16"/>
  <c r="B41" i="16"/>
  <c r="B42" i="16"/>
  <c r="B43" i="16"/>
  <c r="D43" i="16" s="1"/>
  <c r="B44" i="16"/>
  <c r="D44" i="16" s="1"/>
  <c r="E37" i="10"/>
  <c r="D37" i="10"/>
  <c r="B37" i="10"/>
  <c r="AH37" i="10" s="1" a="1"/>
  <c r="AH37" i="10" s="1"/>
  <c r="E36" i="10"/>
  <c r="D36" i="10"/>
  <c r="B36" i="10"/>
  <c r="AH36" i="10" s="1" a="1"/>
  <c r="AH36" i="10" s="1"/>
  <c r="E35" i="10"/>
  <c r="D35" i="10"/>
  <c r="B35" i="10"/>
  <c r="AH35" i="10" s="1" a="1"/>
  <c r="AH35" i="10" s="1"/>
  <c r="E34" i="10"/>
  <c r="D34" i="10"/>
  <c r="B34" i="10"/>
  <c r="AH34" i="10" s="1" a="1"/>
  <c r="AH34" i="10" s="1"/>
  <c r="E33" i="10"/>
  <c r="D33" i="10"/>
  <c r="B33" i="10"/>
  <c r="AH33" i="10" s="1" a="1"/>
  <c r="AH33" i="10" s="1"/>
  <c r="E32" i="10"/>
  <c r="D32" i="10"/>
  <c r="B32" i="10"/>
  <c r="AH32" i="10" s="1" a="1"/>
  <c r="AH32" i="10" s="1"/>
  <c r="E31" i="10"/>
  <c r="D31" i="10"/>
  <c r="B31" i="10"/>
  <c r="AH31" i="10" s="1" a="1"/>
  <c r="AH31" i="10" s="1"/>
  <c r="AF30" i="10" a="1"/>
  <c r="E30" i="10"/>
  <c r="D30" i="10"/>
  <c r="B30" i="10"/>
  <c r="AH30" i="10" s="1" a="1"/>
  <c r="AH30" i="10" s="1"/>
  <c r="AF29" i="10" a="1"/>
  <c r="E29" i="10"/>
  <c r="D29" i="10"/>
  <c r="B29" i="10"/>
  <c r="AH29" i="10" s="1" a="1"/>
  <c r="AH29" i="10" s="1"/>
  <c r="AF28" i="10" a="1"/>
  <c r="E28" i="10"/>
  <c r="D28" i="10"/>
  <c r="B28" i="10"/>
  <c r="AH28" i="10" s="1" a="1"/>
  <c r="AH28" i="10" s="1"/>
  <c r="C37" i="11"/>
  <c r="C36" i="11"/>
  <c r="C35" i="11"/>
  <c r="C34" i="11"/>
  <c r="C33" i="11"/>
  <c r="C32" i="11"/>
  <c r="C31" i="11"/>
  <c r="C30" i="11"/>
  <c r="C29" i="11"/>
  <c r="C28" i="11"/>
  <c r="B34" i="9"/>
  <c r="B33" i="9"/>
  <c r="B32" i="9"/>
  <c r="B31" i="9"/>
  <c r="B30" i="9"/>
  <c r="B29" i="9"/>
  <c r="B28" i="9"/>
  <c r="B27" i="9"/>
  <c r="B26" i="9"/>
  <c r="B25" i="9"/>
  <c r="B52" i="2"/>
  <c r="B51" i="2"/>
  <c r="S51" i="2" s="1"/>
  <c r="B50" i="2"/>
  <c r="B49" i="2"/>
  <c r="B48" i="2"/>
  <c r="I47" i="2"/>
  <c r="B47" i="2"/>
  <c r="S47" i="2" s="1"/>
  <c r="B46" i="2"/>
  <c r="B45" i="2"/>
  <c r="B44" i="2"/>
  <c r="B43" i="2"/>
  <c r="D51" i="2" l="1"/>
  <c r="N51" i="2"/>
  <c r="E47" i="2"/>
  <c r="P43" i="16"/>
  <c r="N35" i="16"/>
  <c r="I51" i="2"/>
  <c r="AG37" i="10" a="1"/>
  <c r="AG37" i="10" s="1"/>
  <c r="P24" i="16"/>
  <c r="K24" i="16"/>
  <c r="N47" i="2"/>
  <c r="D27" i="16"/>
  <c r="P36" i="16"/>
  <c r="O28" i="16"/>
  <c r="D47" i="2"/>
  <c r="P47" i="2"/>
  <c r="AF28" i="10"/>
  <c r="H28" i="16"/>
  <c r="C39" i="16"/>
  <c r="N43" i="16"/>
  <c r="P31" i="16"/>
  <c r="M35" i="16"/>
  <c r="O32" i="16"/>
  <c r="J51" i="2"/>
  <c r="AG28" i="10" a="1"/>
  <c r="AG28" i="10" s="1"/>
  <c r="AF29" i="10"/>
  <c r="AF30" i="10"/>
  <c r="F43" i="16"/>
  <c r="N31" i="16"/>
  <c r="H27" i="16"/>
  <c r="C31" i="16"/>
  <c r="K43" i="16"/>
  <c r="K36" i="16"/>
  <c r="K35" i="16"/>
  <c r="J43" i="16"/>
  <c r="J27" i="16"/>
  <c r="E44" i="16"/>
  <c r="G27" i="16"/>
  <c r="P39" i="16"/>
  <c r="D32" i="16"/>
  <c r="AG30" i="10" a="1"/>
  <c r="AG30" i="10" s="1"/>
  <c r="N36" i="16"/>
  <c r="F31" i="16"/>
  <c r="P27" i="16"/>
  <c r="O31" i="16"/>
  <c r="O43" i="16"/>
  <c r="O36" i="16"/>
  <c r="D35" i="16"/>
  <c r="R36" i="16"/>
  <c r="O27" i="16"/>
  <c r="O44" i="16"/>
  <c r="R39" i="16"/>
  <c r="M31" i="16"/>
  <c r="F23" i="16"/>
  <c r="J47" i="2"/>
  <c r="E51" i="2"/>
  <c r="P51" i="2"/>
  <c r="AG34" i="10" a="1"/>
  <c r="AG34" i="10" s="1"/>
  <c r="F36" i="16"/>
  <c r="F28" i="16"/>
  <c r="D24" i="16"/>
  <c r="D31" i="16"/>
  <c r="L43" i="16"/>
  <c r="N24" i="16"/>
  <c r="N39" i="16"/>
  <c r="K23" i="16"/>
  <c r="K30" i="11"/>
  <c r="G30" i="11"/>
  <c r="I30" i="11"/>
  <c r="J30" i="11"/>
  <c r="F30" i="11"/>
  <c r="E30" i="11"/>
  <c r="D30" i="11"/>
  <c r="H30" i="11"/>
  <c r="K34" i="11"/>
  <c r="G34" i="11"/>
  <c r="E34" i="11"/>
  <c r="J34" i="11"/>
  <c r="F34" i="11"/>
  <c r="I34" i="11"/>
  <c r="D34" i="11"/>
  <c r="H34" i="11"/>
  <c r="K29" i="11"/>
  <c r="G29" i="11"/>
  <c r="I29" i="11"/>
  <c r="J29" i="11"/>
  <c r="F29" i="11"/>
  <c r="E29" i="11"/>
  <c r="H29" i="11"/>
  <c r="D29" i="11"/>
  <c r="K33" i="11"/>
  <c r="G33" i="11"/>
  <c r="E33" i="11"/>
  <c r="J33" i="11"/>
  <c r="F33" i="11"/>
  <c r="I33" i="11"/>
  <c r="H33" i="11"/>
  <c r="D33" i="11"/>
  <c r="K37" i="11"/>
  <c r="G37" i="11"/>
  <c r="E37" i="11"/>
  <c r="J37" i="11"/>
  <c r="F37" i="11"/>
  <c r="I37" i="11"/>
  <c r="H37" i="11"/>
  <c r="D37" i="11"/>
  <c r="AG31" i="10" a="1"/>
  <c r="AG31" i="10" s="1"/>
  <c r="AF32" i="10" a="1"/>
  <c r="AF32" i="10" s="1"/>
  <c r="Q41" i="16"/>
  <c r="I41" i="16"/>
  <c r="R41" i="16"/>
  <c r="D41" i="16"/>
  <c r="C41" i="16"/>
  <c r="E41" i="16"/>
  <c r="P41" i="16"/>
  <c r="O41" i="16"/>
  <c r="N41" i="16"/>
  <c r="Q37" i="16"/>
  <c r="M37" i="16"/>
  <c r="I33" i="16"/>
  <c r="Q33" i="16"/>
  <c r="D33" i="16"/>
  <c r="C33" i="16"/>
  <c r="E33" i="16"/>
  <c r="R33" i="16"/>
  <c r="P33" i="16"/>
  <c r="O33" i="16"/>
  <c r="N33" i="16"/>
  <c r="O37" i="16"/>
  <c r="P37" i="16"/>
  <c r="J41" i="16"/>
  <c r="J33" i="16"/>
  <c r="C26" i="16"/>
  <c r="C38" i="16"/>
  <c r="E30" i="16"/>
  <c r="H30" i="16"/>
  <c r="K33" i="16"/>
  <c r="F41" i="16"/>
  <c r="L41" i="16"/>
  <c r="M26" i="16"/>
  <c r="R37" i="16"/>
  <c r="E37" i="16"/>
  <c r="K34" i="16"/>
  <c r="O26" i="16"/>
  <c r="I44" i="16"/>
  <c r="Q44" i="16"/>
  <c r="L44" i="16"/>
  <c r="K44" i="16"/>
  <c r="F44" i="16"/>
  <c r="H44" i="16"/>
  <c r="G44" i="16"/>
  <c r="M44" i="16"/>
  <c r="R44" i="16"/>
  <c r="Q36" i="16"/>
  <c r="I36" i="16"/>
  <c r="E36" i="16"/>
  <c r="J36" i="16"/>
  <c r="Q32" i="16"/>
  <c r="L32" i="16"/>
  <c r="K32" i="16"/>
  <c r="F32" i="16"/>
  <c r="H32" i="16"/>
  <c r="G32" i="16"/>
  <c r="M32" i="16"/>
  <c r="I32" i="16"/>
  <c r="J32" i="16"/>
  <c r="G28" i="16"/>
  <c r="M28" i="16"/>
  <c r="R28" i="16"/>
  <c r="J28" i="16"/>
  <c r="P28" i="16"/>
  <c r="E28" i="16"/>
  <c r="I28" i="16"/>
  <c r="C28" i="16"/>
  <c r="M24" i="16"/>
  <c r="R24" i="16"/>
  <c r="O24" i="16"/>
  <c r="G24" i="16"/>
  <c r="Q24" i="16"/>
  <c r="J24" i="16"/>
  <c r="C24" i="16"/>
  <c r="I24" i="16"/>
  <c r="N37" i="16"/>
  <c r="Q28" i="16"/>
  <c r="H24" i="16"/>
  <c r="G31" i="16"/>
  <c r="C43" i="16"/>
  <c r="C36" i="16"/>
  <c r="D36" i="16"/>
  <c r="C37" i="16"/>
  <c r="D37" i="16"/>
  <c r="C35" i="16"/>
  <c r="L28" i="16"/>
  <c r="J38" i="16"/>
  <c r="J30" i="16"/>
  <c r="C23" i="16"/>
  <c r="R32" i="16"/>
  <c r="M36" i="16"/>
  <c r="N44" i="16"/>
  <c r="P44" i="16"/>
  <c r="O38" i="16"/>
  <c r="N30" i="16"/>
  <c r="M33" i="16"/>
  <c r="H33" i="16"/>
  <c r="G41" i="16"/>
  <c r="I37" i="16"/>
  <c r="C30" i="16"/>
  <c r="M34" i="16"/>
  <c r="H34" i="16"/>
  <c r="N32" i="16"/>
  <c r="P32" i="16"/>
  <c r="Q26" i="16"/>
  <c r="F47" i="2"/>
  <c r="L47" i="2"/>
  <c r="Q47" i="2"/>
  <c r="F51" i="2"/>
  <c r="L51" i="2"/>
  <c r="Q51" i="2"/>
  <c r="K31" i="11"/>
  <c r="G31" i="11"/>
  <c r="E31" i="11"/>
  <c r="J31" i="11"/>
  <c r="F31" i="11"/>
  <c r="I31" i="11"/>
  <c r="H31" i="11"/>
  <c r="D31" i="11"/>
  <c r="K35" i="11"/>
  <c r="G35" i="11"/>
  <c r="E35" i="11"/>
  <c r="J35" i="11"/>
  <c r="F35" i="11"/>
  <c r="I35" i="11"/>
  <c r="H35" i="11"/>
  <c r="D35" i="11"/>
  <c r="AG32" i="10" a="1"/>
  <c r="AG32" i="10" s="1"/>
  <c r="AF33" i="10" a="1"/>
  <c r="AF33" i="10" s="1"/>
  <c r="I43" i="16"/>
  <c r="Q43" i="16"/>
  <c r="R43" i="16"/>
  <c r="M43" i="16"/>
  <c r="Q39" i="16"/>
  <c r="L39" i="16"/>
  <c r="K39" i="16"/>
  <c r="F39" i="16"/>
  <c r="I39" i="16"/>
  <c r="J39" i="16"/>
  <c r="H39" i="16"/>
  <c r="G39" i="16"/>
  <c r="M39" i="16"/>
  <c r="I35" i="16"/>
  <c r="Q35" i="16"/>
  <c r="E35" i="16"/>
  <c r="J35" i="16"/>
  <c r="P35" i="16"/>
  <c r="O35" i="16"/>
  <c r="R35" i="16"/>
  <c r="Q31" i="16"/>
  <c r="E31" i="16"/>
  <c r="R31" i="16"/>
  <c r="I31" i="16"/>
  <c r="J31" i="16"/>
  <c r="R27" i="16"/>
  <c r="M27" i="16"/>
  <c r="K27" i="16"/>
  <c r="E27" i="16"/>
  <c r="N27" i="16"/>
  <c r="I27" i="16"/>
  <c r="F27" i="16"/>
  <c r="R23" i="16"/>
  <c r="G23" i="16"/>
  <c r="D23" i="16"/>
  <c r="O23" i="16"/>
  <c r="M23" i="16"/>
  <c r="N23" i="16"/>
  <c r="P23" i="16"/>
  <c r="Q23" i="16"/>
  <c r="J23" i="16"/>
  <c r="I23" i="16"/>
  <c r="F37" i="16"/>
  <c r="F35" i="16"/>
  <c r="K28" i="16"/>
  <c r="L27" i="16"/>
  <c r="L24" i="16"/>
  <c r="K31" i="16"/>
  <c r="L31" i="16"/>
  <c r="G43" i="16"/>
  <c r="H43" i="16"/>
  <c r="G36" i="16"/>
  <c r="H36" i="16"/>
  <c r="G37" i="16"/>
  <c r="H37" i="16"/>
  <c r="G35" i="16"/>
  <c r="L35" i="16"/>
  <c r="J44" i="16"/>
  <c r="J37" i="16"/>
  <c r="N28" i="16"/>
  <c r="R30" i="16"/>
  <c r="E43" i="16"/>
  <c r="E24" i="16"/>
  <c r="C44" i="16"/>
  <c r="E38" i="16"/>
  <c r="F33" i="16"/>
  <c r="L33" i="16"/>
  <c r="K41" i="16"/>
  <c r="I34" i="16"/>
  <c r="C27" i="16"/>
  <c r="E39" i="16"/>
  <c r="D39" i="16"/>
  <c r="F34" i="16"/>
  <c r="C32" i="16"/>
  <c r="E23" i="16"/>
  <c r="L23" i="16"/>
  <c r="AG29" i="10" a="1"/>
  <c r="AG29" i="10" s="1"/>
  <c r="H47" i="2"/>
  <c r="M47" i="2"/>
  <c r="R47" i="2"/>
  <c r="H51" i="2"/>
  <c r="M51" i="2"/>
  <c r="R51" i="2"/>
  <c r="K28" i="11"/>
  <c r="G28" i="11"/>
  <c r="I28" i="11"/>
  <c r="J28" i="11"/>
  <c r="F28" i="11"/>
  <c r="E28" i="11"/>
  <c r="H28" i="11"/>
  <c r="D28" i="11"/>
  <c r="K32" i="11"/>
  <c r="G32" i="11"/>
  <c r="E32" i="11"/>
  <c r="J32" i="11"/>
  <c r="F32" i="11"/>
  <c r="I32" i="11"/>
  <c r="H32" i="11"/>
  <c r="D32" i="11"/>
  <c r="K36" i="11"/>
  <c r="G36" i="11"/>
  <c r="E36" i="11"/>
  <c r="J36" i="11"/>
  <c r="F36" i="11"/>
  <c r="I36" i="11"/>
  <c r="H36" i="11"/>
  <c r="D36" i="11"/>
  <c r="AF31" i="10" a="1"/>
  <c r="AF31" i="10" s="1"/>
  <c r="AG33" i="10" a="1"/>
  <c r="AG33" i="10" s="1"/>
  <c r="AF34" i="10" a="1"/>
  <c r="AF34" i="10" s="1"/>
  <c r="AE34" i="10" s="1"/>
  <c r="Q38" i="16"/>
  <c r="I38" i="16"/>
  <c r="L38" i="16"/>
  <c r="K38" i="16"/>
  <c r="F38" i="16"/>
  <c r="H38" i="16"/>
  <c r="G38" i="16"/>
  <c r="M38" i="16"/>
  <c r="Q34" i="16"/>
  <c r="D34" i="16"/>
  <c r="C34" i="16"/>
  <c r="E34" i="16"/>
  <c r="P34" i="16"/>
  <c r="O34" i="16"/>
  <c r="N34" i="16"/>
  <c r="R34" i="16"/>
  <c r="I30" i="16"/>
  <c r="Q30" i="16"/>
  <c r="P30" i="16"/>
  <c r="O30" i="16"/>
  <c r="F30" i="16"/>
  <c r="L30" i="16"/>
  <c r="K30" i="16"/>
  <c r="M30" i="16"/>
  <c r="R26" i="16"/>
  <c r="G26" i="16"/>
  <c r="L26" i="16"/>
  <c r="K26" i="16"/>
  <c r="E26" i="16"/>
  <c r="H26" i="16"/>
  <c r="F26" i="16"/>
  <c r="K37" i="16"/>
  <c r="L37" i="16"/>
  <c r="J34" i="16"/>
  <c r="N26" i="16"/>
  <c r="R38" i="16"/>
  <c r="I26" i="16"/>
  <c r="N38" i="16"/>
  <c r="P38" i="16"/>
  <c r="D30" i="16"/>
  <c r="G33" i="16"/>
  <c r="M41" i="16"/>
  <c r="H41" i="16"/>
  <c r="G34" i="16"/>
  <c r="J26" i="16"/>
  <c r="P26" i="16"/>
  <c r="O29" i="16"/>
  <c r="K29" i="16"/>
  <c r="G29" i="16"/>
  <c r="C29" i="16"/>
  <c r="L29" i="16"/>
  <c r="R29" i="16"/>
  <c r="N29" i="16"/>
  <c r="J29" i="16"/>
  <c r="F29" i="16"/>
  <c r="D29" i="16"/>
  <c r="Q29" i="16"/>
  <c r="M29" i="16"/>
  <c r="I29" i="16"/>
  <c r="E29" i="16"/>
  <c r="P29" i="16"/>
  <c r="H29" i="16"/>
  <c r="O42" i="16"/>
  <c r="K42" i="16"/>
  <c r="G42" i="16"/>
  <c r="C42" i="16"/>
  <c r="R42" i="16"/>
  <c r="N42" i="16"/>
  <c r="J42" i="16"/>
  <c r="F42" i="16"/>
  <c r="D42" i="16"/>
  <c r="Q42" i="16"/>
  <c r="M42" i="16"/>
  <c r="I42" i="16"/>
  <c r="E42" i="16"/>
  <c r="P42" i="16"/>
  <c r="L42" i="16"/>
  <c r="H42" i="16"/>
  <c r="O25" i="16"/>
  <c r="K25" i="16"/>
  <c r="G25" i="16"/>
  <c r="C25" i="16"/>
  <c r="L25" i="16"/>
  <c r="H25" i="16"/>
  <c r="R25" i="16"/>
  <c r="N25" i="16"/>
  <c r="J25" i="16"/>
  <c r="F25" i="16"/>
  <c r="Q25" i="16"/>
  <c r="M25" i="16"/>
  <c r="I25" i="16"/>
  <c r="E25" i="16"/>
  <c r="P25" i="16"/>
  <c r="D25" i="16"/>
  <c r="O40" i="16"/>
  <c r="K40" i="16"/>
  <c r="G40" i="16"/>
  <c r="C40" i="16"/>
  <c r="P40" i="16"/>
  <c r="H40" i="16"/>
  <c r="D40" i="16"/>
  <c r="R40" i="16"/>
  <c r="N40" i="16"/>
  <c r="J40" i="16"/>
  <c r="F40" i="16"/>
  <c r="L40" i="16"/>
  <c r="Q40" i="16"/>
  <c r="M40" i="16"/>
  <c r="I40" i="16"/>
  <c r="E40" i="16"/>
  <c r="AE28" i="10"/>
  <c r="E27" i="9"/>
  <c r="C25" i="9"/>
  <c r="L28" i="9"/>
  <c r="C28" i="9"/>
  <c r="E28" i="9"/>
  <c r="O33" i="9"/>
  <c r="L33" i="9"/>
  <c r="P32" i="9"/>
  <c r="F32" i="9"/>
  <c r="AF35" i="10" a="1"/>
  <c r="AF35" i="10" s="1"/>
  <c r="AG35" i="10" a="1"/>
  <c r="AG35" i="10" s="1"/>
  <c r="G47" i="2"/>
  <c r="K47" i="2"/>
  <c r="O47" i="2"/>
  <c r="G51" i="2"/>
  <c r="K51" i="2"/>
  <c r="O51" i="2"/>
  <c r="M29" i="9"/>
  <c r="L29" i="9"/>
  <c r="G31" i="9"/>
  <c r="R31" i="9"/>
  <c r="AF36" i="10" a="1"/>
  <c r="AF36" i="10" s="1"/>
  <c r="AG36" i="10" a="1"/>
  <c r="AG36" i="10" s="1"/>
  <c r="AF37" i="10" a="1"/>
  <c r="AF37" i="10" s="1"/>
  <c r="F30" i="9"/>
  <c r="N30" i="9"/>
  <c r="J26" i="9"/>
  <c r="G27" i="9"/>
  <c r="F10" i="4"/>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P44" i="2" s="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S43" i="2" s="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50" i="2" s="1"/>
  <c r="F84" i="1"/>
  <c r="F83" i="1"/>
  <c r="F82" i="1"/>
  <c r="F81" i="1"/>
  <c r="F80" i="1"/>
  <c r="F79" i="1"/>
  <c r="F78" i="1"/>
  <c r="F77" i="1"/>
  <c r="F76" i="1"/>
  <c r="F75" i="1"/>
  <c r="F74" i="1"/>
  <c r="F73" i="1"/>
  <c r="M48" i="2" s="1"/>
  <c r="F72" i="1"/>
  <c r="F71" i="1"/>
  <c r="F70" i="1"/>
  <c r="F69" i="1"/>
  <c r="F68" i="1"/>
  <c r="F67" i="1"/>
  <c r="F66" i="1"/>
  <c r="F65" i="1"/>
  <c r="F64" i="1"/>
  <c r="F63" i="1"/>
  <c r="F62" i="1"/>
  <c r="F61" i="1"/>
  <c r="F60" i="1"/>
  <c r="F59" i="1"/>
  <c r="F58" i="1"/>
  <c r="K46" i="2" s="1"/>
  <c r="F57" i="1"/>
  <c r="F56" i="1"/>
  <c r="F55" i="1"/>
  <c r="F54" i="1"/>
  <c r="O43" i="2"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E45" i="2" s="1"/>
  <c r="F24" i="1"/>
  <c r="F23" i="1"/>
  <c r="F22" i="1"/>
  <c r="F21" i="1"/>
  <c r="F20" i="1"/>
  <c r="F19" i="1"/>
  <c r="F18" i="1"/>
  <c r="F17" i="1"/>
  <c r="F16" i="1"/>
  <c r="F15" i="1"/>
  <c r="F14" i="1"/>
  <c r="F13" i="1"/>
  <c r="F12" i="1"/>
  <c r="F11" i="1"/>
  <c r="F10" i="1"/>
  <c r="AE33" i="10" l="1"/>
  <c r="AE32" i="10"/>
  <c r="AE29" i="10"/>
  <c r="AE30" i="10"/>
  <c r="S26" i="16"/>
  <c r="AE31" i="10"/>
  <c r="H52" i="2"/>
  <c r="P52" i="2"/>
  <c r="S23" i="16"/>
  <c r="S27" i="16"/>
  <c r="S35" i="16"/>
  <c r="S44" i="16"/>
  <c r="S41" i="16"/>
  <c r="AE35" i="10"/>
  <c r="S31" i="16"/>
  <c r="S33" i="16"/>
  <c r="S29" i="16"/>
  <c r="S37" i="16"/>
  <c r="S43" i="16"/>
  <c r="S24" i="16"/>
  <c r="M31" i="11"/>
  <c r="AE37" i="10"/>
  <c r="AE36" i="10"/>
  <c r="M33" i="11"/>
  <c r="M35" i="11"/>
  <c r="S38" i="16"/>
  <c r="S32" i="16"/>
  <c r="S40" i="16"/>
  <c r="S42" i="16"/>
  <c r="S30" i="16"/>
  <c r="S25" i="16"/>
  <c r="S36" i="16"/>
  <c r="S28" i="16"/>
  <c r="S34" i="16"/>
  <c r="S39" i="16"/>
  <c r="M32" i="11"/>
  <c r="K43" i="2"/>
  <c r="N44" i="2"/>
  <c r="K48" i="2"/>
  <c r="Q50" i="2"/>
  <c r="K50" i="2"/>
  <c r="D50" i="2"/>
  <c r="P50" i="2"/>
  <c r="L50" i="2"/>
  <c r="E50" i="2"/>
  <c r="I50" i="2"/>
  <c r="O50" i="2"/>
  <c r="G50" i="2"/>
  <c r="R50" i="2"/>
  <c r="H50" i="2"/>
  <c r="K25" i="9"/>
  <c r="R25" i="9"/>
  <c r="M25" i="9"/>
  <c r="J25" i="9"/>
  <c r="L25" i="9"/>
  <c r="I25" i="9"/>
  <c r="D25" i="9"/>
  <c r="F25" i="9"/>
  <c r="Q25" i="9"/>
  <c r="O25" i="9"/>
  <c r="G25" i="9"/>
  <c r="N26" i="9"/>
  <c r="P49" i="2"/>
  <c r="H49" i="2"/>
  <c r="Q49" i="2"/>
  <c r="O49" i="2"/>
  <c r="R49" i="2"/>
  <c r="F49" i="2"/>
  <c r="M49" i="2"/>
  <c r="J49" i="2"/>
  <c r="L49" i="2"/>
  <c r="E49" i="2"/>
  <c r="K49" i="2"/>
  <c r="N49" i="2"/>
  <c r="Q44" i="2"/>
  <c r="J44" i="2"/>
  <c r="O44" i="2"/>
  <c r="G44" i="2"/>
  <c r="M44" i="2"/>
  <c r="F44" i="2"/>
  <c r="R44" i="2"/>
  <c r="K44" i="2"/>
  <c r="E44" i="2"/>
  <c r="D44" i="2"/>
  <c r="P29" i="9"/>
  <c r="J29" i="9"/>
  <c r="C29" i="9"/>
  <c r="O29" i="9"/>
  <c r="H29" i="9"/>
  <c r="D29" i="9"/>
  <c r="F29" i="9"/>
  <c r="N29" i="9"/>
  <c r="K29" i="9"/>
  <c r="J28" i="9"/>
  <c r="G28" i="9"/>
  <c r="O28" i="9"/>
  <c r="P28" i="9"/>
  <c r="N28" i="9"/>
  <c r="F28" i="9"/>
  <c r="Q28" i="9"/>
  <c r="Q31" i="9"/>
  <c r="J31" i="9"/>
  <c r="D31" i="9"/>
  <c r="P31" i="9"/>
  <c r="I31" i="9"/>
  <c r="F31" i="9"/>
  <c r="N31" i="9"/>
  <c r="L31" i="9"/>
  <c r="E31" i="9"/>
  <c r="R33" i="9"/>
  <c r="K33" i="9"/>
  <c r="H33" i="9"/>
  <c r="C33" i="9"/>
  <c r="E33" i="9"/>
  <c r="N33" i="9"/>
  <c r="P33" i="9"/>
  <c r="J32" i="9"/>
  <c r="R32" i="9"/>
  <c r="M32" i="9"/>
  <c r="E32" i="9"/>
  <c r="C32" i="9"/>
  <c r="N32" i="9"/>
  <c r="G32" i="9"/>
  <c r="L32" i="9"/>
  <c r="K32" i="9"/>
  <c r="Q26" i="9"/>
  <c r="L26" i="9"/>
  <c r="G26" i="9"/>
  <c r="P26" i="9"/>
  <c r="I26" i="9"/>
  <c r="C26" i="9"/>
  <c r="O26" i="9"/>
  <c r="H26" i="9"/>
  <c r="E26" i="9"/>
  <c r="D26" i="9"/>
  <c r="M26" i="9"/>
  <c r="K26" i="9"/>
  <c r="O30" i="9"/>
  <c r="I30" i="9"/>
  <c r="D30" i="9"/>
  <c r="M30" i="9"/>
  <c r="G30" i="9"/>
  <c r="L30" i="9"/>
  <c r="E30" i="9"/>
  <c r="H30" i="9"/>
  <c r="P30" i="9"/>
  <c r="Q30" i="9"/>
  <c r="C30" i="9"/>
  <c r="K30" i="9"/>
  <c r="J30" i="9"/>
  <c r="F26" i="9"/>
  <c r="M30" i="11"/>
  <c r="C31" i="9"/>
  <c r="R29" i="9"/>
  <c r="I29" i="9"/>
  <c r="T51" i="2"/>
  <c r="M29" i="11"/>
  <c r="I32" i="9"/>
  <c r="H32" i="9"/>
  <c r="D52" i="2"/>
  <c r="M50" i="2"/>
  <c r="S44" i="2"/>
  <c r="L44" i="2"/>
  <c r="F33" i="9"/>
  <c r="J33" i="9"/>
  <c r="Q33" i="9"/>
  <c r="M28" i="9"/>
  <c r="H28" i="9"/>
  <c r="L46" i="2"/>
  <c r="E25" i="9"/>
  <c r="D45" i="2"/>
  <c r="R30" i="9"/>
  <c r="F27" i="9"/>
  <c r="M45" i="2"/>
  <c r="L45" i="2"/>
  <c r="S45" i="2"/>
  <c r="N45" i="2"/>
  <c r="H45" i="2"/>
  <c r="I45" i="2"/>
  <c r="G45" i="2"/>
  <c r="O45" i="2"/>
  <c r="Q45" i="2"/>
  <c r="R45" i="2"/>
  <c r="P45" i="2"/>
  <c r="K45" i="2"/>
  <c r="F45" i="2"/>
  <c r="D48" i="2"/>
  <c r="J48" i="2"/>
  <c r="I48" i="2"/>
  <c r="E48" i="2"/>
  <c r="P48" i="2"/>
  <c r="Q48" i="2"/>
  <c r="R48" i="2"/>
  <c r="O48" i="2"/>
  <c r="S48" i="2"/>
  <c r="G48" i="2"/>
  <c r="H48" i="2"/>
  <c r="F48" i="2"/>
  <c r="P43" i="2"/>
  <c r="J43" i="2"/>
  <c r="M43" i="2"/>
  <c r="F43" i="2"/>
  <c r="R43" i="2"/>
  <c r="E43" i="2"/>
  <c r="D43" i="2"/>
  <c r="L43" i="2"/>
  <c r="Q43" i="2"/>
  <c r="I43" i="2"/>
  <c r="N43" i="2"/>
  <c r="H43" i="2"/>
  <c r="M34" i="11"/>
  <c r="M31" i="9"/>
  <c r="K31" i="9"/>
  <c r="G29" i="9"/>
  <c r="Q29" i="9"/>
  <c r="G43" i="2"/>
  <c r="Q32" i="9"/>
  <c r="S52" i="2"/>
  <c r="J50" i="2"/>
  <c r="I44" i="2"/>
  <c r="G33" i="9"/>
  <c r="I33" i="9"/>
  <c r="K28" i="9"/>
  <c r="I28" i="9"/>
  <c r="L27" i="9"/>
  <c r="G49" i="2"/>
  <c r="P25" i="9"/>
  <c r="L48" i="2"/>
  <c r="D49" i="2"/>
  <c r="M37" i="11"/>
  <c r="M52" i="2"/>
  <c r="F52" i="2"/>
  <c r="K52" i="2"/>
  <c r="Q52" i="2"/>
  <c r="O52" i="2"/>
  <c r="G52" i="2"/>
  <c r="R52" i="2"/>
  <c r="E52" i="2"/>
  <c r="J52" i="2"/>
  <c r="L52" i="2"/>
  <c r="N52" i="2"/>
  <c r="O46" i="2"/>
  <c r="H46" i="2"/>
  <c r="F46" i="2"/>
  <c r="I46" i="2"/>
  <c r="R46" i="2"/>
  <c r="P46" i="2"/>
  <c r="Q46" i="2"/>
  <c r="D46" i="2"/>
  <c r="J46" i="2"/>
  <c r="E46" i="2"/>
  <c r="S46" i="2"/>
  <c r="M46" i="2"/>
  <c r="O27" i="9"/>
  <c r="P27" i="9"/>
  <c r="H27" i="9"/>
  <c r="D27" i="9"/>
  <c r="K27" i="9"/>
  <c r="J27" i="9"/>
  <c r="M27" i="9"/>
  <c r="R27" i="9"/>
  <c r="C27" i="9"/>
  <c r="N27" i="9"/>
  <c r="Q27" i="9"/>
  <c r="I27" i="9"/>
  <c r="M36" i="11"/>
  <c r="M28" i="11"/>
  <c r="H31" i="9"/>
  <c r="O31" i="9"/>
  <c r="E29" i="9"/>
  <c r="R26" i="9"/>
  <c r="T47" i="2"/>
  <c r="O32" i="9"/>
  <c r="D32" i="9"/>
  <c r="I52" i="2"/>
  <c r="S50" i="2"/>
  <c r="N50" i="2"/>
  <c r="H44" i="2"/>
  <c r="D33" i="9"/>
  <c r="M33" i="9"/>
  <c r="R28" i="9"/>
  <c r="D28" i="9"/>
  <c r="H25" i="9"/>
  <c r="G46" i="2"/>
  <c r="N25" i="9"/>
  <c r="N46" i="2"/>
  <c r="S49" i="2"/>
  <c r="I49" i="2"/>
  <c r="J45" i="2"/>
  <c r="N48" i="2"/>
  <c r="E12" i="10"/>
  <c r="E13" i="10"/>
  <c r="E14" i="10"/>
  <c r="E15" i="10"/>
  <c r="E16" i="10"/>
  <c r="E17" i="10"/>
  <c r="E18" i="10"/>
  <c r="E19" i="10"/>
  <c r="E20" i="10"/>
  <c r="E21" i="10"/>
  <c r="E22" i="10"/>
  <c r="E23" i="10"/>
  <c r="E24" i="10"/>
  <c r="E25" i="10"/>
  <c r="E26" i="10"/>
  <c r="E27" i="10"/>
  <c r="S28" i="9" l="1"/>
  <c r="S25" i="9"/>
  <c r="S27" i="9"/>
  <c r="T49" i="2"/>
  <c r="T52" i="2"/>
  <c r="T46" i="2"/>
  <c r="T43" i="2"/>
  <c r="T48" i="2"/>
  <c r="T45" i="2"/>
  <c r="S31" i="9"/>
  <c r="S30" i="9"/>
  <c r="T44" i="2"/>
  <c r="S29" i="9"/>
  <c r="S26" i="9"/>
  <c r="S32" i="9"/>
  <c r="S33" i="9"/>
  <c r="T50" i="2"/>
  <c r="K6" i="11"/>
  <c r="J6" i="11"/>
  <c r="I6" i="11"/>
  <c r="H6" i="11"/>
  <c r="G6" i="11"/>
  <c r="F6" i="11"/>
  <c r="E6" i="11"/>
  <c r="D6" i="11"/>
  <c r="O33" i="11" l="1"/>
  <c r="J33" i="10" s="1"/>
  <c r="U28" i="11"/>
  <c r="AB28" i="10" s="1"/>
  <c r="Q29" i="11"/>
  <c r="P29" i="10" s="1"/>
  <c r="Q37" i="11"/>
  <c r="P37" i="10" s="1"/>
  <c r="O29" i="11"/>
  <c r="J29" i="10" s="1"/>
  <c r="O37" i="11"/>
  <c r="J37" i="10" s="1"/>
  <c r="O32" i="11"/>
  <c r="J32" i="10" s="1"/>
  <c r="S36" i="11"/>
  <c r="V36" i="10" s="1"/>
  <c r="Q36" i="11"/>
  <c r="P36" i="10" s="1"/>
  <c r="S32" i="11"/>
  <c r="V32" i="10" s="1"/>
  <c r="U29" i="11"/>
  <c r="AB29" i="10" s="1"/>
  <c r="U30" i="11"/>
  <c r="AB30" i="10" s="1"/>
  <c r="O28" i="11"/>
  <c r="J28" i="10" s="1"/>
  <c r="S33" i="11"/>
  <c r="V33" i="10" s="1"/>
  <c r="U37" i="11"/>
  <c r="AB37" i="10" s="1"/>
  <c r="U33" i="11"/>
  <c r="AB33" i="10" s="1"/>
  <c r="S29" i="11"/>
  <c r="V29" i="10" s="1"/>
  <c r="S37" i="11"/>
  <c r="V37" i="10" s="1"/>
  <c r="U36" i="11"/>
  <c r="AB36" i="10" s="1"/>
  <c r="O30" i="11"/>
  <c r="J30" i="10" s="1"/>
  <c r="S28" i="11"/>
  <c r="V28" i="10" s="1"/>
  <c r="Q30" i="11"/>
  <c r="P30" i="10" s="1"/>
  <c r="Q33" i="11"/>
  <c r="P33" i="10" s="1"/>
  <c r="O36" i="11"/>
  <c r="J36" i="10" s="1"/>
  <c r="U32" i="11"/>
  <c r="AB32" i="10" s="1"/>
  <c r="Q31" i="11"/>
  <c r="P31" i="10" s="1"/>
  <c r="O31" i="11"/>
  <c r="J31" i="10" s="1"/>
  <c r="Q28" i="11"/>
  <c r="P28" i="10" s="1"/>
  <c r="S31" i="11"/>
  <c r="V31" i="10" s="1"/>
  <c r="Q32" i="11"/>
  <c r="P32" i="10" s="1"/>
  <c r="S30" i="11"/>
  <c r="V30" i="10" s="1"/>
  <c r="U31" i="11"/>
  <c r="AB31" i="10" s="1"/>
  <c r="O34" i="11"/>
  <c r="J34" i="10" s="1"/>
  <c r="Q34" i="11"/>
  <c r="P34" i="10" s="1"/>
  <c r="S34" i="11"/>
  <c r="V34" i="10" s="1"/>
  <c r="U34" i="11"/>
  <c r="AB34" i="10" s="1"/>
  <c r="U35" i="11"/>
  <c r="AB35" i="10" s="1"/>
  <c r="S35" i="11"/>
  <c r="V35" i="10" s="1"/>
  <c r="Q35" i="11"/>
  <c r="P35" i="10" s="1"/>
  <c r="O35" i="11"/>
  <c r="J35" i="10" s="1"/>
  <c r="A1" i="16"/>
  <c r="B22" i="16"/>
  <c r="B21" i="16"/>
  <c r="B20" i="16"/>
  <c r="B19" i="16"/>
  <c r="B18" i="16"/>
  <c r="B17" i="16"/>
  <c r="B16" i="16"/>
  <c r="B15" i="16"/>
  <c r="B14" i="16"/>
  <c r="B13" i="16"/>
  <c r="B12" i="16"/>
  <c r="B11" i="16"/>
  <c r="B10" i="16"/>
  <c r="B9" i="16"/>
  <c r="B8" i="16"/>
  <c r="B7" i="16"/>
  <c r="B2" i="10"/>
  <c r="A1" i="10"/>
  <c r="D9" i="15"/>
  <c r="D10" i="15"/>
  <c r="D11" i="15"/>
  <c r="D12" i="15"/>
  <c r="D14" i="15"/>
  <c r="D15" i="15"/>
  <c r="G12" i="16" l="1"/>
  <c r="N12" i="16"/>
  <c r="Q12" i="16"/>
  <c r="P12" i="16"/>
  <c r="C12" i="16"/>
  <c r="J12" i="16"/>
  <c r="M12" i="16"/>
  <c r="H12" i="16"/>
  <c r="O12" i="16"/>
  <c r="L12" i="16"/>
  <c r="F12" i="16"/>
  <c r="I12" i="16"/>
  <c r="K12" i="16"/>
  <c r="R12" i="16"/>
  <c r="D12" i="16"/>
  <c r="E12" i="16"/>
  <c r="I8" i="16"/>
  <c r="F8" i="16"/>
  <c r="C8" i="16"/>
  <c r="Q8" i="16"/>
  <c r="L8" i="16"/>
  <c r="K8" i="16"/>
  <c r="H8" i="16"/>
  <c r="E8" i="16"/>
  <c r="G8" i="16"/>
  <c r="P8" i="16"/>
  <c r="R8" i="16"/>
  <c r="D8" i="16"/>
  <c r="M8" i="16"/>
  <c r="O8" i="16"/>
  <c r="J8" i="16"/>
  <c r="N8" i="16"/>
  <c r="R20" i="16"/>
  <c r="M20" i="16"/>
  <c r="D20" i="16"/>
  <c r="O20" i="16"/>
  <c r="P20" i="16"/>
  <c r="Q20" i="16"/>
  <c r="J20" i="16"/>
  <c r="N20" i="16"/>
  <c r="H20" i="16"/>
  <c r="I20" i="16"/>
  <c r="G20" i="16"/>
  <c r="K20" i="16"/>
  <c r="F20" i="16"/>
  <c r="C20" i="16"/>
  <c r="L20" i="16"/>
  <c r="E20" i="16"/>
  <c r="M9" i="16"/>
  <c r="Q9" i="16"/>
  <c r="I9" i="16"/>
  <c r="D9" i="16"/>
  <c r="C9" i="16"/>
  <c r="J9" i="16"/>
  <c r="N9" i="16"/>
  <c r="P9" i="16"/>
  <c r="O9" i="16"/>
  <c r="R9" i="16"/>
  <c r="H9" i="16"/>
  <c r="F9" i="16"/>
  <c r="K9" i="16"/>
  <c r="G9" i="16"/>
  <c r="E9" i="16"/>
  <c r="L9" i="16"/>
  <c r="I13" i="16"/>
  <c r="Q13" i="16"/>
  <c r="E13" i="16"/>
  <c r="D13" i="16"/>
  <c r="C13" i="16"/>
  <c r="M13" i="16"/>
  <c r="P13" i="16"/>
  <c r="O13" i="16"/>
  <c r="F13" i="16"/>
  <c r="G13" i="16"/>
  <c r="L13" i="16"/>
  <c r="R13" i="16"/>
  <c r="H13" i="16"/>
  <c r="K13" i="16"/>
  <c r="J13" i="16"/>
  <c r="N13" i="16"/>
  <c r="Q17" i="16"/>
  <c r="E17" i="16"/>
  <c r="I17" i="16"/>
  <c r="L17" i="16"/>
  <c r="K17" i="16"/>
  <c r="M17" i="16"/>
  <c r="N17" i="16"/>
  <c r="R17" i="16"/>
  <c r="H17" i="16"/>
  <c r="G17" i="16"/>
  <c r="J17" i="16"/>
  <c r="O17" i="16"/>
  <c r="C17" i="16"/>
  <c r="P17" i="16"/>
  <c r="F17" i="16"/>
  <c r="D17" i="16"/>
  <c r="R21" i="16"/>
  <c r="G21" i="16"/>
  <c r="M21" i="16"/>
  <c r="H21" i="16"/>
  <c r="F21" i="16"/>
  <c r="C21" i="16"/>
  <c r="D21" i="16"/>
  <c r="O21" i="16"/>
  <c r="N21" i="16"/>
  <c r="K21" i="16"/>
  <c r="P21" i="16"/>
  <c r="J21" i="16"/>
  <c r="L21" i="16"/>
  <c r="E21" i="16"/>
  <c r="I21" i="16"/>
  <c r="Q21" i="16"/>
  <c r="I16" i="16"/>
  <c r="Q16" i="16"/>
  <c r="R16" i="16"/>
  <c r="D16" i="16"/>
  <c r="C16" i="16"/>
  <c r="J16" i="16"/>
  <c r="P16" i="16"/>
  <c r="O16" i="16"/>
  <c r="F16" i="16"/>
  <c r="G16" i="16"/>
  <c r="L16" i="16"/>
  <c r="E16" i="16"/>
  <c r="N16" i="16"/>
  <c r="H16" i="16"/>
  <c r="M16" i="16"/>
  <c r="K16" i="16"/>
  <c r="I10" i="16"/>
  <c r="Q10" i="16"/>
  <c r="D10" i="16"/>
  <c r="C10" i="16"/>
  <c r="E10" i="16"/>
  <c r="P10" i="16"/>
  <c r="O10" i="16"/>
  <c r="M10" i="16"/>
  <c r="F10" i="16"/>
  <c r="H10" i="16"/>
  <c r="K10" i="16"/>
  <c r="J10" i="16"/>
  <c r="N10" i="16"/>
  <c r="G10" i="16"/>
  <c r="R10" i="16"/>
  <c r="L10" i="16"/>
  <c r="Q14" i="16"/>
  <c r="M14" i="16"/>
  <c r="I14" i="16"/>
  <c r="E14" i="16"/>
  <c r="P14" i="16"/>
  <c r="L14" i="16"/>
  <c r="H14" i="16"/>
  <c r="D14" i="16"/>
  <c r="O14" i="16"/>
  <c r="G14" i="16"/>
  <c r="C14" i="16"/>
  <c r="J14" i="16"/>
  <c r="N14" i="16"/>
  <c r="F14" i="16"/>
  <c r="K14" i="16"/>
  <c r="R14" i="16"/>
  <c r="I18" i="16"/>
  <c r="M18" i="16"/>
  <c r="R18" i="16"/>
  <c r="L18" i="16"/>
  <c r="K18" i="16"/>
  <c r="E18" i="16"/>
  <c r="H18" i="16"/>
  <c r="G18" i="16"/>
  <c r="F18" i="16"/>
  <c r="O18" i="16"/>
  <c r="C18" i="16"/>
  <c r="J18" i="16"/>
  <c r="Q18" i="16"/>
  <c r="D18" i="16"/>
  <c r="N18" i="16"/>
  <c r="P18" i="16"/>
  <c r="R22" i="16"/>
  <c r="M22" i="16"/>
  <c r="C22" i="16"/>
  <c r="O22" i="16"/>
  <c r="N22" i="16"/>
  <c r="Q22" i="16"/>
  <c r="J22" i="16"/>
  <c r="P22" i="16"/>
  <c r="K22" i="16"/>
  <c r="I22" i="16"/>
  <c r="L22" i="16"/>
  <c r="G22" i="16"/>
  <c r="F22" i="16"/>
  <c r="H22" i="16"/>
  <c r="E22" i="16"/>
  <c r="D22" i="16"/>
  <c r="G7" i="16"/>
  <c r="N7" i="16"/>
  <c r="E7" i="16"/>
  <c r="H7" i="16"/>
  <c r="C7" i="16"/>
  <c r="Q7" i="16"/>
  <c r="J7" i="16"/>
  <c r="D7" i="16"/>
  <c r="O7" i="16"/>
  <c r="F7" i="16"/>
  <c r="M7" i="16"/>
  <c r="P7" i="16"/>
  <c r="K7" i="16"/>
  <c r="R7" i="16"/>
  <c r="I7" i="16"/>
  <c r="L7" i="16"/>
  <c r="Q11" i="16"/>
  <c r="I11" i="16"/>
  <c r="L11" i="16"/>
  <c r="K11" i="16"/>
  <c r="J11" i="16"/>
  <c r="N11" i="16"/>
  <c r="H11" i="16"/>
  <c r="G11" i="16"/>
  <c r="R11" i="16"/>
  <c r="P11" i="16"/>
  <c r="M11" i="16"/>
  <c r="D11" i="16"/>
  <c r="O11" i="16"/>
  <c r="F11" i="16"/>
  <c r="C11" i="16"/>
  <c r="E11" i="16"/>
  <c r="M15" i="16"/>
  <c r="Q15" i="16"/>
  <c r="I15" i="16"/>
  <c r="J15" i="16"/>
  <c r="L15" i="16"/>
  <c r="K15" i="16"/>
  <c r="N15" i="16"/>
  <c r="H15" i="16"/>
  <c r="G15" i="16"/>
  <c r="E15" i="16"/>
  <c r="P15" i="16"/>
  <c r="R15" i="16"/>
  <c r="F15" i="16"/>
  <c r="D15" i="16"/>
  <c r="O15" i="16"/>
  <c r="C15" i="16"/>
  <c r="G19" i="16"/>
  <c r="J19" i="16"/>
  <c r="Q19" i="16"/>
  <c r="P19" i="16"/>
  <c r="C19" i="16"/>
  <c r="F19" i="16"/>
  <c r="M19" i="16"/>
  <c r="D19" i="16"/>
  <c r="K19" i="16"/>
  <c r="N19" i="16"/>
  <c r="H19" i="16"/>
  <c r="E19" i="16"/>
  <c r="O19" i="16"/>
  <c r="R19" i="16"/>
  <c r="L19" i="16"/>
  <c r="I19" i="16"/>
  <c r="D8" i="15"/>
  <c r="S11" i="16" l="1"/>
  <c r="P46" i="16"/>
  <c r="S15" i="16"/>
  <c r="S16" i="16"/>
  <c r="S12" i="16"/>
  <c r="S19" i="16"/>
  <c r="S7" i="16"/>
  <c r="Q46" i="16"/>
  <c r="S8" i="16"/>
  <c r="O46" i="16"/>
  <c r="C46" i="16"/>
  <c r="J46" i="16"/>
  <c r="L46" i="16"/>
  <c r="M46" i="16"/>
  <c r="K46" i="16"/>
  <c r="F46" i="16"/>
  <c r="H46" i="16"/>
  <c r="I46" i="16"/>
  <c r="G46" i="16"/>
  <c r="R46" i="16"/>
  <c r="S20" i="16"/>
  <c r="S18" i="16"/>
  <c r="S22" i="16"/>
  <c r="S17" i="16"/>
  <c r="S10" i="16"/>
  <c r="S9" i="16"/>
  <c r="D46" i="16"/>
  <c r="E46" i="16"/>
  <c r="S14" i="16"/>
  <c r="S13" i="16"/>
  <c r="S21" i="16"/>
  <c r="N46" i="16"/>
  <c r="S46" i="16" l="1"/>
  <c r="B27" i="2"/>
  <c r="B28" i="2"/>
  <c r="B29" i="2"/>
  <c r="B30" i="2"/>
  <c r="B31" i="2"/>
  <c r="B32" i="2"/>
  <c r="B33" i="2"/>
  <c r="B34" i="2"/>
  <c r="B35" i="2"/>
  <c r="B36" i="2"/>
  <c r="B37" i="2"/>
  <c r="B38" i="2"/>
  <c r="B39" i="2"/>
  <c r="B40" i="2"/>
  <c r="B41" i="2"/>
  <c r="B42" i="2"/>
  <c r="B12" i="10"/>
  <c r="AH12" i="10" s="1" a="1"/>
  <c r="AH12" i="10" s="1"/>
  <c r="D12" i="10"/>
  <c r="B13" i="10"/>
  <c r="AH13" i="10" s="1" a="1"/>
  <c r="AH13" i="10" s="1"/>
  <c r="D13" i="10"/>
  <c r="B14" i="10"/>
  <c r="AH14" i="10" s="1" a="1"/>
  <c r="AH14" i="10" s="1"/>
  <c r="D14" i="10"/>
  <c r="B15" i="10"/>
  <c r="AH15" i="10" s="1" a="1"/>
  <c r="AH15" i="10" s="1"/>
  <c r="D15" i="10"/>
  <c r="B16" i="10"/>
  <c r="AH16" i="10" s="1" a="1"/>
  <c r="AH16" i="10" s="1"/>
  <c r="D16" i="10"/>
  <c r="B17" i="10"/>
  <c r="AH17" i="10" s="1" a="1"/>
  <c r="AH17" i="10" s="1"/>
  <c r="D17" i="10"/>
  <c r="B18" i="10"/>
  <c r="AH18" i="10" s="1" a="1"/>
  <c r="AH18" i="10" s="1"/>
  <c r="D18" i="10"/>
  <c r="B19" i="10"/>
  <c r="AH19" i="10" s="1" a="1"/>
  <c r="AH19" i="10" s="1"/>
  <c r="D19" i="10"/>
  <c r="B20" i="10"/>
  <c r="AH20" i="10" s="1" a="1"/>
  <c r="AH20" i="10" s="1"/>
  <c r="D20" i="10"/>
  <c r="B21" i="10"/>
  <c r="AH21" i="10" s="1" a="1"/>
  <c r="AH21" i="10" s="1"/>
  <c r="D21" i="10"/>
  <c r="B22" i="10"/>
  <c r="AH22" i="10" s="1" a="1"/>
  <c r="AH22" i="10" s="1"/>
  <c r="D22" i="10"/>
  <c r="B23" i="10"/>
  <c r="AH23" i="10" s="1" a="1"/>
  <c r="AH23" i="10" s="1"/>
  <c r="D23" i="10"/>
  <c r="B24" i="10"/>
  <c r="AH24" i="10" s="1" a="1"/>
  <c r="AH24" i="10" s="1"/>
  <c r="D24" i="10"/>
  <c r="B25" i="10"/>
  <c r="AH25" i="10" s="1" a="1"/>
  <c r="AH25" i="10" s="1"/>
  <c r="D25" i="10"/>
  <c r="B26" i="10"/>
  <c r="AH26" i="10" s="1" a="1"/>
  <c r="AH26" i="10" s="1"/>
  <c r="D26" i="10"/>
  <c r="B27" i="10"/>
  <c r="AH27" i="10" s="1" a="1"/>
  <c r="AH27" i="10" s="1"/>
  <c r="D27" i="10"/>
  <c r="B9" i="9"/>
  <c r="B10" i="9"/>
  <c r="B11" i="9"/>
  <c r="B12" i="9"/>
  <c r="B13" i="9"/>
  <c r="B14" i="9"/>
  <c r="B15" i="9"/>
  <c r="B16" i="9"/>
  <c r="B17" i="9"/>
  <c r="B18" i="9"/>
  <c r="B19" i="9"/>
  <c r="B20" i="9"/>
  <c r="B21" i="9"/>
  <c r="B22" i="9"/>
  <c r="B23" i="9"/>
  <c r="B24" i="9"/>
  <c r="AF26" i="10" l="1" a="1"/>
  <c r="AF26" i="10" s="1"/>
  <c r="AG26" i="10" a="1"/>
  <c r="AG26" i="10" s="1"/>
  <c r="AG24" i="10" a="1"/>
  <c r="AG24" i="10" s="1"/>
  <c r="AF24" i="10" a="1"/>
  <c r="AF24" i="10" s="1"/>
  <c r="AF22" i="10" a="1"/>
  <c r="AF22" i="10" s="1"/>
  <c r="AG22" i="10" a="1"/>
  <c r="AG22" i="10" s="1"/>
  <c r="AF20" i="10" a="1"/>
  <c r="AF20" i="10" s="1"/>
  <c r="AG20" i="10" a="1"/>
  <c r="AG20" i="10" s="1"/>
  <c r="AF18" i="10" a="1"/>
  <c r="AF18" i="10" s="1"/>
  <c r="AG18" i="10" a="1"/>
  <c r="AG18" i="10" s="1"/>
  <c r="AF16" i="10" a="1"/>
  <c r="AF16" i="10" s="1"/>
  <c r="AG16" i="10" a="1"/>
  <c r="AG16" i="10" s="1"/>
  <c r="AF14" i="10" a="1"/>
  <c r="AF14" i="10" s="1"/>
  <c r="AG14" i="10" a="1"/>
  <c r="AG14" i="10" s="1"/>
  <c r="AG12" i="10" a="1"/>
  <c r="AG12" i="10" s="1"/>
  <c r="AF12" i="10" a="1"/>
  <c r="AF12" i="10" s="1"/>
  <c r="AG27" i="10" a="1"/>
  <c r="AG27" i="10" s="1"/>
  <c r="AF27" i="10" a="1"/>
  <c r="AF27" i="10" s="1"/>
  <c r="AG25" i="10" a="1"/>
  <c r="AG25" i="10" s="1"/>
  <c r="AF25" i="10" a="1"/>
  <c r="AF25" i="10" s="1"/>
  <c r="AG23" i="10" a="1"/>
  <c r="AG23" i="10" s="1"/>
  <c r="AF23" i="10" a="1"/>
  <c r="AF23" i="10" s="1"/>
  <c r="AG21" i="10" a="1"/>
  <c r="AG21" i="10" s="1"/>
  <c r="AF21" i="10" a="1"/>
  <c r="AF21" i="10" s="1"/>
  <c r="AF19" i="10" a="1"/>
  <c r="AF19" i="10" s="1"/>
  <c r="AG19" i="10" a="1"/>
  <c r="AG19" i="10" s="1"/>
  <c r="AG17" i="10" a="1"/>
  <c r="AG17" i="10" s="1"/>
  <c r="AF17" i="10" a="1"/>
  <c r="AF17" i="10" s="1"/>
  <c r="AG15" i="10" a="1"/>
  <c r="AG15" i="10" s="1"/>
  <c r="AF15" i="10" a="1"/>
  <c r="AF15" i="10" s="1"/>
  <c r="AG13" i="10" a="1"/>
  <c r="AG13" i="10" s="1"/>
  <c r="AF13" i="10" a="1"/>
  <c r="AF13" i="10" s="1"/>
  <c r="C27" i="11"/>
  <c r="C26" i="11"/>
  <c r="C25" i="11"/>
  <c r="C24" i="11"/>
  <c r="C23" i="11"/>
  <c r="C22" i="11"/>
  <c r="C21" i="11"/>
  <c r="C20" i="11"/>
  <c r="O23" i="9"/>
  <c r="H20" i="9"/>
  <c r="N19" i="9"/>
  <c r="K19" i="9"/>
  <c r="F19" i="9"/>
  <c r="E19" i="9"/>
  <c r="O19" i="9"/>
  <c r="L18" i="9"/>
  <c r="C19" i="11"/>
  <c r="C18" i="11"/>
  <c r="C17" i="11"/>
  <c r="C16" i="11"/>
  <c r="C15" i="11"/>
  <c r="C14" i="11"/>
  <c r="C13" i="11"/>
  <c r="C12" i="11"/>
  <c r="K20" i="11" l="1"/>
  <c r="G20" i="11"/>
  <c r="J20" i="11"/>
  <c r="F20" i="11"/>
  <c r="E20" i="11"/>
  <c r="I20" i="11"/>
  <c r="H20" i="11"/>
  <c r="D20" i="11"/>
  <c r="K24" i="11"/>
  <c r="G24" i="11"/>
  <c r="J24" i="11"/>
  <c r="F24" i="11"/>
  <c r="E24" i="11"/>
  <c r="I24" i="11"/>
  <c r="H24" i="11"/>
  <c r="D24" i="11"/>
  <c r="K13" i="11"/>
  <c r="G13" i="11"/>
  <c r="J13" i="11"/>
  <c r="F13" i="11"/>
  <c r="E13" i="11"/>
  <c r="I13" i="11"/>
  <c r="D13" i="11"/>
  <c r="H13" i="11"/>
  <c r="K17" i="11"/>
  <c r="G17" i="11"/>
  <c r="J17" i="11"/>
  <c r="F17" i="11"/>
  <c r="E17" i="11"/>
  <c r="D17" i="11"/>
  <c r="I17" i="11"/>
  <c r="H17" i="11"/>
  <c r="K21" i="11"/>
  <c r="G21" i="11"/>
  <c r="J21" i="11"/>
  <c r="F21" i="11"/>
  <c r="E21" i="11"/>
  <c r="D21" i="11"/>
  <c r="I21" i="11"/>
  <c r="H21" i="11"/>
  <c r="K25" i="11"/>
  <c r="G25" i="11"/>
  <c r="J25" i="11"/>
  <c r="F25" i="11"/>
  <c r="E25" i="11"/>
  <c r="I25" i="11"/>
  <c r="D25" i="11"/>
  <c r="H25" i="11"/>
  <c r="K12" i="11"/>
  <c r="G12" i="11"/>
  <c r="J12" i="11"/>
  <c r="F12" i="11"/>
  <c r="E12" i="11"/>
  <c r="H12" i="11"/>
  <c r="D12" i="11"/>
  <c r="I12" i="11"/>
  <c r="K16" i="11"/>
  <c r="G16" i="11"/>
  <c r="J16" i="11"/>
  <c r="F16" i="11"/>
  <c r="E16" i="11"/>
  <c r="I16" i="11"/>
  <c r="H16" i="11"/>
  <c r="D16" i="11"/>
  <c r="K14" i="11"/>
  <c r="G14" i="11"/>
  <c r="J14" i="11"/>
  <c r="F14" i="11"/>
  <c r="E14" i="11"/>
  <c r="I14" i="11"/>
  <c r="H14" i="11"/>
  <c r="D14" i="11"/>
  <c r="K18" i="11"/>
  <c r="G18" i="11"/>
  <c r="J18" i="11"/>
  <c r="F18" i="11"/>
  <c r="E18" i="11"/>
  <c r="I18" i="11"/>
  <c r="H18" i="11"/>
  <c r="D18" i="11"/>
  <c r="K22" i="11"/>
  <c r="G22" i="11"/>
  <c r="J22" i="11"/>
  <c r="F22" i="11"/>
  <c r="E22" i="11"/>
  <c r="I22" i="11"/>
  <c r="H22" i="11"/>
  <c r="D22" i="11"/>
  <c r="K26" i="11"/>
  <c r="G26" i="11"/>
  <c r="J26" i="11"/>
  <c r="F26" i="11"/>
  <c r="E26" i="11"/>
  <c r="H26" i="11"/>
  <c r="D26" i="11"/>
  <c r="I26" i="11"/>
  <c r="K15" i="11"/>
  <c r="G15" i="11"/>
  <c r="J15" i="11"/>
  <c r="F15" i="11"/>
  <c r="E15" i="11"/>
  <c r="D15" i="11"/>
  <c r="I15" i="11"/>
  <c r="H15" i="11"/>
  <c r="K19" i="11"/>
  <c r="G19" i="11"/>
  <c r="J19" i="11"/>
  <c r="F19" i="11"/>
  <c r="E19" i="11"/>
  <c r="D19" i="11"/>
  <c r="I19" i="11"/>
  <c r="H19" i="11"/>
  <c r="K23" i="11"/>
  <c r="G23" i="11"/>
  <c r="J23" i="11"/>
  <c r="F23" i="11"/>
  <c r="E23" i="11"/>
  <c r="D23" i="11"/>
  <c r="I23" i="11"/>
  <c r="H23" i="11"/>
  <c r="K27" i="11"/>
  <c r="G27" i="11"/>
  <c r="I27" i="11"/>
  <c r="J27" i="11"/>
  <c r="F27" i="11"/>
  <c r="E27" i="11"/>
  <c r="H27" i="11"/>
  <c r="D27" i="11"/>
  <c r="AE20" i="10"/>
  <c r="AE12" i="10"/>
  <c r="AE16" i="10"/>
  <c r="AE13" i="10"/>
  <c r="AE26" i="10"/>
  <c r="AE15" i="10"/>
  <c r="AE17" i="10"/>
  <c r="AE25" i="10"/>
  <c r="AE27" i="10"/>
  <c r="AE14" i="10"/>
  <c r="AE18" i="10"/>
  <c r="AE22" i="10"/>
  <c r="AE24" i="10"/>
  <c r="AE23" i="10"/>
  <c r="AE19" i="10"/>
  <c r="AE21" i="10"/>
  <c r="C19" i="9"/>
  <c r="J19" i="9"/>
  <c r="Q19" i="9"/>
  <c r="Q18" i="9"/>
  <c r="G23" i="9"/>
  <c r="H17" i="9"/>
  <c r="C20" i="9"/>
  <c r="P24" i="9"/>
  <c r="I19" i="9"/>
  <c r="P18" i="9"/>
  <c r="P20" i="9"/>
  <c r="H24" i="9"/>
  <c r="O17" i="9"/>
  <c r="I17" i="9"/>
  <c r="D17" i="9"/>
  <c r="Q17" i="9"/>
  <c r="L17" i="9"/>
  <c r="G17" i="9"/>
  <c r="P17" i="9"/>
  <c r="K17" i="9"/>
  <c r="E17" i="9"/>
  <c r="M17" i="9"/>
  <c r="F18" i="9"/>
  <c r="O20" i="9"/>
  <c r="J20" i="9"/>
  <c r="D20" i="9"/>
  <c r="C17" i="9"/>
  <c r="N20" i="9"/>
  <c r="P23" i="9"/>
  <c r="L23" i="9"/>
  <c r="H23" i="9"/>
  <c r="D23" i="9"/>
  <c r="R23" i="9"/>
  <c r="N23" i="9"/>
  <c r="J23" i="9"/>
  <c r="Q23" i="9"/>
  <c r="I23" i="9"/>
  <c r="C23" i="9"/>
  <c r="M23" i="9"/>
  <c r="F23" i="9"/>
  <c r="K23" i="9"/>
  <c r="E23" i="9"/>
  <c r="N24" i="9"/>
  <c r="D18" i="9"/>
  <c r="I18" i="9"/>
  <c r="N18" i="9"/>
  <c r="P19" i="9"/>
  <c r="L19" i="9"/>
  <c r="H19" i="9"/>
  <c r="D19" i="9"/>
  <c r="G19" i="9"/>
  <c r="M19" i="9"/>
  <c r="R19" i="9"/>
  <c r="F20" i="9"/>
  <c r="K20" i="9"/>
  <c r="D24" i="9"/>
  <c r="L24" i="9"/>
  <c r="R17" i="9"/>
  <c r="E18" i="9"/>
  <c r="J18" i="9"/>
  <c r="Q20" i="9"/>
  <c r="M20" i="9"/>
  <c r="I20" i="9"/>
  <c r="E20" i="9"/>
  <c r="G20" i="9"/>
  <c r="L20" i="9"/>
  <c r="R20" i="9"/>
  <c r="F24" i="9"/>
  <c r="O18" i="9"/>
  <c r="K18" i="9"/>
  <c r="G18" i="9"/>
  <c r="C18" i="9"/>
  <c r="H18" i="9"/>
  <c r="M18" i="9"/>
  <c r="R18" i="9"/>
  <c r="Q24" i="9"/>
  <c r="M24" i="9"/>
  <c r="I24" i="9"/>
  <c r="E24" i="9"/>
  <c r="O24" i="9"/>
  <c r="K24" i="9"/>
  <c r="G24" i="9"/>
  <c r="C24" i="9"/>
  <c r="J24" i="9"/>
  <c r="R24" i="9"/>
  <c r="F17" i="9"/>
  <c r="J17" i="9"/>
  <c r="N17" i="9"/>
  <c r="D4" i="7"/>
  <c r="C12" i="15" s="1"/>
  <c r="C36" i="7"/>
  <c r="S26" i="11" l="1"/>
  <c r="V26" i="10" s="1"/>
  <c r="S23" i="11"/>
  <c r="V23" i="10" s="1"/>
  <c r="S21" i="11"/>
  <c r="V21" i="10" s="1"/>
  <c r="S27" i="11"/>
  <c r="V27" i="10" s="1"/>
  <c r="S24" i="11"/>
  <c r="V24" i="10" s="1"/>
  <c r="S20" i="11"/>
  <c r="V20" i="10" s="1"/>
  <c r="S22" i="11"/>
  <c r="V22" i="10" s="1"/>
  <c r="S25" i="11"/>
  <c r="V25" i="10" s="1"/>
  <c r="U24" i="11"/>
  <c r="AB24" i="10" s="1"/>
  <c r="U20" i="11"/>
  <c r="U23" i="11"/>
  <c r="U21" i="11"/>
  <c r="U27" i="11"/>
  <c r="AB27" i="10" s="1"/>
  <c r="U22" i="11"/>
  <c r="AB22" i="10" s="1"/>
  <c r="U26" i="11"/>
  <c r="U25" i="11"/>
  <c r="AB25" i="10" s="1"/>
  <c r="Q26" i="11"/>
  <c r="P26" i="10" s="1"/>
  <c r="Q25" i="11"/>
  <c r="P25" i="10" s="1"/>
  <c r="Q24" i="11"/>
  <c r="P24" i="10" s="1"/>
  <c r="Q20" i="11"/>
  <c r="P20" i="10" s="1"/>
  <c r="Q22" i="11"/>
  <c r="P22" i="10" s="1"/>
  <c r="Q23" i="11"/>
  <c r="P23" i="10" s="1"/>
  <c r="Q21" i="11"/>
  <c r="P21" i="10" s="1"/>
  <c r="Q27" i="11"/>
  <c r="P27" i="10" s="1"/>
  <c r="O26" i="11"/>
  <c r="O25" i="11"/>
  <c r="O24" i="11"/>
  <c r="O20" i="11"/>
  <c r="O22" i="11"/>
  <c r="O23" i="11"/>
  <c r="O21" i="11"/>
  <c r="O27" i="11"/>
  <c r="S19" i="9"/>
  <c r="M20" i="11"/>
  <c r="S24" i="9"/>
  <c r="S18" i="9"/>
  <c r="S20" i="9"/>
  <c r="M26" i="11"/>
  <c r="M25" i="11"/>
  <c r="M27" i="11"/>
  <c r="M23" i="11"/>
  <c r="M21" i="11"/>
  <c r="M22" i="11"/>
  <c r="M24" i="11"/>
  <c r="S23" i="9"/>
  <c r="S17" i="9"/>
  <c r="J39" i="2" l="1"/>
  <c r="D39" i="2"/>
  <c r="I39" i="2"/>
  <c r="R39" i="2"/>
  <c r="M39" i="2"/>
  <c r="H39" i="2"/>
  <c r="S39" i="2"/>
  <c r="Q39" i="2"/>
  <c r="L39" i="2"/>
  <c r="F39" i="2"/>
  <c r="P39" i="2"/>
  <c r="E39" i="2"/>
  <c r="N39" i="2"/>
  <c r="G39" i="2"/>
  <c r="K39" i="2"/>
  <c r="O39" i="2"/>
  <c r="R37" i="2"/>
  <c r="L37" i="2"/>
  <c r="G37" i="2"/>
  <c r="J37" i="2"/>
  <c r="P37" i="2"/>
  <c r="F37" i="2"/>
  <c r="O37" i="2"/>
  <c r="D37" i="2"/>
  <c r="K37" i="2"/>
  <c r="M37" i="2"/>
  <c r="N37" i="2"/>
  <c r="I37" i="2"/>
  <c r="S37" i="2"/>
  <c r="E37" i="2"/>
  <c r="Q37" i="2"/>
  <c r="H37" i="2"/>
  <c r="J24" i="10"/>
  <c r="AB23" i="10"/>
  <c r="M36" i="2"/>
  <c r="K36" i="2"/>
  <c r="R36" i="2"/>
  <c r="G36" i="2"/>
  <c r="Q36" i="2"/>
  <c r="F36" i="2"/>
  <c r="D36" i="2"/>
  <c r="E36" i="2"/>
  <c r="P36" i="2"/>
  <c r="I36" i="2"/>
  <c r="J36" i="2"/>
  <c r="L36" i="2"/>
  <c r="N36" i="2"/>
  <c r="O36" i="2"/>
  <c r="H36" i="2"/>
  <c r="S36" i="2"/>
  <c r="J21" i="10"/>
  <c r="J26" i="10"/>
  <c r="I38" i="2"/>
  <c r="N38" i="2"/>
  <c r="L38" i="2"/>
  <c r="E38" i="2"/>
  <c r="H38" i="2"/>
  <c r="J38" i="2"/>
  <c r="G38" i="2"/>
  <c r="M38" i="2"/>
  <c r="D38" i="2"/>
  <c r="S38" i="2"/>
  <c r="F38" i="2"/>
  <c r="P38" i="2"/>
  <c r="O38" i="2"/>
  <c r="R38" i="2"/>
  <c r="Q38" i="2"/>
  <c r="K38" i="2"/>
  <c r="Q35" i="2"/>
  <c r="L35" i="2"/>
  <c r="F35" i="2"/>
  <c r="P35" i="2"/>
  <c r="E35" i="2"/>
  <c r="J35" i="2"/>
  <c r="R35" i="2"/>
  <c r="H35" i="2"/>
  <c r="N35" i="2"/>
  <c r="D35" i="2"/>
  <c r="M35" i="2"/>
  <c r="I35" i="2"/>
  <c r="K35" i="2"/>
  <c r="S35" i="2"/>
  <c r="O35" i="2"/>
  <c r="G35" i="2"/>
  <c r="R41" i="2"/>
  <c r="L41" i="2"/>
  <c r="G41" i="2"/>
  <c r="Q41" i="2"/>
  <c r="P41" i="2"/>
  <c r="N41" i="2"/>
  <c r="D41" i="2"/>
  <c r="M41" i="2"/>
  <c r="K41" i="2"/>
  <c r="H41" i="2"/>
  <c r="I41" i="2"/>
  <c r="F41" i="2"/>
  <c r="O41" i="2"/>
  <c r="E41" i="2"/>
  <c r="S41" i="2"/>
  <c r="J41" i="2"/>
  <c r="J27" i="10"/>
  <c r="J25" i="10"/>
  <c r="AB20" i="10"/>
  <c r="J23" i="10"/>
  <c r="J22" i="10"/>
  <c r="G42" i="2"/>
  <c r="O42" i="2"/>
  <c r="I42" i="2"/>
  <c r="D42" i="2"/>
  <c r="Q42" i="2"/>
  <c r="L42" i="2"/>
  <c r="P42" i="2"/>
  <c r="K42" i="2"/>
  <c r="E42" i="2"/>
  <c r="F42" i="2"/>
  <c r="R42" i="2"/>
  <c r="H42" i="2"/>
  <c r="N42" i="2"/>
  <c r="M42" i="2"/>
  <c r="J42" i="2"/>
  <c r="S42" i="2"/>
  <c r="AB21" i="10"/>
  <c r="J20" i="10"/>
  <c r="AB26" i="10"/>
  <c r="C3" i="13"/>
  <c r="C15" i="15" s="1"/>
  <c r="T39" i="2" l="1"/>
  <c r="T38" i="2"/>
  <c r="T41" i="2"/>
  <c r="T42" i="2"/>
  <c r="T35" i="2"/>
  <c r="T36" i="2"/>
  <c r="T37" i="2"/>
  <c r="C11" i="11"/>
  <c r="K11" i="11" l="1"/>
  <c r="F11" i="11"/>
  <c r="J11" i="11"/>
  <c r="E11" i="11"/>
  <c r="D11" i="11"/>
  <c r="G11" i="11"/>
  <c r="H11" i="11"/>
  <c r="I11" i="11"/>
  <c r="C39" i="11"/>
  <c r="F3" i="8" a="1"/>
  <c r="F3" i="8" s="1"/>
  <c r="K38" i="11" l="1"/>
  <c r="J38" i="11"/>
  <c r="I38" i="11"/>
  <c r="H38" i="11"/>
  <c r="E38" i="11"/>
  <c r="F38" i="11"/>
  <c r="D3" i="14"/>
  <c r="C14" i="15" s="1"/>
  <c r="S11" i="11" l="1"/>
  <c r="S15" i="11"/>
  <c r="V15" i="10" s="1"/>
  <c r="S19" i="11"/>
  <c r="V19" i="10" s="1"/>
  <c r="S13" i="11"/>
  <c r="V13" i="10" s="1"/>
  <c r="S17" i="11"/>
  <c r="V17" i="10" s="1"/>
  <c r="S12" i="11"/>
  <c r="V12" i="10" s="1"/>
  <c r="S16" i="11"/>
  <c r="V16" i="10" s="1"/>
  <c r="S14" i="11"/>
  <c r="V14" i="10" s="1"/>
  <c r="S18" i="11"/>
  <c r="V18" i="10" s="1"/>
  <c r="U12" i="11"/>
  <c r="U16" i="11"/>
  <c r="U14" i="11"/>
  <c r="U18" i="11"/>
  <c r="U11" i="11"/>
  <c r="U15" i="11"/>
  <c r="U19" i="11"/>
  <c r="U13" i="11"/>
  <c r="U17" i="11"/>
  <c r="O12" i="11"/>
  <c r="Q12" i="11"/>
  <c r="P12" i="10" s="1"/>
  <c r="O14" i="11"/>
  <c r="Q14" i="11"/>
  <c r="P14" i="10" s="1"/>
  <c r="O18" i="11"/>
  <c r="Q18" i="11"/>
  <c r="P18" i="10" s="1"/>
  <c r="O11" i="11"/>
  <c r="Q11" i="11"/>
  <c r="O15" i="11"/>
  <c r="Q15" i="11"/>
  <c r="P15" i="10" s="1"/>
  <c r="O19" i="11"/>
  <c r="Q19" i="11"/>
  <c r="P19" i="10" s="1"/>
  <c r="O16" i="11"/>
  <c r="Q16" i="11"/>
  <c r="P16" i="10" s="1"/>
  <c r="O13" i="11"/>
  <c r="Q13" i="11"/>
  <c r="P13" i="10" s="1"/>
  <c r="O17" i="11"/>
  <c r="Q17" i="11"/>
  <c r="P17" i="10" s="1"/>
  <c r="G38" i="11"/>
  <c r="D38" i="11"/>
  <c r="A1" i="13"/>
  <c r="A1" i="14"/>
  <c r="A11" i="10" l="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B8" i="7" l="1"/>
  <c r="B9" i="7" s="1"/>
  <c r="B10" i="7" s="1"/>
  <c r="B11" i="7" s="1"/>
  <c r="B12" i="7" s="1"/>
  <c r="B13" i="7" s="1"/>
  <c r="B14" i="7" s="1"/>
  <c r="B15" i="7" s="1"/>
  <c r="B16" i="7" s="1"/>
  <c r="B17" i="7" s="1"/>
  <c r="B18" i="7" s="1"/>
  <c r="B19" i="7" s="1"/>
  <c r="B20" i="7" s="1"/>
  <c r="B21" i="7" s="1"/>
  <c r="B22" i="7" s="1"/>
  <c r="B23" i="7" s="1"/>
  <c r="B24" i="7" s="1"/>
  <c r="B25" i="7" s="1"/>
  <c r="A25" i="9" l="1"/>
  <c r="A28" i="11"/>
  <c r="A43" i="2"/>
  <c r="B26" i="7"/>
  <c r="A27" i="2"/>
  <c r="A9" i="9"/>
  <c r="A12" i="11"/>
  <c r="A11" i="11"/>
  <c r="A8" i="9"/>
  <c r="A26" i="2"/>
  <c r="B27" i="7" l="1"/>
  <c r="A29" i="11"/>
  <c r="A44" i="2"/>
  <c r="A26" i="9"/>
  <c r="A28" i="2"/>
  <c r="A10" i="9"/>
  <c r="A13" i="11"/>
  <c r="A30" i="11" l="1"/>
  <c r="A27" i="9"/>
  <c r="A45" i="2"/>
  <c r="B28" i="7"/>
  <c r="A29" i="2"/>
  <c r="A11" i="9"/>
  <c r="A14" i="11"/>
  <c r="A46" i="2" l="1"/>
  <c r="A31" i="11"/>
  <c r="A28" i="9"/>
  <c r="B29" i="7"/>
  <c r="A30" i="2"/>
  <c r="A12" i="9"/>
  <c r="A15" i="11"/>
  <c r="B2" i="7"/>
  <c r="A2" i="11"/>
  <c r="B1" i="8"/>
  <c r="A1" i="1"/>
  <c r="B2" i="9"/>
  <c r="F1" i="2"/>
  <c r="A29" i="9" l="1"/>
  <c r="A32" i="11"/>
  <c r="B30" i="7"/>
  <c r="A47" i="2"/>
  <c r="A31" i="2"/>
  <c r="A13" i="9"/>
  <c r="A16" i="11"/>
  <c r="D27" i="12"/>
  <c r="E27" i="12"/>
  <c r="C27" i="12"/>
  <c r="B31" i="7" l="1"/>
  <c r="A33" i="11"/>
  <c r="A30" i="9"/>
  <c r="A48" i="2"/>
  <c r="A32" i="2"/>
  <c r="A14" i="9"/>
  <c r="A17" i="11"/>
  <c r="B2" i="2"/>
  <c r="A34" i="11" l="1"/>
  <c r="A49" i="2"/>
  <c r="A31" i="9"/>
  <c r="B32" i="7"/>
  <c r="A33" i="2"/>
  <c r="A15" i="9"/>
  <c r="A18" i="11"/>
  <c r="B8" i="9"/>
  <c r="B46" i="16" s="1"/>
  <c r="W6" i="9"/>
  <c r="V6" i="9"/>
  <c r="U6" i="9"/>
  <c r="T6" i="9"/>
  <c r="Y8" i="10"/>
  <c r="S8" i="10"/>
  <c r="M8" i="10"/>
  <c r="G8" i="10"/>
  <c r="X25" i="2"/>
  <c r="W25" i="2"/>
  <c r="V25" i="2"/>
  <c r="U25" i="2"/>
  <c r="A32" i="9" l="1"/>
  <c r="A50" i="2"/>
  <c r="A35" i="11"/>
  <c r="B33" i="7"/>
  <c r="T32" i="9"/>
  <c r="H35" i="10" s="1"/>
  <c r="T28" i="9"/>
  <c r="H31" i="10" s="1"/>
  <c r="T33" i="9"/>
  <c r="H36" i="10" s="1"/>
  <c r="T30" i="9"/>
  <c r="H33" i="10" s="1"/>
  <c r="T25" i="9"/>
  <c r="H28" i="10" s="1"/>
  <c r="T27" i="9"/>
  <c r="H30" i="10" s="1"/>
  <c r="T26" i="9"/>
  <c r="H29" i="10" s="1"/>
  <c r="T29" i="9"/>
  <c r="H32" i="10" s="1"/>
  <c r="T31" i="9"/>
  <c r="H34" i="10" s="1"/>
  <c r="V30" i="9"/>
  <c r="T33" i="10" s="1"/>
  <c r="V26" i="9"/>
  <c r="T29" i="10" s="1"/>
  <c r="V32" i="9"/>
  <c r="T35" i="10" s="1"/>
  <c r="V33" i="9"/>
  <c r="T36" i="10" s="1"/>
  <c r="V27" i="9"/>
  <c r="T30" i="10" s="1"/>
  <c r="V25" i="9"/>
  <c r="T28" i="10" s="1"/>
  <c r="V31" i="9"/>
  <c r="T34" i="10" s="1"/>
  <c r="V29" i="9"/>
  <c r="T32" i="10" s="1"/>
  <c r="V28" i="9"/>
  <c r="T31" i="10" s="1"/>
  <c r="U49" i="2"/>
  <c r="I34" i="10" s="1"/>
  <c r="U45" i="2"/>
  <c r="I30" i="10" s="1"/>
  <c r="U51" i="2"/>
  <c r="I36" i="10" s="1"/>
  <c r="U46" i="2"/>
  <c r="I31" i="10" s="1"/>
  <c r="U43" i="2"/>
  <c r="I28" i="10" s="1"/>
  <c r="U52" i="2"/>
  <c r="I37" i="10" s="1"/>
  <c r="U44" i="2"/>
  <c r="I29" i="10" s="1"/>
  <c r="U48" i="2"/>
  <c r="I33" i="10" s="1"/>
  <c r="U50" i="2"/>
  <c r="I35" i="10" s="1"/>
  <c r="U47" i="2"/>
  <c r="I32" i="10" s="1"/>
  <c r="V50" i="2"/>
  <c r="O35" i="10" s="1"/>
  <c r="V46" i="2"/>
  <c r="O31" i="10" s="1"/>
  <c r="V48" i="2"/>
  <c r="O33" i="10" s="1"/>
  <c r="V49" i="2"/>
  <c r="O34" i="10" s="1"/>
  <c r="V45" i="2"/>
  <c r="O30" i="10" s="1"/>
  <c r="V51" i="2"/>
  <c r="O36" i="10" s="1"/>
  <c r="V44" i="2"/>
  <c r="O29" i="10" s="1"/>
  <c r="V52" i="2"/>
  <c r="O37" i="10" s="1"/>
  <c r="V47" i="2"/>
  <c r="O32" i="10" s="1"/>
  <c r="V43" i="2"/>
  <c r="O28" i="10" s="1"/>
  <c r="U33" i="9"/>
  <c r="N36" i="10" s="1"/>
  <c r="U29" i="9"/>
  <c r="N32" i="10" s="1"/>
  <c r="U25" i="9"/>
  <c r="N28" i="10" s="1"/>
  <c r="U27" i="9"/>
  <c r="N30" i="10" s="1"/>
  <c r="U30" i="9"/>
  <c r="N33" i="10" s="1"/>
  <c r="U28" i="9"/>
  <c r="N31" i="10" s="1"/>
  <c r="U32" i="9"/>
  <c r="N35" i="10" s="1"/>
  <c r="U26" i="9"/>
  <c r="N29" i="10" s="1"/>
  <c r="U31" i="9"/>
  <c r="N34" i="10" s="1"/>
  <c r="W51" i="2"/>
  <c r="U36" i="10" s="1"/>
  <c r="W47" i="2"/>
  <c r="U32" i="10" s="1"/>
  <c r="W43" i="2"/>
  <c r="U28" i="10" s="1"/>
  <c r="W45" i="2"/>
  <c r="U30" i="10" s="1"/>
  <c r="W48" i="2"/>
  <c r="U33" i="10" s="1"/>
  <c r="W44" i="2"/>
  <c r="U29" i="10" s="1"/>
  <c r="W50" i="2"/>
  <c r="U35" i="10" s="1"/>
  <c r="W52" i="2"/>
  <c r="U37" i="10" s="1"/>
  <c r="W49" i="2"/>
  <c r="U34" i="10" s="1"/>
  <c r="W46" i="2"/>
  <c r="U31" i="10" s="1"/>
  <c r="X52" i="2"/>
  <c r="AA37" i="10" s="1"/>
  <c r="X48" i="2"/>
  <c r="AA33" i="10" s="1"/>
  <c r="X44" i="2"/>
  <c r="AA29" i="10" s="1"/>
  <c r="X50" i="2"/>
  <c r="AA35" i="10" s="1"/>
  <c r="X47" i="2"/>
  <c r="AA32" i="10" s="1"/>
  <c r="X51" i="2"/>
  <c r="AA36" i="10" s="1"/>
  <c r="X46" i="2"/>
  <c r="AA31" i="10" s="1"/>
  <c r="X49" i="2"/>
  <c r="AA34" i="10" s="1"/>
  <c r="X43" i="2"/>
  <c r="AA28" i="10" s="1"/>
  <c r="X45" i="2"/>
  <c r="AA30" i="10" s="1"/>
  <c r="W31" i="9"/>
  <c r="Z34" i="10" s="1"/>
  <c r="W27" i="9"/>
  <c r="Z30" i="10" s="1"/>
  <c r="W29" i="9"/>
  <c r="Z32" i="10" s="1"/>
  <c r="W26" i="9"/>
  <c r="Z29" i="10" s="1"/>
  <c r="W32" i="9"/>
  <c r="Z35" i="10" s="1"/>
  <c r="W30" i="9"/>
  <c r="Z33" i="10" s="1"/>
  <c r="W25" i="9"/>
  <c r="Z28" i="10" s="1"/>
  <c r="W28" i="9"/>
  <c r="Z31" i="10" s="1"/>
  <c r="W33" i="9"/>
  <c r="Z36" i="10" s="1"/>
  <c r="A34" i="2"/>
  <c r="A16" i="9"/>
  <c r="B36" i="9"/>
  <c r="W39" i="2"/>
  <c r="U24" i="10" s="1"/>
  <c r="W35" i="2"/>
  <c r="U20" i="10" s="1"/>
  <c r="W38" i="2"/>
  <c r="U23" i="10" s="1"/>
  <c r="W37" i="2"/>
  <c r="U22" i="10" s="1"/>
  <c r="W42" i="2"/>
  <c r="U27" i="10" s="1"/>
  <c r="W41" i="2"/>
  <c r="U26" i="10" s="1"/>
  <c r="W36" i="2"/>
  <c r="U21" i="10" s="1"/>
  <c r="V17" i="9"/>
  <c r="T20" i="10" s="1"/>
  <c r="V23" i="9"/>
  <c r="T26" i="10" s="1"/>
  <c r="V19" i="9"/>
  <c r="T22" i="10" s="1"/>
  <c r="V24" i="9"/>
  <c r="T27" i="10" s="1"/>
  <c r="V20" i="9"/>
  <c r="T23" i="10" s="1"/>
  <c r="V18" i="9"/>
  <c r="T21" i="10" s="1"/>
  <c r="X36" i="2"/>
  <c r="AA21" i="10" s="1"/>
  <c r="X37" i="2"/>
  <c r="AA22" i="10" s="1"/>
  <c r="X41" i="2"/>
  <c r="AA26" i="10" s="1"/>
  <c r="X42" i="2"/>
  <c r="AA27" i="10" s="1"/>
  <c r="X39" i="2"/>
  <c r="AA24" i="10" s="1"/>
  <c r="X38" i="2"/>
  <c r="AA23" i="10" s="1"/>
  <c r="X35" i="2"/>
  <c r="AA20" i="10" s="1"/>
  <c r="W18" i="9"/>
  <c r="Z21" i="10" s="1"/>
  <c r="W24" i="9"/>
  <c r="Z27" i="10" s="1"/>
  <c r="W20" i="9"/>
  <c r="Z23" i="10" s="1"/>
  <c r="W17" i="9"/>
  <c r="Z20" i="10" s="1"/>
  <c r="W19" i="9"/>
  <c r="Z22" i="10" s="1"/>
  <c r="W23" i="9"/>
  <c r="Z26" i="10" s="1"/>
  <c r="A19" i="11"/>
  <c r="U41" i="2"/>
  <c r="I26" i="10" s="1"/>
  <c r="U37" i="2"/>
  <c r="I22" i="10" s="1"/>
  <c r="U36" i="2"/>
  <c r="I21" i="10" s="1"/>
  <c r="U38" i="2"/>
  <c r="I23" i="10" s="1"/>
  <c r="U35" i="2"/>
  <c r="I20" i="10" s="1"/>
  <c r="U42" i="2"/>
  <c r="I27" i="10" s="1"/>
  <c r="U39" i="2"/>
  <c r="I24" i="10" s="1"/>
  <c r="T23" i="9"/>
  <c r="H26" i="10" s="1"/>
  <c r="T19" i="9"/>
  <c r="H22" i="10" s="1"/>
  <c r="T20" i="9"/>
  <c r="H23" i="10" s="1"/>
  <c r="T17" i="9"/>
  <c r="H20" i="10" s="1"/>
  <c r="T24" i="9"/>
  <c r="H27" i="10" s="1"/>
  <c r="T18" i="9"/>
  <c r="H21" i="10" s="1"/>
  <c r="V42" i="2"/>
  <c r="O27" i="10" s="1"/>
  <c r="V38" i="2"/>
  <c r="O23" i="10" s="1"/>
  <c r="V41" i="2"/>
  <c r="O26" i="10" s="1"/>
  <c r="V35" i="2"/>
  <c r="O20" i="10" s="1"/>
  <c r="V36" i="2"/>
  <c r="O21" i="10" s="1"/>
  <c r="V39" i="2"/>
  <c r="O24" i="10" s="1"/>
  <c r="V37" i="2"/>
  <c r="O22" i="10" s="1"/>
  <c r="U24" i="9"/>
  <c r="N27" i="10" s="1"/>
  <c r="U20" i="9"/>
  <c r="N23" i="10" s="1"/>
  <c r="U23" i="9"/>
  <c r="N26" i="10" s="1"/>
  <c r="U18" i="9"/>
  <c r="N21" i="10" s="1"/>
  <c r="U17" i="9"/>
  <c r="N20" i="10" s="1"/>
  <c r="U19" i="9"/>
  <c r="N22" i="10" s="1"/>
  <c r="T4" i="9"/>
  <c r="W4" i="9"/>
  <c r="U4" i="9"/>
  <c r="V4" i="9"/>
  <c r="U10" i="11"/>
  <c r="S10" i="11"/>
  <c r="Q10" i="11"/>
  <c r="O10" i="11"/>
  <c r="L10" i="11"/>
  <c r="N35" i="11" l="1"/>
  <c r="L35" i="10" s="1"/>
  <c r="N31" i="11"/>
  <c r="L31" i="10" s="1"/>
  <c r="N33" i="11"/>
  <c r="L33" i="10" s="1"/>
  <c r="N34" i="11"/>
  <c r="L34" i="10" s="1"/>
  <c r="N37" i="11"/>
  <c r="L37" i="10" s="1"/>
  <c r="N28" i="11"/>
  <c r="L28" i="10" s="1"/>
  <c r="N30" i="11"/>
  <c r="L30" i="10" s="1"/>
  <c r="N36" i="11"/>
  <c r="L36" i="10" s="1"/>
  <c r="N32" i="11"/>
  <c r="L32" i="10" s="1"/>
  <c r="N29" i="11"/>
  <c r="L29" i="10" s="1"/>
  <c r="P33" i="11"/>
  <c r="P37" i="11"/>
  <c r="P28" i="11"/>
  <c r="P32" i="11"/>
  <c r="P35" i="11"/>
  <c r="P36" i="11"/>
  <c r="P34" i="11"/>
  <c r="P31" i="11"/>
  <c r="P29" i="11"/>
  <c r="P30" i="11"/>
  <c r="R32" i="11"/>
  <c r="Q32" i="10" s="1"/>
  <c r="R37" i="11"/>
  <c r="Q37" i="10" s="1"/>
  <c r="R28" i="11"/>
  <c r="Q28" i="10" s="1"/>
  <c r="R35" i="11"/>
  <c r="Q35" i="10" s="1"/>
  <c r="R34" i="11"/>
  <c r="Q34" i="10" s="1"/>
  <c r="R29" i="11"/>
  <c r="Q29" i="10" s="1"/>
  <c r="R31" i="11"/>
  <c r="Q31" i="10" s="1"/>
  <c r="R36" i="11"/>
  <c r="Q36" i="10" s="1"/>
  <c r="R30" i="11"/>
  <c r="Q30" i="10" s="1"/>
  <c r="R33" i="11"/>
  <c r="Q33" i="10" s="1"/>
  <c r="A33" i="9"/>
  <c r="A36" i="11"/>
  <c r="A51" i="2"/>
  <c r="B34" i="7"/>
  <c r="V35" i="11"/>
  <c r="AC35" i="10" s="1"/>
  <c r="V36" i="11"/>
  <c r="AC36" i="10" s="1"/>
  <c r="V37" i="11"/>
  <c r="AC37" i="10" s="1"/>
  <c r="V33" i="11"/>
  <c r="AC33" i="10" s="1"/>
  <c r="V34" i="11"/>
  <c r="AC34" i="10" s="1"/>
  <c r="V28" i="11"/>
  <c r="AC28" i="10" s="1"/>
  <c r="V32" i="11"/>
  <c r="AC32" i="10" s="1"/>
  <c r="V30" i="11"/>
  <c r="AC30" i="10" s="1"/>
  <c r="V29" i="11"/>
  <c r="AC29" i="10" s="1"/>
  <c r="V31" i="11"/>
  <c r="AC31" i="10" s="1"/>
  <c r="T31" i="11"/>
  <c r="W31" i="10" s="1"/>
  <c r="T37" i="11"/>
  <c r="W37" i="10" s="1"/>
  <c r="T33" i="11"/>
  <c r="W33" i="10" s="1"/>
  <c r="T36" i="11"/>
  <c r="W36" i="10" s="1"/>
  <c r="T30" i="11"/>
  <c r="W30" i="10" s="1"/>
  <c r="T28" i="11"/>
  <c r="W28" i="10" s="1"/>
  <c r="T35" i="11"/>
  <c r="W35" i="10" s="1"/>
  <c r="T34" i="11"/>
  <c r="W34" i="10" s="1"/>
  <c r="T32" i="11"/>
  <c r="W32" i="10" s="1"/>
  <c r="T29" i="11"/>
  <c r="W29" i="10" s="1"/>
  <c r="A35" i="2"/>
  <c r="A17" i="9"/>
  <c r="P24" i="11"/>
  <c r="P26" i="11"/>
  <c r="P21" i="11"/>
  <c r="P27" i="11"/>
  <c r="P25" i="11"/>
  <c r="P20" i="11"/>
  <c r="P23" i="11"/>
  <c r="P22" i="11"/>
  <c r="T22" i="11"/>
  <c r="W22" i="10" s="1"/>
  <c r="T26" i="11"/>
  <c r="W26" i="10" s="1"/>
  <c r="T23" i="11"/>
  <c r="W23" i="10" s="1"/>
  <c r="T27" i="11"/>
  <c r="W27" i="10" s="1"/>
  <c r="T21" i="11"/>
  <c r="W21" i="10" s="1"/>
  <c r="T24" i="11"/>
  <c r="W24" i="10" s="1"/>
  <c r="T25" i="11"/>
  <c r="W25" i="10" s="1"/>
  <c r="T20" i="11"/>
  <c r="W20" i="10" s="1"/>
  <c r="V25" i="11"/>
  <c r="AC25" i="10" s="1"/>
  <c r="V24" i="11"/>
  <c r="AC24" i="10" s="1"/>
  <c r="V27" i="11"/>
  <c r="AC27" i="10" s="1"/>
  <c r="V22" i="11"/>
  <c r="AC22" i="10" s="1"/>
  <c r="V20" i="11"/>
  <c r="AC20" i="10" s="1"/>
  <c r="V21" i="11"/>
  <c r="AC21" i="10" s="1"/>
  <c r="V23" i="11"/>
  <c r="AC23" i="10" s="1"/>
  <c r="V26" i="11"/>
  <c r="AC26" i="10" s="1"/>
  <c r="R25" i="11"/>
  <c r="Q25" i="10" s="1"/>
  <c r="R26" i="11"/>
  <c r="Q26" i="10" s="1"/>
  <c r="R22" i="11"/>
  <c r="Q22" i="10" s="1"/>
  <c r="R23" i="11"/>
  <c r="Q23" i="10" s="1"/>
  <c r="R27" i="11"/>
  <c r="Q27" i="10" s="1"/>
  <c r="R21" i="11"/>
  <c r="Q21" i="10" s="1"/>
  <c r="R24" i="11"/>
  <c r="Q24" i="10" s="1"/>
  <c r="R20" i="11"/>
  <c r="Q20" i="10" s="1"/>
  <c r="A20" i="11"/>
  <c r="N20" i="11"/>
  <c r="L20" i="10" s="1"/>
  <c r="N24" i="11"/>
  <c r="L24" i="10" s="1"/>
  <c r="N23" i="11"/>
  <c r="L23" i="10" s="1"/>
  <c r="N22" i="11"/>
  <c r="L22" i="10" s="1"/>
  <c r="N21" i="11"/>
  <c r="L21" i="10" s="1"/>
  <c r="N26" i="11"/>
  <c r="L26" i="10" s="1"/>
  <c r="N25" i="11"/>
  <c r="L25" i="10" s="1"/>
  <c r="N27" i="11"/>
  <c r="L27" i="10" s="1"/>
  <c r="J41" i="10"/>
  <c r="P41" i="10"/>
  <c r="V41" i="10"/>
  <c r="AB41" i="10"/>
  <c r="P13" i="11"/>
  <c r="P17" i="11"/>
  <c r="AB14" i="10"/>
  <c r="V14" i="11"/>
  <c r="AB18" i="10"/>
  <c r="V18" i="11"/>
  <c r="AB15" i="10"/>
  <c r="V15" i="11"/>
  <c r="T14" i="11"/>
  <c r="W14" i="10" s="1"/>
  <c r="T18" i="11"/>
  <c r="W18" i="10" s="1"/>
  <c r="AB12" i="10"/>
  <c r="V12" i="11"/>
  <c r="AB16" i="10"/>
  <c r="V16" i="11"/>
  <c r="AB11" i="10"/>
  <c r="V11" i="11"/>
  <c r="AB19" i="10"/>
  <c r="V19" i="11"/>
  <c r="AB13" i="10"/>
  <c r="V13" i="11"/>
  <c r="AB17" i="10"/>
  <c r="V17" i="11"/>
  <c r="P12" i="11"/>
  <c r="P16" i="11"/>
  <c r="T12" i="11"/>
  <c r="W12" i="10" s="1"/>
  <c r="T16" i="11"/>
  <c r="W16" i="10" s="1"/>
  <c r="T13" i="11"/>
  <c r="W13" i="10" s="1"/>
  <c r="T17" i="11"/>
  <c r="W17" i="10" s="1"/>
  <c r="V11" i="10"/>
  <c r="T11" i="11"/>
  <c r="T15" i="11"/>
  <c r="W15" i="10" s="1"/>
  <c r="T19" i="11"/>
  <c r="W19" i="10" s="1"/>
  <c r="R14" i="11"/>
  <c r="Q14" i="10" s="1"/>
  <c r="R15" i="11"/>
  <c r="Q15" i="10" s="1"/>
  <c r="P14" i="11"/>
  <c r="P18" i="11"/>
  <c r="R12" i="11"/>
  <c r="Q12" i="10" s="1"/>
  <c r="R16" i="11"/>
  <c r="Q16" i="10" s="1"/>
  <c r="R18" i="11"/>
  <c r="Q18" i="10" s="1"/>
  <c r="P11" i="10"/>
  <c r="R11" i="11"/>
  <c r="R19" i="11"/>
  <c r="Q19" i="10" s="1"/>
  <c r="R13" i="11"/>
  <c r="Q13" i="10" s="1"/>
  <c r="R17" i="11"/>
  <c r="Q17" i="10" s="1"/>
  <c r="P11" i="11"/>
  <c r="P15" i="11"/>
  <c r="P19" i="11"/>
  <c r="J19" i="10"/>
  <c r="J18" i="10"/>
  <c r="J17" i="10"/>
  <c r="J16" i="10"/>
  <c r="J15" i="10"/>
  <c r="J14" i="10"/>
  <c r="J13" i="10"/>
  <c r="J12" i="10"/>
  <c r="J11" i="10"/>
  <c r="A37" i="11" l="1"/>
  <c r="A52" i="2"/>
  <c r="A34" i="9"/>
  <c r="K29" i="10"/>
  <c r="K36" i="10"/>
  <c r="K37" i="10"/>
  <c r="K35" i="10"/>
  <c r="K33" i="10"/>
  <c r="K30" i="10"/>
  <c r="K31" i="10"/>
  <c r="K32" i="10"/>
  <c r="K34" i="10"/>
  <c r="K28" i="10"/>
  <c r="A36" i="2"/>
  <c r="A18" i="9"/>
  <c r="K23" i="10"/>
  <c r="K27" i="10"/>
  <c r="K20" i="10"/>
  <c r="K24" i="10"/>
  <c r="A21" i="11"/>
  <c r="K22" i="10"/>
  <c r="K21" i="10"/>
  <c r="K25" i="10"/>
  <c r="K26" i="10"/>
  <c r="G30" i="2"/>
  <c r="K30" i="2"/>
  <c r="O30" i="2"/>
  <c r="S30" i="2"/>
  <c r="E30" i="2"/>
  <c r="I30" i="2"/>
  <c r="M30" i="2"/>
  <c r="Q30" i="2"/>
  <c r="D30" i="2"/>
  <c r="J30" i="2"/>
  <c r="N30" i="2"/>
  <c r="R30" i="2"/>
  <c r="F30" i="2"/>
  <c r="P30" i="2"/>
  <c r="H30" i="2"/>
  <c r="L30" i="2"/>
  <c r="E31" i="2"/>
  <c r="J31" i="2"/>
  <c r="N31" i="2"/>
  <c r="R31" i="2"/>
  <c r="D31" i="2"/>
  <c r="H31" i="2"/>
  <c r="L31" i="2"/>
  <c r="P31" i="2"/>
  <c r="F31" i="2"/>
  <c r="I31" i="2"/>
  <c r="M31" i="2"/>
  <c r="Q31" i="2"/>
  <c r="S31" i="2"/>
  <c r="G31" i="2"/>
  <c r="K31" i="2"/>
  <c r="O31" i="2"/>
  <c r="A37" i="2" l="1"/>
  <c r="A19" i="9"/>
  <c r="A22" i="11"/>
  <c r="U31" i="2"/>
  <c r="U30" i="2"/>
  <c r="Y40" i="10"/>
  <c r="AA13" i="10"/>
  <c r="Z13" i="10"/>
  <c r="AA12" i="10"/>
  <c r="Z12" i="10"/>
  <c r="AA11" i="10"/>
  <c r="Z11" i="10"/>
  <c r="S40" i="10"/>
  <c r="U13" i="10"/>
  <c r="T13" i="10"/>
  <c r="U12" i="10"/>
  <c r="T12" i="10"/>
  <c r="U11" i="10"/>
  <c r="T11" i="10"/>
  <c r="A38" i="2" l="1"/>
  <c r="A20" i="9"/>
  <c r="A23" i="11"/>
  <c r="B26" i="2"/>
  <c r="B54" i="2" s="1"/>
  <c r="A39" i="2" l="1"/>
  <c r="A21" i="9"/>
  <c r="A24" i="11"/>
  <c r="M40" i="10"/>
  <c r="A40" i="2" l="1"/>
  <c r="A22" i="9"/>
  <c r="A25" i="11"/>
  <c r="C5" i="8"/>
  <c r="C9" i="15" s="1"/>
  <c r="E5" i="4"/>
  <c r="A41" i="2" l="1"/>
  <c r="A23" i="9"/>
  <c r="A26" i="11"/>
  <c r="L38" i="11"/>
  <c r="M19" i="11"/>
  <c r="M18" i="11"/>
  <c r="M17" i="11"/>
  <c r="M16" i="11"/>
  <c r="M15" i="11"/>
  <c r="M14" i="11"/>
  <c r="M13" i="11"/>
  <c r="M12" i="11"/>
  <c r="M11" i="11"/>
  <c r="A42" i="2" l="1"/>
  <c r="A24" i="9"/>
  <c r="A27" i="11"/>
  <c r="M38" i="11"/>
  <c r="K19" i="10"/>
  <c r="K15" i="10"/>
  <c r="K14" i="10"/>
  <c r="K17" i="10"/>
  <c r="K16" i="10"/>
  <c r="K18" i="10"/>
  <c r="N11" i="11"/>
  <c r="N15" i="11"/>
  <c r="N19" i="11"/>
  <c r="N13" i="11"/>
  <c r="N17" i="11"/>
  <c r="O38" i="11"/>
  <c r="N12" i="11"/>
  <c r="N14" i="11"/>
  <c r="N16" i="11"/>
  <c r="N18" i="11"/>
  <c r="F5" i="8"/>
  <c r="E11" i="10"/>
  <c r="D11" i="10"/>
  <c r="B11" i="10"/>
  <c r="AH11" i="10" l="1" a="1"/>
  <c r="AH11" i="10" s="1"/>
  <c r="AF11" i="10" a="1"/>
  <c r="AF11" i="10" s="1"/>
  <c r="AG11" i="10" a="1"/>
  <c r="AG11" i="10" s="1"/>
  <c r="J39" i="10"/>
  <c r="L15" i="10"/>
  <c r="L18" i="10"/>
  <c r="L17" i="10"/>
  <c r="L19" i="10"/>
  <c r="L16" i="10"/>
  <c r="L14" i="10"/>
  <c r="Q11" i="10"/>
  <c r="K12" i="10"/>
  <c r="K11" i="10"/>
  <c r="L13" i="10"/>
  <c r="L12" i="10"/>
  <c r="L11" i="10"/>
  <c r="K13" i="10"/>
  <c r="P39" i="10"/>
  <c r="V39" i="10"/>
  <c r="P38" i="11"/>
  <c r="B39" i="10"/>
  <c r="N38" i="11"/>
  <c r="AE11" i="10" l="1"/>
  <c r="Q39" i="10"/>
  <c r="Q40" i="10" s="1"/>
  <c r="R38" i="11"/>
  <c r="AC19" i="10"/>
  <c r="AC13" i="10"/>
  <c r="AC16" i="10"/>
  <c r="AC14" i="10"/>
  <c r="AC17" i="10"/>
  <c r="Q38" i="11"/>
  <c r="AC18" i="10"/>
  <c r="AC12" i="10"/>
  <c r="AC15" i="10"/>
  <c r="S38" i="11"/>
  <c r="L39" i="10"/>
  <c r="L40" i="10" s="1"/>
  <c r="R39" i="10"/>
  <c r="R40" i="10" s="1"/>
  <c r="X39" i="10"/>
  <c r="X40" i="10" s="1"/>
  <c r="AD39" i="10"/>
  <c r="AD40" i="10" s="1"/>
  <c r="Y39" i="10"/>
  <c r="S39" i="10"/>
  <c r="V40" i="10"/>
  <c r="P40" i="10"/>
  <c r="M39" i="10"/>
  <c r="K39" i="10"/>
  <c r="K40" i="10" s="1"/>
  <c r="J40" i="10"/>
  <c r="T38" i="11" l="1"/>
  <c r="W11" i="10"/>
  <c r="U38" i="11"/>
  <c r="AB39" i="10" s="1"/>
  <c r="AB40" i="10" s="1"/>
  <c r="I7" i="8"/>
  <c r="I6" i="8" s="1"/>
  <c r="W39" i="10" l="1"/>
  <c r="W40" i="10" s="1"/>
  <c r="V38" i="11"/>
  <c r="AC11" i="10"/>
  <c r="E5" i="1"/>
  <c r="B5" i="1"/>
  <c r="C10" i="15" s="1"/>
  <c r="B5" i="4"/>
  <c r="C11" i="15" s="1"/>
  <c r="AC39" i="10" l="1"/>
  <c r="AC40" i="10" s="1"/>
  <c r="I9" i="8" l="1"/>
  <c r="B5" i="6" l="1" a="1"/>
  <c r="B5" i="6" s="1"/>
  <c r="V30" i="2" l="1"/>
  <c r="O15" i="10" s="1"/>
  <c r="X30" i="2"/>
  <c r="AA15" i="10" s="1"/>
  <c r="W30" i="2"/>
  <c r="U15" i="10" s="1"/>
  <c r="I15" i="10"/>
  <c r="X31" i="2"/>
  <c r="AA16" i="10" s="1"/>
  <c r="V31" i="2"/>
  <c r="O16" i="10" s="1"/>
  <c r="I16" i="10"/>
  <c r="W31" i="2"/>
  <c r="U16" i="10" s="1"/>
  <c r="B6" i="6" a="1"/>
  <c r="B6" i="6" s="1"/>
  <c r="B7" i="6" l="1" a="1"/>
  <c r="B7" i="6" s="1"/>
  <c r="B8" i="6" l="1" a="1"/>
  <c r="B8" i="6" s="1"/>
  <c r="B9" i="6" s="1" a="1"/>
  <c r="B9" i="6" s="1"/>
  <c r="D3" i="1" a="1"/>
  <c r="D3" i="1" s="1"/>
  <c r="B10" i="6" l="1" a="1"/>
  <c r="B10" i="6" s="1"/>
  <c r="B11" i="6" s="1" a="1"/>
  <c r="B11" i="6" s="1"/>
  <c r="B12" i="6" s="1" a="1"/>
  <c r="B12" i="6" s="1"/>
  <c r="B13" i="6" s="1" a="1"/>
  <c r="B13" i="6" s="1"/>
  <c r="B14" i="6" l="1" a="1"/>
  <c r="B14" i="6" s="1"/>
  <c r="B15" i="6" s="1" a="1"/>
  <c r="B15" i="6" s="1"/>
  <c r="T31" i="2" l="1"/>
  <c r="T30" i="2"/>
  <c r="G40" i="10" l="1"/>
  <c r="G39" i="10" s="1"/>
  <c r="C40" i="11" l="1"/>
  <c r="B37" i="9"/>
  <c r="B40" i="10"/>
  <c r="B56" i="2"/>
  <c r="B3" i="9"/>
  <c r="G9" i="8"/>
  <c r="C8" i="9" s="1"/>
  <c r="B3" i="1"/>
  <c r="B3" i="7"/>
  <c r="B3" i="4"/>
  <c r="C3" i="8"/>
  <c r="F9" i="4"/>
  <c r="F9" i="1"/>
  <c r="J40" i="2" l="1"/>
  <c r="M40" i="2"/>
  <c r="N40" i="2"/>
  <c r="P40" i="2"/>
  <c r="K40" i="2"/>
  <c r="L40" i="2"/>
  <c r="E40" i="2"/>
  <c r="S40" i="2"/>
  <c r="F40" i="2"/>
  <c r="D40" i="2"/>
  <c r="R40" i="2"/>
  <c r="I40" i="2"/>
  <c r="H40" i="2"/>
  <c r="Q40" i="2"/>
  <c r="G40" i="2"/>
  <c r="O40" i="2"/>
  <c r="Q34" i="9"/>
  <c r="L34" i="9"/>
  <c r="G34" i="9"/>
  <c r="P34" i="9"/>
  <c r="I34" i="9"/>
  <c r="C34" i="9"/>
  <c r="O34" i="9"/>
  <c r="H34" i="9"/>
  <c r="M34" i="9"/>
  <c r="E34" i="9"/>
  <c r="K34" i="9"/>
  <c r="D34" i="9"/>
  <c r="R34" i="9"/>
  <c r="N34" i="9"/>
  <c r="F34" i="9"/>
  <c r="J34" i="9"/>
  <c r="N22" i="9"/>
  <c r="Q22" i="9"/>
  <c r="P22" i="9"/>
  <c r="D22" i="9"/>
  <c r="I22" i="9"/>
  <c r="E22" i="9"/>
  <c r="L22" i="9"/>
  <c r="C22" i="9"/>
  <c r="O22" i="9"/>
  <c r="H22" i="9"/>
  <c r="J22" i="9"/>
  <c r="K22" i="9"/>
  <c r="M22" i="9"/>
  <c r="F22" i="9"/>
  <c r="G22" i="9"/>
  <c r="R22" i="9"/>
  <c r="G21" i="9"/>
  <c r="M21" i="9"/>
  <c r="E21" i="9"/>
  <c r="R21" i="9"/>
  <c r="F21" i="9"/>
  <c r="O21" i="9"/>
  <c r="H21" i="9"/>
  <c r="Q21" i="9"/>
  <c r="I21" i="9"/>
  <c r="C21" i="9"/>
  <c r="J21" i="9"/>
  <c r="K21" i="9"/>
  <c r="L21" i="9"/>
  <c r="D21" i="9"/>
  <c r="N21" i="9"/>
  <c r="P21" i="9"/>
  <c r="O9" i="9"/>
  <c r="N9" i="9"/>
  <c r="I9" i="9"/>
  <c r="C9" i="9"/>
  <c r="K9" i="9"/>
  <c r="D9" i="9"/>
  <c r="R9" i="9"/>
  <c r="P9" i="9"/>
  <c r="H9" i="9"/>
  <c r="E9" i="9"/>
  <c r="L9" i="9"/>
  <c r="Q9" i="9"/>
  <c r="G9" i="9"/>
  <c r="M9" i="9"/>
  <c r="J9" i="9"/>
  <c r="F9" i="9"/>
  <c r="O16" i="9"/>
  <c r="R16" i="9"/>
  <c r="L16" i="9"/>
  <c r="M16" i="9"/>
  <c r="K16" i="9"/>
  <c r="D16" i="9"/>
  <c r="C16" i="9"/>
  <c r="F16" i="9"/>
  <c r="H16" i="9"/>
  <c r="I16" i="9"/>
  <c r="N16" i="9"/>
  <c r="E16" i="9"/>
  <c r="G16" i="9"/>
  <c r="J16" i="9"/>
  <c r="P16" i="9"/>
  <c r="Q16" i="9"/>
  <c r="O11" i="9"/>
  <c r="R11" i="9"/>
  <c r="L11" i="9"/>
  <c r="M11" i="9"/>
  <c r="C11" i="9"/>
  <c r="F11" i="9"/>
  <c r="H11" i="9"/>
  <c r="I11" i="9"/>
  <c r="N11" i="9"/>
  <c r="E11" i="9"/>
  <c r="Q11" i="9"/>
  <c r="K11" i="9"/>
  <c r="D11" i="9"/>
  <c r="G11" i="9"/>
  <c r="P11" i="9"/>
  <c r="J11" i="9"/>
  <c r="O13" i="9"/>
  <c r="R13" i="9"/>
  <c r="L13" i="9"/>
  <c r="M13" i="9"/>
  <c r="K13" i="9"/>
  <c r="D13" i="9"/>
  <c r="C13" i="9"/>
  <c r="F13" i="9"/>
  <c r="H13" i="9"/>
  <c r="I13" i="9"/>
  <c r="N13" i="9"/>
  <c r="E13" i="9"/>
  <c r="G13" i="9"/>
  <c r="J13" i="9"/>
  <c r="P13" i="9"/>
  <c r="Q13" i="9"/>
  <c r="O15" i="9"/>
  <c r="R15" i="9"/>
  <c r="L15" i="9"/>
  <c r="M15" i="9"/>
  <c r="C15" i="9"/>
  <c r="F15" i="9"/>
  <c r="H15" i="9"/>
  <c r="I15" i="9"/>
  <c r="N15" i="9"/>
  <c r="E15" i="9"/>
  <c r="Q15" i="9"/>
  <c r="K15" i="9"/>
  <c r="D15" i="9"/>
  <c r="G15" i="9"/>
  <c r="P15" i="9"/>
  <c r="J15" i="9"/>
  <c r="J8" i="9"/>
  <c r="H8" i="9"/>
  <c r="G8" i="9"/>
  <c r="I8" i="9"/>
  <c r="R8" i="9"/>
  <c r="O8" i="9"/>
  <c r="N8" i="9"/>
  <c r="K8" i="9"/>
  <c r="F8" i="9"/>
  <c r="D8" i="9"/>
  <c r="E8" i="9"/>
  <c r="P8" i="9"/>
  <c r="Q8" i="9"/>
  <c r="L8" i="9"/>
  <c r="M8" i="9"/>
  <c r="O12" i="9"/>
  <c r="R12" i="9"/>
  <c r="L12" i="9"/>
  <c r="M12" i="9"/>
  <c r="K12" i="9"/>
  <c r="D12" i="9"/>
  <c r="C12" i="9"/>
  <c r="F12" i="9"/>
  <c r="H12" i="9"/>
  <c r="I12" i="9"/>
  <c r="N12" i="9"/>
  <c r="E12" i="9"/>
  <c r="G12" i="9"/>
  <c r="J12" i="9"/>
  <c r="P12" i="9"/>
  <c r="Q12" i="9"/>
  <c r="O14" i="9"/>
  <c r="R14" i="9"/>
  <c r="L14" i="9"/>
  <c r="M14" i="9"/>
  <c r="K14" i="9"/>
  <c r="D14" i="9"/>
  <c r="C14" i="9"/>
  <c r="F14" i="9"/>
  <c r="H14" i="9"/>
  <c r="I14" i="9"/>
  <c r="N14" i="9"/>
  <c r="E14" i="9"/>
  <c r="G14" i="9"/>
  <c r="J14" i="9"/>
  <c r="P14" i="9"/>
  <c r="Q14" i="9"/>
  <c r="O10" i="9"/>
  <c r="R10" i="9"/>
  <c r="L10" i="9"/>
  <c r="M10" i="9"/>
  <c r="K10" i="9"/>
  <c r="D10" i="9"/>
  <c r="C10" i="9"/>
  <c r="F10" i="9"/>
  <c r="H10" i="9"/>
  <c r="I10" i="9"/>
  <c r="N10" i="9"/>
  <c r="E10" i="9"/>
  <c r="G10" i="9"/>
  <c r="J10" i="9"/>
  <c r="P10" i="9"/>
  <c r="Q10" i="9"/>
  <c r="J27" i="2"/>
  <c r="L27" i="2"/>
  <c r="M27" i="2"/>
  <c r="N27" i="2"/>
  <c r="P27" i="2"/>
  <c r="Q27" i="2"/>
  <c r="O27" i="2"/>
  <c r="R27" i="2"/>
  <c r="F27" i="2"/>
  <c r="D27" i="2"/>
  <c r="E27" i="2"/>
  <c r="I27" i="2"/>
  <c r="K27" i="2"/>
  <c r="S27" i="2"/>
  <c r="H27" i="2"/>
  <c r="G27" i="2"/>
  <c r="J16" i="2"/>
  <c r="O28" i="2"/>
  <c r="V19" i="2"/>
  <c r="C13" i="2"/>
  <c r="W6" i="2"/>
  <c r="X13" i="2"/>
  <c r="N29" i="2"/>
  <c r="D34" i="2"/>
  <c r="D32" i="2"/>
  <c r="G26" i="2"/>
  <c r="M8" i="2"/>
  <c r="J5" i="2"/>
  <c r="S32" i="2"/>
  <c r="J10" i="2"/>
  <c r="X10" i="2"/>
  <c r="U8" i="2"/>
  <c r="U19" i="2"/>
  <c r="X12" i="2"/>
  <c r="U14" i="2"/>
  <c r="D9" i="2"/>
  <c r="E9" i="2" s="1"/>
  <c r="D7" i="2"/>
  <c r="E7" i="2" s="1"/>
  <c r="W16" i="2"/>
  <c r="U7" i="2"/>
  <c r="X7" i="2"/>
  <c r="F19" i="2"/>
  <c r="V21" i="2"/>
  <c r="V17" i="2"/>
  <c r="X9" i="2"/>
  <c r="F14" i="2"/>
  <c r="D19" i="2"/>
  <c r="E19" i="2" s="1"/>
  <c r="V7" i="2"/>
  <c r="W20" i="2"/>
  <c r="U15" i="2"/>
  <c r="D18" i="2"/>
  <c r="E18" i="2" s="1"/>
  <c r="U9" i="2"/>
  <c r="D17" i="2"/>
  <c r="E17" i="2" s="1"/>
  <c r="V10" i="2"/>
  <c r="F9" i="2"/>
  <c r="O26" i="2"/>
  <c r="C9" i="2"/>
  <c r="C16" i="2"/>
  <c r="S26" i="2"/>
  <c r="V6" i="2"/>
  <c r="X21" i="2"/>
  <c r="X11" i="2"/>
  <c r="U13" i="2"/>
  <c r="F20" i="2"/>
  <c r="F11" i="2"/>
  <c r="U21" i="2"/>
  <c r="X15" i="2"/>
  <c r="W13" i="2"/>
  <c r="F10" i="2"/>
  <c r="W10" i="2"/>
  <c r="X18" i="2"/>
  <c r="W7" i="2"/>
  <c r="D12" i="2"/>
  <c r="E12" i="2" s="1"/>
  <c r="V11" i="2"/>
  <c r="U17" i="2"/>
  <c r="U20" i="2"/>
  <c r="F17" i="2"/>
  <c r="F7" i="2"/>
  <c r="D8" i="2"/>
  <c r="E8" i="2" s="1"/>
  <c r="F12" i="2"/>
  <c r="V12" i="2"/>
  <c r="U16" i="2"/>
  <c r="X6" i="2"/>
  <c r="F26" i="2"/>
  <c r="I26" i="2"/>
  <c r="C18" i="2"/>
  <c r="C14" i="2"/>
  <c r="C20" i="2"/>
  <c r="E26" i="2"/>
  <c r="Q26" i="2"/>
  <c r="C7" i="2"/>
  <c r="R26" i="2"/>
  <c r="W21" i="2"/>
  <c r="X20" i="2"/>
  <c r="F15" i="2"/>
  <c r="W12" i="2"/>
  <c r="D16" i="2"/>
  <c r="E16" i="2" s="1"/>
  <c r="U18" i="2"/>
  <c r="D11" i="2"/>
  <c r="E11" i="2" s="1"/>
  <c r="V8" i="2"/>
  <c r="W18" i="2"/>
  <c r="U10" i="2"/>
  <c r="D15" i="2"/>
  <c r="E15" i="2" s="1"/>
  <c r="C10" i="2"/>
  <c r="C17" i="2"/>
  <c r="C8" i="2"/>
  <c r="M26" i="2"/>
  <c r="C12" i="2"/>
  <c r="D26" i="2"/>
  <c r="F18" i="2"/>
  <c r="W17" i="2"/>
  <c r="F16" i="2"/>
  <c r="V13" i="2"/>
  <c r="V9" i="2"/>
  <c r="C15" i="2"/>
  <c r="W9" i="2"/>
  <c r="X14" i="2"/>
  <c r="D20" i="2"/>
  <c r="E20" i="2" s="1"/>
  <c r="V16" i="2"/>
  <c r="F6" i="2"/>
  <c r="X8" i="2"/>
  <c r="F8" i="2"/>
  <c r="X17" i="2"/>
  <c r="F13" i="2"/>
  <c r="W11" i="2"/>
  <c r="W8" i="2"/>
  <c r="C11" i="2"/>
  <c r="K26" i="2"/>
  <c r="C19" i="2"/>
  <c r="F5" i="2"/>
  <c r="C5" i="2"/>
  <c r="U12" i="2"/>
  <c r="V20" i="2"/>
  <c r="D10" i="2"/>
  <c r="E10" i="2" s="1"/>
  <c r="W19" i="2"/>
  <c r="D13" i="2"/>
  <c r="E13" i="2" s="1"/>
  <c r="D14" i="2"/>
  <c r="E14" i="2" s="1"/>
  <c r="U6" i="2"/>
  <c r="N26" i="2"/>
  <c r="G9" i="2"/>
  <c r="M9" i="2"/>
  <c r="V18" i="2"/>
  <c r="X16" i="2"/>
  <c r="M34" i="2"/>
  <c r="I29" i="2"/>
  <c r="J29" i="2"/>
  <c r="O29" i="2"/>
  <c r="F29" i="2"/>
  <c r="P29" i="2"/>
  <c r="K29" i="2"/>
  <c r="M29" i="2"/>
  <c r="R29" i="2"/>
  <c r="Q29" i="2"/>
  <c r="G29" i="2"/>
  <c r="E29" i="2"/>
  <c r="H29" i="2"/>
  <c r="L29" i="2"/>
  <c r="D29" i="2"/>
  <c r="S29" i="2"/>
  <c r="G5" i="2"/>
  <c r="L26" i="2"/>
  <c r="J26" i="2"/>
  <c r="C6" i="2"/>
  <c r="P26" i="2"/>
  <c r="J6" i="2"/>
  <c r="L17" i="2"/>
  <c r="U11" i="2"/>
  <c r="V15" i="2"/>
  <c r="D6" i="2"/>
  <c r="E6" i="2" s="1"/>
  <c r="K6" i="2"/>
  <c r="H7" i="2"/>
  <c r="I7" i="2" s="1"/>
  <c r="M14" i="2"/>
  <c r="L19" i="2"/>
  <c r="K15" i="2"/>
  <c r="M20" i="2"/>
  <c r="K17" i="2"/>
  <c r="H12" i="2"/>
  <c r="I12" i="2" s="1"/>
  <c r="L18" i="2"/>
  <c r="H14" i="2"/>
  <c r="I14" i="2" s="1"/>
  <c r="J19" i="2"/>
  <c r="K19" i="2"/>
  <c r="M15" i="2"/>
  <c r="L15" i="2"/>
  <c r="L11" i="2"/>
  <c r="K5" i="2"/>
  <c r="G11" i="2"/>
  <c r="G12" i="2"/>
  <c r="G7" i="2"/>
  <c r="G10" i="2"/>
  <c r="K14" i="2"/>
  <c r="H10" i="2"/>
  <c r="I10" i="2" s="1"/>
  <c r="K12" i="2"/>
  <c r="K10" i="2"/>
  <c r="L16" i="2"/>
  <c r="L12" i="2"/>
  <c r="H18" i="2"/>
  <c r="I18" i="2" s="1"/>
  <c r="H17" i="2"/>
  <c r="I17" i="2" s="1"/>
  <c r="L20" i="2"/>
  <c r="M6" i="2"/>
  <c r="H11" i="2"/>
  <c r="I11" i="2" s="1"/>
  <c r="L14" i="2"/>
  <c r="M17" i="2"/>
  <c r="K8" i="2"/>
  <c r="M13" i="2"/>
  <c r="H13" i="2"/>
  <c r="I13" i="2" s="1"/>
  <c r="H20" i="2"/>
  <c r="I20" i="2" s="1"/>
  <c r="K9" i="2"/>
  <c r="G17" i="2"/>
  <c r="K16" i="2"/>
  <c r="J15" i="2"/>
  <c r="L13" i="2"/>
  <c r="L8" i="2"/>
  <c r="J20" i="2"/>
  <c r="K11" i="2"/>
  <c r="J13" i="2"/>
  <c r="J14" i="2"/>
  <c r="H15" i="2"/>
  <c r="I15" i="2" s="1"/>
  <c r="M12" i="2"/>
  <c r="H9" i="2"/>
  <c r="I9" i="2" s="1"/>
  <c r="G19" i="2"/>
  <c r="G15" i="2"/>
  <c r="H5" i="2"/>
  <c r="I5" i="2" s="1"/>
  <c r="G18" i="2"/>
  <c r="J17" i="2"/>
  <c r="J18" i="2"/>
  <c r="H6" i="2"/>
  <c r="I6" i="2" s="1"/>
  <c r="M18" i="2"/>
  <c r="K13" i="2"/>
  <c r="M10" i="2"/>
  <c r="M5" i="2"/>
  <c r="J12" i="2"/>
  <c r="H8" i="2"/>
  <c r="I8" i="2" s="1"/>
  <c r="H16" i="2"/>
  <c r="I16" i="2" s="1"/>
  <c r="J9" i="2"/>
  <c r="L9" i="2"/>
  <c r="K7" i="2"/>
  <c r="M16" i="2"/>
  <c r="L6" i="2"/>
  <c r="M7" i="2"/>
  <c r="K20" i="2"/>
  <c r="K18" i="2"/>
  <c r="L10" i="2"/>
  <c r="G6" i="2"/>
  <c r="G16" i="2"/>
  <c r="G20" i="2"/>
  <c r="G8" i="2"/>
  <c r="J11" i="2"/>
  <c r="J7" i="2"/>
  <c r="J8" i="2"/>
  <c r="L7" i="2"/>
  <c r="G13" i="2"/>
  <c r="G14" i="2"/>
  <c r="Q33" i="2"/>
  <c r="F33" i="2"/>
  <c r="G33" i="2"/>
  <c r="H33" i="2"/>
  <c r="R33" i="2"/>
  <c r="S33" i="2"/>
  <c r="K33" i="2"/>
  <c r="P33" i="2"/>
  <c r="N33" i="2"/>
  <c r="M33" i="2"/>
  <c r="E33" i="2"/>
  <c r="O33" i="2"/>
  <c r="D33" i="2"/>
  <c r="J33" i="2"/>
  <c r="I33" i="2"/>
  <c r="H26" i="2"/>
  <c r="D5" i="2"/>
  <c r="E5" i="2" s="1"/>
  <c r="S28" i="2"/>
  <c r="H28" i="2"/>
  <c r="G28" i="2"/>
  <c r="N28" i="2"/>
  <c r="D28" i="2"/>
  <c r="L28" i="2"/>
  <c r="M28" i="2"/>
  <c r="F28" i="2"/>
  <c r="Q28" i="2"/>
  <c r="E28" i="2"/>
  <c r="P28" i="2"/>
  <c r="J28" i="2"/>
  <c r="I28" i="2"/>
  <c r="R28" i="2"/>
  <c r="K28" i="2"/>
  <c r="W15" i="2"/>
  <c r="L5" i="2"/>
  <c r="J32" i="2"/>
  <c r="L32" i="2"/>
  <c r="Q32" i="2"/>
  <c r="R32" i="2"/>
  <c r="N32" i="2"/>
  <c r="G32" i="2"/>
  <c r="P32" i="2"/>
  <c r="K32" i="2"/>
  <c r="H32" i="2"/>
  <c r="E32" i="2"/>
  <c r="F32" i="2"/>
  <c r="M32" i="2"/>
  <c r="I32" i="2"/>
  <c r="O32" i="2"/>
  <c r="F34" i="2"/>
  <c r="R34" i="2"/>
  <c r="H34" i="2"/>
  <c r="Q34" i="2"/>
  <c r="P34" i="2"/>
  <c r="L34" i="2"/>
  <c r="E34" i="2"/>
  <c r="I34" i="2"/>
  <c r="J34" i="2"/>
  <c r="O34" i="2"/>
  <c r="N34" i="2"/>
  <c r="S34" i="2"/>
  <c r="K34" i="2"/>
  <c r="G34" i="2"/>
  <c r="M11" i="2"/>
  <c r="H19" i="2"/>
  <c r="I19" i="2" s="1"/>
  <c r="M19" i="2"/>
  <c r="W14" i="2"/>
  <c r="X19" i="2"/>
  <c r="V14" i="2"/>
  <c r="L33" i="2"/>
  <c r="S34" i="9" l="1"/>
  <c r="T34" i="9"/>
  <c r="H37" i="10" s="1"/>
  <c r="U34" i="9"/>
  <c r="N37" i="10" s="1"/>
  <c r="V34" i="9"/>
  <c r="T37" i="10" s="1"/>
  <c r="W34" i="9"/>
  <c r="Z37" i="10" s="1"/>
  <c r="T40" i="2"/>
  <c r="X40" i="2"/>
  <c r="AA25" i="10" s="1"/>
  <c r="U40" i="2"/>
  <c r="I25" i="10" s="1"/>
  <c r="W40" i="2"/>
  <c r="U25" i="10" s="1"/>
  <c r="V40" i="2"/>
  <c r="O25" i="10" s="1"/>
  <c r="S22" i="9"/>
  <c r="T22" i="9"/>
  <c r="H25" i="10" s="1"/>
  <c r="U22" i="9"/>
  <c r="N25" i="10" s="1"/>
  <c r="V22" i="9"/>
  <c r="T25" i="10" s="1"/>
  <c r="W22" i="9"/>
  <c r="Z25" i="10" s="1"/>
  <c r="S21" i="9"/>
  <c r="T21" i="9"/>
  <c r="H24" i="10" s="1"/>
  <c r="U21" i="9"/>
  <c r="N24" i="10" s="1"/>
  <c r="V21" i="9"/>
  <c r="T24" i="10" s="1"/>
  <c r="W21" i="9"/>
  <c r="Z24" i="10" s="1"/>
  <c r="P55" i="2"/>
  <c r="D55" i="2"/>
  <c r="E55" i="2"/>
  <c r="I55" i="2"/>
  <c r="G55" i="2"/>
  <c r="H55" i="2"/>
  <c r="Q55" i="2"/>
  <c r="J55" i="2"/>
  <c r="K55" i="2"/>
  <c r="R55" i="2"/>
  <c r="F55" i="2"/>
  <c r="O55" i="2"/>
  <c r="L55" i="2"/>
  <c r="N55" i="2"/>
  <c r="M55" i="2"/>
  <c r="S55" i="2"/>
  <c r="U27" i="2"/>
  <c r="I12" i="10" s="1"/>
  <c r="W27" i="2"/>
  <c r="V27" i="2"/>
  <c r="O12" i="10" s="1"/>
  <c r="X27" i="2"/>
  <c r="T27" i="2"/>
  <c r="U32" i="2"/>
  <c r="I17" i="10" s="1"/>
  <c r="U34" i="2"/>
  <c r="I19" i="10" s="1"/>
  <c r="Q16" i="2"/>
  <c r="W22" i="2"/>
  <c r="S13" i="9"/>
  <c r="V32" i="2"/>
  <c r="O17" i="10" s="1"/>
  <c r="W9" i="9"/>
  <c r="G54" i="2"/>
  <c r="Q6" i="2"/>
  <c r="Q17" i="2"/>
  <c r="V12" i="9"/>
  <c r="T15" i="10" s="1"/>
  <c r="V13" i="9"/>
  <c r="T16" i="10" s="1"/>
  <c r="T32" i="2"/>
  <c r="W34" i="2"/>
  <c r="U19" i="10" s="1"/>
  <c r="J21" i="2"/>
  <c r="F21" i="2"/>
  <c r="I21" i="2"/>
  <c r="E21" i="2"/>
  <c r="E54" i="2"/>
  <c r="S11" i="9"/>
  <c r="U11" i="9"/>
  <c r="N14" i="10" s="1"/>
  <c r="W11" i="9"/>
  <c r="Z14" i="10" s="1"/>
  <c r="V11" i="9"/>
  <c r="T14" i="10" s="1"/>
  <c r="T11" i="9"/>
  <c r="H14" i="10" s="1"/>
  <c r="Q12" i="2"/>
  <c r="D36" i="9"/>
  <c r="I36" i="9"/>
  <c r="M36" i="9"/>
  <c r="U12" i="9"/>
  <c r="N15" i="10" s="1"/>
  <c r="X29" i="2"/>
  <c r="AA14" i="10" s="1"/>
  <c r="T29" i="2"/>
  <c r="W29" i="2"/>
  <c r="U14" i="10" s="1"/>
  <c r="V29" i="2"/>
  <c r="O14" i="10" s="1"/>
  <c r="U29" i="2"/>
  <c r="I14" i="10" s="1"/>
  <c r="Q9" i="2"/>
  <c r="N11" i="2"/>
  <c r="N12" i="2"/>
  <c r="R54" i="2"/>
  <c r="F54" i="2"/>
  <c r="V22" i="2"/>
  <c r="U9" i="9"/>
  <c r="N12" i="10" s="1"/>
  <c r="W13" i="9"/>
  <c r="Z16" i="10" s="1"/>
  <c r="V34" i="2"/>
  <c r="O19" i="10" s="1"/>
  <c r="W12" i="9"/>
  <c r="Z15" i="10" s="1"/>
  <c r="S14" i="9"/>
  <c r="V14" i="9"/>
  <c r="T17" i="10" s="1"/>
  <c r="U14" i="9"/>
  <c r="N17" i="10" s="1"/>
  <c r="W14" i="9"/>
  <c r="Z17" i="10" s="1"/>
  <c r="T14" i="9"/>
  <c r="H17" i="10" s="1"/>
  <c r="T16" i="9"/>
  <c r="H19" i="10" s="1"/>
  <c r="W16" i="9"/>
  <c r="Z19" i="10" s="1"/>
  <c r="S16" i="9"/>
  <c r="U16" i="9"/>
  <c r="N19" i="10" s="1"/>
  <c r="V16" i="9"/>
  <c r="T19" i="10" s="1"/>
  <c r="N13" i="2"/>
  <c r="H54" i="2"/>
  <c r="T33" i="2"/>
  <c r="V33" i="2"/>
  <c r="O18" i="10" s="1"/>
  <c r="X33" i="2"/>
  <c r="AA18" i="10" s="1"/>
  <c r="W33" i="2"/>
  <c r="U18" i="10" s="1"/>
  <c r="U33" i="2"/>
  <c r="I18" i="10" s="1"/>
  <c r="Q14" i="2"/>
  <c r="Q20" i="2"/>
  <c r="Q15" i="2"/>
  <c r="Q11" i="2"/>
  <c r="S8" i="9"/>
  <c r="W8" i="9"/>
  <c r="C36" i="9"/>
  <c r="V8" i="9"/>
  <c r="T8" i="9"/>
  <c r="U8" i="9"/>
  <c r="P36" i="9"/>
  <c r="J36" i="9"/>
  <c r="Q36" i="9"/>
  <c r="P54" i="2"/>
  <c r="T12" i="9"/>
  <c r="H15" i="10" s="1"/>
  <c r="G21" i="2"/>
  <c r="Q5" i="2"/>
  <c r="S15" i="9"/>
  <c r="W15" i="9"/>
  <c r="Z18" i="10" s="1"/>
  <c r="U15" i="9"/>
  <c r="N18" i="10" s="1"/>
  <c r="V15" i="9"/>
  <c r="T18" i="10" s="1"/>
  <c r="T15" i="9"/>
  <c r="H18" i="10" s="1"/>
  <c r="N54" i="2"/>
  <c r="M54" i="2"/>
  <c r="N17" i="2"/>
  <c r="N7" i="2"/>
  <c r="N14" i="2"/>
  <c r="X22" i="2"/>
  <c r="S54" i="2"/>
  <c r="T55" i="2"/>
  <c r="S9" i="9"/>
  <c r="U13" i="9"/>
  <c r="N16" i="10" s="1"/>
  <c r="X32" i="2"/>
  <c r="AA17" i="10" s="1"/>
  <c r="W32" i="2"/>
  <c r="U17" i="10" s="1"/>
  <c r="X34" i="2"/>
  <c r="AA19" i="10" s="1"/>
  <c r="X28" i="2"/>
  <c r="U28" i="2"/>
  <c r="I13" i="10" s="1"/>
  <c r="T28" i="2"/>
  <c r="V28" i="2"/>
  <c r="O13" i="10" s="1"/>
  <c r="W28" i="2"/>
  <c r="Q18" i="2"/>
  <c r="Q7" i="2"/>
  <c r="K36" i="9"/>
  <c r="F36" i="9"/>
  <c r="O36" i="9"/>
  <c r="H36" i="9"/>
  <c r="K54" i="2"/>
  <c r="N8" i="2"/>
  <c r="I54" i="2"/>
  <c r="N9" i="2"/>
  <c r="T9" i="9"/>
  <c r="H12" i="10" s="1"/>
  <c r="Q8" i="2"/>
  <c r="M21" i="2"/>
  <c r="H21" i="2"/>
  <c r="N36" i="9"/>
  <c r="S10" i="9"/>
  <c r="W10" i="9"/>
  <c r="V10" i="9"/>
  <c r="T10" i="9"/>
  <c r="H13" i="10" s="1"/>
  <c r="U10" i="9"/>
  <c r="N13" i="10" s="1"/>
  <c r="L54" i="2"/>
  <c r="N19" i="2"/>
  <c r="N15" i="2"/>
  <c r="N20" i="2"/>
  <c r="O54" i="2"/>
  <c r="L21" i="2"/>
  <c r="D21" i="2"/>
  <c r="Q13" i="2"/>
  <c r="Q19" i="2"/>
  <c r="Q10" i="2"/>
  <c r="K21" i="2"/>
  <c r="G36" i="9"/>
  <c r="R36" i="9"/>
  <c r="L36" i="9"/>
  <c r="E36" i="9"/>
  <c r="N6" i="2"/>
  <c r="J54" i="2"/>
  <c r="S12" i="9"/>
  <c r="U22" i="2"/>
  <c r="N5" i="2"/>
  <c r="C21" i="2"/>
  <c r="X26" i="2"/>
  <c r="U26" i="2"/>
  <c r="D54" i="2"/>
  <c r="W26" i="2"/>
  <c r="T26" i="2"/>
  <c r="V26" i="2"/>
  <c r="N10" i="2"/>
  <c r="Q54" i="2"/>
  <c r="N18" i="2"/>
  <c r="N16" i="2"/>
  <c r="V9" i="9"/>
  <c r="T13" i="9"/>
  <c r="H16" i="10" s="1"/>
  <c r="T34" i="2"/>
  <c r="N21" i="2" l="1"/>
  <c r="U54" i="2"/>
  <c r="W56" i="2"/>
  <c r="W57" i="2" s="1"/>
  <c r="W55" i="2"/>
  <c r="O11" i="10"/>
  <c r="O39" i="10" s="1"/>
  <c r="O40" i="10" s="1"/>
  <c r="W37" i="9"/>
  <c r="W38" i="9" s="1"/>
  <c r="AA39" i="10"/>
  <c r="AA40" i="10" s="1"/>
  <c r="T39" i="10"/>
  <c r="T40" i="10" s="1"/>
  <c r="U55" i="2"/>
  <c r="U56" i="2"/>
  <c r="U57" i="2" s="1"/>
  <c r="T54" i="2"/>
  <c r="Q21" i="2"/>
  <c r="T37" i="9"/>
  <c r="T38" i="9" s="1"/>
  <c r="H11" i="10"/>
  <c r="Z39" i="10"/>
  <c r="Z40" i="10" s="1"/>
  <c r="S36" i="9"/>
  <c r="T36" i="9" s="1"/>
  <c r="V55" i="2"/>
  <c r="I11" i="10"/>
  <c r="I39" i="10" s="1"/>
  <c r="I40" i="10" s="1"/>
  <c r="V56" i="2"/>
  <c r="V57" i="2" s="1"/>
  <c r="U37" i="9"/>
  <c r="U38" i="9" s="1"/>
  <c r="N11" i="10"/>
  <c r="N39" i="10" s="1"/>
  <c r="N40" i="10" s="1"/>
  <c r="X55" i="2"/>
  <c r="X56" i="2"/>
  <c r="X57" i="2" s="1"/>
  <c r="V37" i="9"/>
  <c r="V38" i="9" s="1"/>
  <c r="U39" i="10"/>
  <c r="U40" i="10" s="1"/>
  <c r="H39" i="10" l="1"/>
  <c r="H40" i="10" s="1"/>
</calcChain>
</file>

<file path=xl/comments1.xml><?xml version="1.0" encoding="utf-8"?>
<comments xmlns="http://schemas.openxmlformats.org/spreadsheetml/2006/main">
  <authors>
    <author>Guthrie</author>
  </authors>
  <commentList>
    <comment ref="L9" authorId="0">
      <text>
        <r>
          <rPr>
            <b/>
            <sz val="9"/>
            <color indexed="81"/>
            <rFont val="Tahoma"/>
            <family val="2"/>
          </rPr>
          <t>Guthrie:</t>
        </r>
        <r>
          <rPr>
            <sz val="9"/>
            <color indexed="81"/>
            <rFont val="Tahoma"/>
            <family val="2"/>
          </rPr>
          <t xml:space="preserve">
Only if all graded!</t>
        </r>
      </text>
    </comment>
    <comment ref="R9" authorId="0">
      <text>
        <r>
          <rPr>
            <b/>
            <sz val="9"/>
            <color indexed="81"/>
            <rFont val="Tahoma"/>
            <family val="2"/>
          </rPr>
          <t>Guthrie:</t>
        </r>
        <r>
          <rPr>
            <sz val="9"/>
            <color indexed="81"/>
            <rFont val="Tahoma"/>
            <family val="2"/>
          </rPr>
          <t xml:space="preserve">
Only if all graded!</t>
        </r>
      </text>
    </comment>
    <comment ref="X9" authorId="0">
      <text>
        <r>
          <rPr>
            <b/>
            <sz val="9"/>
            <color indexed="81"/>
            <rFont val="Tahoma"/>
            <family val="2"/>
          </rPr>
          <t>Guthrie:</t>
        </r>
        <r>
          <rPr>
            <sz val="9"/>
            <color indexed="81"/>
            <rFont val="Tahoma"/>
            <family val="2"/>
          </rPr>
          <t xml:space="preserve">
Only if all graded!</t>
        </r>
      </text>
    </comment>
    <comment ref="AD9" authorId="0">
      <text>
        <r>
          <rPr>
            <b/>
            <sz val="9"/>
            <color indexed="81"/>
            <rFont val="Tahoma"/>
            <family val="2"/>
          </rPr>
          <t>Guthrie:</t>
        </r>
        <r>
          <rPr>
            <sz val="9"/>
            <color indexed="81"/>
            <rFont val="Tahoma"/>
            <family val="2"/>
          </rPr>
          <t xml:space="preserve">
Only if all graded!</t>
        </r>
      </text>
    </comment>
  </commentList>
</comments>
</file>

<file path=xl/comments2.xml><?xml version="1.0" encoding="utf-8"?>
<comments xmlns="http://schemas.openxmlformats.org/spreadsheetml/2006/main">
  <authors>
    <author>Guthrie</author>
  </authors>
  <commentList>
    <comment ref="E4" authorId="0">
      <text>
        <r>
          <rPr>
            <b/>
            <sz val="9"/>
            <color indexed="81"/>
            <rFont val="Tahoma"/>
            <family val="2"/>
          </rPr>
          <t>Guthrie:</t>
        </r>
        <r>
          <rPr>
            <sz val="9"/>
            <color indexed="81"/>
            <rFont val="Tahoma"/>
            <family val="2"/>
          </rPr>
          <t xml:space="preserve">
Includes temporary Fix for respond totals</t>
        </r>
      </text>
    </comment>
    <comment ref="G4" authorId="0">
      <text>
        <r>
          <rPr>
            <b/>
            <sz val="9"/>
            <color indexed="81"/>
            <rFont val="Tahoma"/>
            <family val="2"/>
          </rPr>
          <t>Guthrie:</t>
        </r>
        <r>
          <rPr>
            <sz val="9"/>
            <color indexed="81"/>
            <rFont val="Tahoma"/>
            <family val="2"/>
          </rPr>
          <t xml:space="preserve">
New Thread &amp; New Topic</t>
        </r>
      </text>
    </comment>
    <comment ref="I4" authorId="0">
      <text>
        <r>
          <rPr>
            <b/>
            <sz val="9"/>
            <color indexed="81"/>
            <rFont val="Tahoma"/>
            <family val="2"/>
          </rPr>
          <t>Guthrie:</t>
        </r>
        <r>
          <rPr>
            <sz val="9"/>
            <color indexed="81"/>
            <rFont val="Tahoma"/>
            <family val="2"/>
          </rPr>
          <t xml:space="preserve">
Includes temporary Fix for respond totals</t>
        </r>
      </text>
    </comment>
    <comment ref="X5" authorId="0">
      <text>
        <r>
          <rPr>
            <b/>
            <sz val="9"/>
            <color indexed="81"/>
            <rFont val="Tahoma"/>
            <family val="2"/>
          </rPr>
          <t>Guthrie:</t>
        </r>
        <r>
          <rPr>
            <sz val="9"/>
            <color indexed="81"/>
            <rFont val="Tahoma"/>
            <family val="2"/>
          </rPr>
          <t xml:space="preserve">
Caution on the JIRA totals bug here also!</t>
        </r>
      </text>
    </comment>
    <comment ref="E23" authorId="0">
      <text>
        <r>
          <rPr>
            <b/>
            <sz val="9"/>
            <color indexed="81"/>
            <rFont val="Tahoma"/>
            <family val="2"/>
          </rPr>
          <t>Guthrie:</t>
        </r>
        <r>
          <rPr>
            <sz val="9"/>
            <color indexed="81"/>
            <rFont val="Tahoma"/>
            <family val="2"/>
          </rPr>
          <t xml:space="preserve">
With temporary correction; JIRA msgcntr-723</t>
        </r>
      </text>
    </comment>
  </commentList>
</comments>
</file>

<file path=xl/comments3.xml><?xml version="1.0" encoding="utf-8"?>
<comments xmlns="http://schemas.openxmlformats.org/spreadsheetml/2006/main">
  <authors>
    <author>Guthrie</author>
  </authors>
  <commentList>
    <comment ref="M10" authorId="0">
      <text>
        <r>
          <rPr>
            <b/>
            <sz val="9"/>
            <color indexed="81"/>
            <rFont val="Tahoma"/>
            <family val="2"/>
          </rPr>
          <t>Guthrie:</t>
        </r>
        <r>
          <rPr>
            <sz val="9"/>
            <color indexed="81"/>
            <rFont val="Tahoma"/>
            <family val="2"/>
          </rPr>
          <t xml:space="preserve">
Only if all graded!</t>
        </r>
      </text>
    </comment>
  </commentList>
</comments>
</file>

<file path=xl/sharedStrings.xml><?xml version="1.0" encoding="utf-8"?>
<sst xmlns="http://schemas.openxmlformats.org/spreadsheetml/2006/main" count="16189" uniqueCount="433">
  <si>
    <t>User ID</t>
  </si>
  <si>
    <t>Name</t>
  </si>
  <si>
    <t>Event</t>
  </si>
  <si>
    <t>Date</t>
  </si>
  <si>
    <t>Total</t>
  </si>
  <si>
    <t>New thread</t>
  </si>
  <si>
    <t>Read thread</t>
  </si>
  <si>
    <t>Response thread</t>
  </si>
  <si>
    <t>ijaz.ahmad@cs.mum.edu</t>
  </si>
  <si>
    <t>Week</t>
  </si>
  <si>
    <t>Course Start:</t>
  </si>
  <si>
    <t>Usage:</t>
  </si>
  <si>
    <t>From Sakai, export/events/forum - students - all of course</t>
  </si>
  <si>
    <t>open that .csv, copy the data into this spreadsheet Data page</t>
  </si>
  <si>
    <t>j.ariza@live.com</t>
  </si>
  <si>
    <t>Count -Students</t>
  </si>
  <si>
    <t>Count -Faculty</t>
  </si>
  <si>
    <t>Notes:</t>
  </si>
  <si>
    <t>grg</t>
  </si>
  <si>
    <t>Improve formulae</t>
  </si>
  <si>
    <t>add faculty stats for forum.</t>
  </si>
  <si>
    <t>Forum Usage Report</t>
  </si>
  <si>
    <t>fix round/trunc error.</t>
  </si>
  <si>
    <t>unique names =</t>
  </si>
  <si>
    <t>same for a report of faculty forum usage.</t>
  </si>
  <si>
    <t>Summary by Student::</t>
  </si>
  <si>
    <t>guthrie@mum.edu</t>
  </si>
  <si>
    <t>Reports:</t>
  </si>
  <si>
    <t>Forum events per student by week.</t>
  </si>
  <si>
    <t>Email Address</t>
  </si>
  <si>
    <t>Role</t>
  </si>
  <si>
    <t>feruz.abdella@gmail.com</t>
  </si>
  <si>
    <t>Student</t>
  </si>
  <si>
    <t>abdallah.abuhussein@gmail.com</t>
  </si>
  <si>
    <t>ramzi.alkatout@gmail.com</t>
  </si>
  <si>
    <t>kassahunh@gmail.com</t>
  </si>
  <si>
    <t>imbajwa@gmail.com</t>
  </si>
  <si>
    <t>zhongcai126@gmail.com</t>
  </si>
  <si>
    <t>yosephdana@gmail.com</t>
  </si>
  <si>
    <t>Guthrie, Gregory</t>
  </si>
  <si>
    <t>Instructor</t>
  </si>
  <si>
    <t>Nayak, Sushant</t>
  </si>
  <si>
    <t>sushant.nayak@live.com</t>
  </si>
  <si>
    <t>Palma, Susan</t>
  </si>
  <si>
    <t>csdedirector@mum.edu</t>
  </si>
  <si>
    <t>Saine, Biran</t>
  </si>
  <si>
    <t>csde@mum.edu</t>
  </si>
  <si>
    <t>Roster</t>
  </si>
  <si>
    <t>Data Report:</t>
  </si>
  <si>
    <t>Use Roster for names of students, not event list</t>
  </si>
  <si>
    <t>Paste in copy of Roster data</t>
  </si>
  <si>
    <t>Minor format fixups</t>
  </si>
  <si>
    <t>Count:</t>
  </si>
  <si>
    <t>Minor updates</t>
  </si>
  <si>
    <t>Data update</t>
  </si>
  <si>
    <t>Active:</t>
  </si>
  <si>
    <t>Total:</t>
  </si>
  <si>
    <t>?? Totals seem wrong on forum data ??</t>
  </si>
  <si>
    <t>Add column to Roster for Email notices</t>
  </si>
  <si>
    <t>Merge visits report</t>
  </si>
  <si>
    <t>Sakai site visits</t>
  </si>
  <si>
    <t>Auto-Names (unique)</t>
  </si>
  <si>
    <t>Student Forum usage</t>
  </si>
  <si>
    <t>Student Site Visits</t>
  </si>
  <si>
    <t>Ok:</t>
  </si>
  <si>
    <t>No:</t>
  </si>
  <si>
    <t>ID</t>
  </si>
  <si>
    <t>Visits</t>
  </si>
  <si>
    <t>Forum</t>
  </si>
  <si>
    <t>Assigns.</t>
  </si>
  <si>
    <t>Status</t>
  </si>
  <si>
    <t>Fix major bug in merged summaries! (name clashes)</t>
  </si>
  <si>
    <t>Student ID</t>
  </si>
  <si>
    <t>Sakai: assignments/grade Report/Download Spreadsheet</t>
  </si>
  <si>
    <t>(Blank = None, NG=Not Graded)</t>
  </si>
  <si>
    <t>#asgn.</t>
  </si>
  <si>
    <t>Count</t>
  </si>
  <si>
    <t>Mean =</t>
  </si>
  <si>
    <t>Add assignments</t>
  </si>
  <si>
    <t>Sakai Assignments :: assignments/grade Report/Download Spreadsheet</t>
  </si>
  <si>
    <t>Data:</t>
  </si>
  <si>
    <t>Fix bug in re-name</t>
  </si>
  <si>
    <t>For assignments :: Sakai: assignments/grade Report/Download Spreadsheet</t>
  </si>
  <si>
    <t>(Be sure that resulting list is properly sorted!)</t>
  </si>
  <si>
    <t>Initial setup::</t>
  </si>
  <si>
    <t>Be sure to check name matches (re-names) with other lists</t>
  </si>
  <si>
    <t>Add setup comments to notes page</t>
  </si>
  <si>
    <t>Max:</t>
  </si>
  <si>
    <t>%Assigns.</t>
  </si>
  <si>
    <t>Add status column to Status</t>
  </si>
  <si>
    <t>Last Update::</t>
  </si>
  <si>
    <t>Data updates::</t>
  </si>
  <si>
    <t>For each of the (three) data pages;</t>
  </si>
  <si>
    <t>Get new data report</t>
  </si>
  <si>
    <t>check new data sixe (on each)</t>
  </si>
  <si>
    <t>expand target area on data sheets as needed</t>
  </si>
  <si>
    <t>copy all data formulae down into new expansion area</t>
  </si>
  <si>
    <t>copy &amp; paste in new data</t>
  </si>
  <si>
    <t>update data date on top of page</t>
  </si>
  <si>
    <t>* make sure to insert at top of range,</t>
  </si>
  <si>
    <t>* make sure that the count of the inserted data (count is at top) matches the source data size</t>
  </si>
  <si>
    <t>Add updated date to front page</t>
  </si>
  <si>
    <t>Add update comments in Notes</t>
  </si>
  <si>
    <t>Ad audits on faculty forum chart</t>
  </si>
  <si>
    <t>fix count formula on vData page</t>
  </si>
  <si>
    <t>Color replacement areas: Green</t>
  </si>
  <si>
    <t>Revise *</t>
  </si>
  <si>
    <t>New *</t>
  </si>
  <si>
    <t>Fix Bug in faculty forum report (New Toic)</t>
  </si>
  <si>
    <t>Sakai Course Reports</t>
  </si>
  <si>
    <t>Add version: V1.1</t>
  </si>
  <si>
    <t>Add data update-dates to front page</t>
  </si>
  <si>
    <t>Note that the assignments data does not come from the gradebook tool, but from the assignments tool</t>
  </si>
  <si>
    <t>(Grade Repport, Download spreadsheet)</t>
  </si>
  <si>
    <t>(I then did some editing cleanup of the sheet to simplify the view)</t>
  </si>
  <si>
    <t>Add means to Assigns page</t>
  </si>
  <si>
    <t>Add audit for names list on Summary pages</t>
  </si>
  <si>
    <t>Make sure that report dates match actual course dates</t>
  </si>
  <si>
    <t>* Data updated…</t>
  </si>
  <si>
    <t>Revise for new names format in Roster (last,First)</t>
  </si>
  <si>
    <t>W1-12</t>
  </si>
  <si>
    <t>All</t>
  </si>
  <si>
    <t>W1-8</t>
  </si>
  <si>
    <t>Usage Notes:</t>
  </si>
  <si>
    <t>Add new summary status reporting dates</t>
  </si>
  <si>
    <t>Version:</t>
  </si>
  <si>
    <t>Delete *</t>
  </si>
  <si>
    <t>Name:</t>
  </si>
  <si>
    <t>Add forum query for individual student</t>
  </si>
  <si>
    <t>Query for Student  individual forum usage:</t>
  </si>
  <si>
    <t>Fix threshold auto-formatting on forum summary</t>
  </si>
  <si>
    <t>** Note that forum post and respond totals are too high , known bug.</t>
  </si>
  <si>
    <t>Improve Alert formatting thresholds on summary</t>
  </si>
  <si>
    <t>OK?</t>
  </si>
  <si>
    <t>Bad?</t>
  </si>
  <si>
    <t>Thresholds::</t>
  </si>
  <si>
    <t>Add user thresholds for alerts (Status page)</t>
  </si>
  <si>
    <t>Fix rename on studetn visits page</t>
  </si>
  <si>
    <t>Update data.</t>
  </si>
  <si>
    <t>Small format fixes..</t>
  </si>
  <si>
    <t>temporary corrected column for forum postings added.</t>
  </si>
  <si>
    <t>Faculty Interaction &amp; Forum usage</t>
  </si>
  <si>
    <t>Abdi, Ermias</t>
  </si>
  <si>
    <t>Some format updates</t>
  </si>
  <si>
    <t>% submit</t>
  </si>
  <si>
    <t>** Need to make reports by epoch ** Not just cumulative</t>
  </si>
  <si>
    <t>Pts.</t>
  </si>
  <si>
    <t>Score</t>
  </si>
  <si>
    <t>Upgrade forum visits to report by Epoch..</t>
  </si>
  <si>
    <t>Same for Site visits</t>
  </si>
  <si>
    <t>Report</t>
  </si>
  <si>
    <t>Same for Assignments</t>
  </si>
  <si>
    <t>Report Period::</t>
  </si>
  <si>
    <t>Convert reports to be by weeks (not report #s)</t>
  </si>
  <si>
    <t>You can change the reporting intervals, by the report dates on the Status page.</t>
  </si>
  <si>
    <t>(Need to do final data update)</t>
  </si>
  <si>
    <t>Some students may read the forum postings via email notifications, and thus may not show up as forum visits to read them there.</t>
  </si>
  <si>
    <t>Forum Postings (response) is wrong, includes forum.reads</t>
  </si>
  <si>
    <t>Status Week</t>
  </si>
  <si>
    <t>Status to Week</t>
  </si>
  <si>
    <t>** Need to protect all formula cells to avoid accidents.</t>
  </si>
  <si>
    <t>Zhou, Liang (higherzl@gmail.com)</t>
  </si>
  <si>
    <t>Wu, Jun (dwarson@hotmail.com)</t>
  </si>
  <si>
    <t>Wang, Sheng (sheng.wang@live.com)</t>
  </si>
  <si>
    <t>Tolba, Hady (tolbahadi@gmail.com)</t>
  </si>
  <si>
    <t>Tahat, Mefleh (mefleh.tahat@hotmail.com)</t>
  </si>
  <si>
    <t>Shrestha, Subas (sckshitij@gmail.com)</t>
  </si>
  <si>
    <t>Saine, Biran (csde@mum.edu)</t>
  </si>
  <si>
    <t>Pokharel, Pushpeshwor (pushpeshwor.pokharel@gmail.com)</t>
  </si>
  <si>
    <t>Palma, Susan (csdedirector@mum.edu)</t>
  </si>
  <si>
    <t>Nayak, Sushant (sushant.nayak@live.com)</t>
  </si>
  <si>
    <t>Mellice, Akram (akram.mellice@gmail.com)</t>
  </si>
  <si>
    <t>Mefire, Omar (omefire@gmail.com)</t>
  </si>
  <si>
    <t>Kasasbeh, Ramy (ramy.kasasbeh@hotmail.com)</t>
  </si>
  <si>
    <t>Guthrie, Gregory (guthrie@mum.edu)</t>
  </si>
  <si>
    <t>Elmenshawy, Islam (prog.islam@gmail.com)</t>
  </si>
  <si>
    <t>chea, sokha (sokha.chea@live.com)</t>
  </si>
  <si>
    <t>Bedasso, Yonas Hailu (yonas.bedasso@gmail.com)</t>
  </si>
  <si>
    <t>Alsaba, Zakarya (zakaria_net81@hotmail.com)</t>
  </si>
  <si>
    <t>Al-Ghzawi, Mohammed (mohammed.alghzawi@gmail.com)</t>
  </si>
  <si>
    <t>Abu iqias, Mohammad (mohd_nazmi76@hotmail.com)</t>
  </si>
  <si>
    <t>Abdi, Ermias (ermias.abdi@gmail.com)</t>
  </si>
  <si>
    <t>Percent Read</t>
  </si>
  <si>
    <t>Unread</t>
  </si>
  <si>
    <t>Read</t>
  </si>
  <si>
    <t>Authored</t>
  </si>
  <si>
    <t>Forums -Statistics</t>
  </si>
  <si>
    <t>Due Dates:</t>
  </si>
  <si>
    <t>Update assignments page to use weeks (instead of report #s)</t>
  </si>
  <si>
    <t>With temporary correction on Forum summary page; JIRA msgcntr-723</t>
  </si>
  <si>
    <t>Converting to Automatin..</t>
  </si>
  <si>
    <t>added: rCount on roster page</t>
  </si>
  <si>
    <t>name all "Data-" pages consistently</t>
  </si>
  <si>
    <t>Make all Data- page headers the same</t>
  </si>
  <si>
    <t>Sakai Course Name =</t>
  </si>
  <si>
    <t>Start Date =</t>
  </si>
  <si>
    <t>(** Currently error in totals; reads included in postings; corrected on status page)</t>
  </si>
  <si>
    <t>read thread</t>
  </si>
  <si>
    <t>new thread</t>
  </si>
  <si>
    <t>new*</t>
  </si>
  <si>
    <t>read*</t>
  </si>
  <si>
    <t>response*</t>
  </si>
  <si>
    <t>response thread</t>
  </si>
  <si>
    <t>delete thread</t>
  </si>
  <si>
    <t>Student Visits</t>
  </si>
  <si>
    <t>Student Forum</t>
  </si>
  <si>
    <t>Faculty</t>
  </si>
  <si>
    <t>annc.new</t>
  </si>
  <si>
    <t>Assignments</t>
  </si>
  <si>
    <t>Due_Date</t>
  </si>
  <si>
    <t>Points_Possible</t>
  </si>
  <si>
    <t>Assignments::</t>
  </si>
  <si>
    <t>Submissions</t>
  </si>
  <si>
    <t>Data Updated:</t>
  </si>
  <si>
    <t>user</t>
  </si>
  <si>
    <t>Assignment</t>
  </si>
  <si>
    <t>user.login</t>
  </si>
  <si>
    <t>Totals:</t>
  </si>
  <si>
    <t>Unique Names:</t>
  </si>
  <si>
    <t>Report Date =</t>
  </si>
  <si>
    <t>End Date =</t>
  </si>
  <si>
    <t>Open_Date</t>
  </si>
  <si>
    <t>Item</t>
  </si>
  <si>
    <t>Total::</t>
  </si>
  <si>
    <t>Submission Summary</t>
  </si>
  <si>
    <t>To get a report, change the Course_Name field above and push the "Update Data" button. This is the ONLY thing you should ever change on this spreadsheet!</t>
  </si>
  <si>
    <t>* Do NOT change anything on any sheet other than this!</t>
  </si>
  <si>
    <t>Assigns</t>
  </si>
  <si>
    <t>*response</t>
  </si>
  <si>
    <t>*read</t>
  </si>
  <si>
    <t>annc*</t>
  </si>
  <si>
    <t>Assign-Data</t>
  </si>
  <si>
    <t>Assign-Summary</t>
  </si>
  <si>
    <t>Open Date</t>
  </si>
  <si>
    <t>Grade</t>
  </si>
  <si>
    <t>Submit</t>
  </si>
  <si>
    <t>fix submissions summary</t>
  </si>
  <si>
    <t>Overall</t>
  </si>
  <si>
    <t>Open Date = fake!</t>
  </si>
  <si>
    <t>** need to add proper open dates to assignments ??</t>
  </si>
  <si>
    <t>Last Participation*</t>
  </si>
  <si>
    <t>*Participation for FinAid support</t>
  </si>
  <si>
    <t xml:space="preserve"> </t>
  </si>
  <si>
    <t>sckshitij@gmail.com</t>
  </si>
  <si>
    <t>reformat report page for status</t>
  </si>
  <si>
    <t>fix "&amp;amp;" from XML</t>
  </si>
  <si>
    <t>other fixups</t>
  </si>
  <si>
    <t>Disable MsgBox for reports (so auto will run by itself!)</t>
  </si>
  <si>
    <t>Shrestha, Subas Chandra</t>
  </si>
  <si>
    <t>shru_589@yahoo.com</t>
  </si>
  <si>
    <t>Khosla, Shruti</t>
  </si>
  <si>
    <t>albert.saclot@gmail.com</t>
  </si>
  <si>
    <t>Saclot, Louel Albert</t>
  </si>
  <si>
    <t>wyasin@outlook.com</t>
  </si>
  <si>
    <t>Yasin, Waleed</t>
  </si>
  <si>
    <t>rabadi.tareq@gmail.com</t>
  </si>
  <si>
    <t>Rabadi, Tareq</t>
  </si>
  <si>
    <t>kh.ernar@gmail.com</t>
  </si>
  <si>
    <t>Khuangan, Yernar</t>
  </si>
  <si>
    <t>akram.malkawe@gmail.com</t>
  </si>
  <si>
    <t>Malkawe, Akram</t>
  </si>
  <si>
    <t>abdullah.elkammar@gmail.com</t>
  </si>
  <si>
    <t>Amin, Abdullah Mohamed Ahmed</t>
  </si>
  <si>
    <t>redfox2200@hotmail.com</t>
  </si>
  <si>
    <t>Ibrahim, Amro Reda F.</t>
  </si>
  <si>
    <t>zyang.pointer@gmail.com</t>
  </si>
  <si>
    <t>Yang, Zheng</t>
  </si>
  <si>
    <t>imefire@gmail.com</t>
  </si>
  <si>
    <t>Kouotou Mefire, Ibrahim</t>
  </si>
  <si>
    <t>saifmasadeh@gmail.com</t>
  </si>
  <si>
    <t>Masadeh, Saif Aldeen</t>
  </si>
  <si>
    <t>jinjiangtai@gmail.com</t>
  </si>
  <si>
    <t>Tai, Jinjiang</t>
  </si>
  <si>
    <t>fadykamal@gmail.com</t>
  </si>
  <si>
    <t>Sedrak, Fady K</t>
  </si>
  <si>
    <t>prakashrajpoudel@gmail.com</t>
  </si>
  <si>
    <t>Poudel, Prakash</t>
  </si>
  <si>
    <t>hanan.amu@gmail.com</t>
  </si>
  <si>
    <t>Abdulkadir, Abdulhannan</t>
  </si>
  <si>
    <t>danial.zakaria7@gmail.com</t>
  </si>
  <si>
    <t>Zakaria, Danial</t>
  </si>
  <si>
    <t>joshi_dipesh@hotmail.com</t>
  </si>
  <si>
    <t>Joshi, Dipesh Man</t>
  </si>
  <si>
    <t>hussien_elshami@hotmail.com</t>
  </si>
  <si>
    <t>Elshamy, Hussien M.H.</t>
  </si>
  <si>
    <t>mohamedsobhyfarag@gmail.com</t>
  </si>
  <si>
    <t>Farag, Mohamed Sobhy M. A.</t>
  </si>
  <si>
    <t>jiayuan.frederica.liu@gmail.com</t>
  </si>
  <si>
    <t>Liu, Jiayuan</t>
  </si>
  <si>
    <t>anaszaakouk@gmail.com</t>
  </si>
  <si>
    <t>Zaakouk, Anas</t>
  </si>
  <si>
    <t>ashishadhikari@gmail.com</t>
  </si>
  <si>
    <t>Adhikari, Ashish</t>
  </si>
  <si>
    <t>jabirfayyaz@gmail.com</t>
  </si>
  <si>
    <t>Fayyaz, Muhammad Jabir</t>
  </si>
  <si>
    <t>thornbr@gmail.com</t>
  </si>
  <si>
    <t>Thorn, Bradford</t>
  </si>
  <si>
    <t>(Old, testing only)</t>
  </si>
  <si>
    <t>Fix Data-assigns error (dates are not &gt;0)</t>
  </si>
  <si>
    <t>2.14b</t>
  </si>
  <si>
    <t>Fix assigns summary formula on Summary sheet</t>
  </si>
  <si>
    <t>?? Why does submissions query return entries with no submit date?</t>
  </si>
  <si>
    <t>Fix formulae on Data-Submits sheet</t>
  </si>
  <si>
    <t>Sakai -Gradebook export - (Replicate from Database)</t>
  </si>
  <si>
    <t>Fix header on Data-Assigns to show it is calculated, not an export from Sakai</t>
  </si>
  <si>
    <t>check for no-submission date on weeks calculationon Submissiosn sheet</t>
  </si>
  <si>
    <t>Re-Fix Data-assigns error (check for "&lt;&gt;", not "&lt;&gt;0"))</t>
  </si>
  <si>
    <t>14c</t>
  </si>
  <si>
    <t>** There is a problem with the dates on Submissions page - one can't do date arithmetic on them.</t>
  </si>
  <si>
    <t>Fixed, but messy…</t>
  </si>
  <si>
    <t>Because assigns totals are dynamically updated, the status totals will change for even earlier periods, unless you convert them to values (not equations) at the right time, or do someother fooling around.</t>
  </si>
  <si>
    <t>Batch mode::</t>
  </si>
  <si>
    <t>You can run as a batch (cmd line) mode</t>
  </si>
  <si>
    <t>include an argumetn of /e//</t>
  </si>
  <si>
    <t>substitute slashes (/) for spaces, but slashes cannot exist in the course names</t>
  </si>
  <si>
    <t>You must be logged in to Sakai tbefore running the script</t>
  </si>
  <si>
    <t>Example: start/W excel "Sakai-courseReport.lnk" /e//cs505/-Winter/2012</t>
  </si>
  <si>
    <t>Update usage comments</t>
  </si>
  <si>
    <t>Cs525 ASD - Fall 2012</t>
  </si>
  <si>
    <t>Abdalgni, Khalid</t>
  </si>
  <si>
    <t>khalid.ezalden@gmail.com</t>
  </si>
  <si>
    <t>Alam, Md. Ashraful</t>
  </si>
  <si>
    <t>ashrafbd07@gmail.com</t>
  </si>
  <si>
    <t>Bold, Khasan</t>
  </si>
  <si>
    <t>khasan.bold@gmail.com</t>
  </si>
  <si>
    <t>Burentogtokh, Batbaatar</t>
  </si>
  <si>
    <t>batbaatar_mgl@yahoo.com</t>
  </si>
  <si>
    <t>Demesie, Elias Debebe</t>
  </si>
  <si>
    <t>elijahethio@gmail.com</t>
  </si>
  <si>
    <t>eliasdemesie@gmail.com</t>
  </si>
  <si>
    <t>Du, Yuexin</t>
  </si>
  <si>
    <t>daybreakdu@gmail.com</t>
  </si>
  <si>
    <t>El Gazzar, Abd El Hamid</t>
  </si>
  <si>
    <t>abdelhamed@gmail.com</t>
  </si>
  <si>
    <t>Elbakry, Abdelrahman</t>
  </si>
  <si>
    <t>abdalrahman.elbakry@gmail.com</t>
  </si>
  <si>
    <t>Enkhbold, Khongor</t>
  </si>
  <si>
    <t>khongor.enkhbold@gmail.com</t>
  </si>
  <si>
    <t>Fathelbab, Hosain</t>
  </si>
  <si>
    <t>hosain.fouad@gmail.com</t>
  </si>
  <si>
    <t>Ganzorig, Enkhsaruul</t>
  </si>
  <si>
    <t>saruulhan@gmail.com</t>
  </si>
  <si>
    <t>Gebremeskel, Abiy</t>
  </si>
  <si>
    <t>abiy.gmeskel@gmail.com</t>
  </si>
  <si>
    <t>Hagag, Ahmad M.M.</t>
  </si>
  <si>
    <t>a7mad.7agag@gmail.com</t>
  </si>
  <si>
    <t>ahmad.m.hagag@gmail.com</t>
  </si>
  <si>
    <t>Kelkay, Ayalew Alemayehu</t>
  </si>
  <si>
    <t>ayalewkelkay@gmail.com</t>
  </si>
  <si>
    <t>Kidane, Ermias</t>
  </si>
  <si>
    <t>ermidev@gmail.com</t>
  </si>
  <si>
    <t>Lapitan, Blaine Dondi</t>
  </si>
  <si>
    <t>blainedondi.lapitan@gmail.com</t>
  </si>
  <si>
    <t>Muratov, Sherzod</t>
  </si>
  <si>
    <t>sherzod.muratov@gmail.com</t>
  </si>
  <si>
    <t>Nazarov, Nodir</t>
  </si>
  <si>
    <t>nazarov.nodir@gmail.com</t>
  </si>
  <si>
    <t>Negeri, Wagari Temesgen</t>
  </si>
  <si>
    <t>wagari.negeri@gmail.com</t>
  </si>
  <si>
    <t>Taheri, Homayoon</t>
  </si>
  <si>
    <t>h_taheri@yahoo.com</t>
  </si>
  <si>
    <t>Tsagaach, Enkhbold</t>
  </si>
  <si>
    <t>boldoo.gn@gmail.com</t>
  </si>
  <si>
    <t>enkhbold.tsagaach@gmail.com</t>
  </si>
  <si>
    <t>Turabaev, Orifjon</t>
  </si>
  <si>
    <t>orifn62@gmail.com</t>
  </si>
  <si>
    <t>Wang, Huanjie</t>
  </si>
  <si>
    <t>jetwangcn@gmail.com</t>
  </si>
  <si>
    <t>Wang, Zhenguo</t>
  </si>
  <si>
    <t>wangzhenguo87@hotmail.com</t>
  </si>
  <si>
    <t>Yousuf, Sundus</t>
  </si>
  <si>
    <t>sundus.ahmed.yousuf@gmail.com</t>
  </si>
  <si>
    <t>CACM Reading -Summary Points</t>
  </si>
  <si>
    <t>Week-1 journal</t>
  </si>
  <si>
    <t>Midterm Exam Review Questions</t>
  </si>
  <si>
    <t>Week-2 journal</t>
  </si>
  <si>
    <t>Programming Exercise -in Class</t>
  </si>
  <si>
    <t>Week-3 journal</t>
  </si>
  <si>
    <t>Project -Group Review</t>
  </si>
  <si>
    <t>Framework Project</t>
  </si>
  <si>
    <t>Lab0 observer</t>
  </si>
  <si>
    <t>11/28/2012</t>
  </si>
  <si>
    <t>11/26/2012</t>
  </si>
  <si>
    <t>Iterator Exercise -Homework</t>
  </si>
  <si>
    <t>12/01/2012</t>
  </si>
  <si>
    <t>12/08/2012</t>
  </si>
  <si>
    <t>Proxy Exercise -Homework</t>
  </si>
  <si>
    <t>12/09/2012</t>
  </si>
  <si>
    <t>Project - Group status report</t>
  </si>
  <si>
    <t>12/17/2012</t>
  </si>
  <si>
    <t>12/10/2012</t>
  </si>
  <si>
    <t>12/15/2012</t>
  </si>
  <si>
    <t>12/19/2012</t>
  </si>
  <si>
    <t>11/29/2012</t>
  </si>
  <si>
    <t>Lab2 strategy</t>
  </si>
  <si>
    <t>11/30/2012</t>
  </si>
  <si>
    <t>Lab4 composite</t>
  </si>
  <si>
    <t>12/03/2012</t>
  </si>
  <si>
    <t>12/04/2012</t>
  </si>
  <si>
    <t>Lab5 command</t>
  </si>
  <si>
    <t>12/05/2012</t>
  </si>
  <si>
    <t>Lab6 state</t>
  </si>
  <si>
    <t>12/06/2012</t>
  </si>
  <si>
    <t>12/07/2012</t>
  </si>
  <si>
    <t>Lab9 factory</t>
  </si>
  <si>
    <t>12/11/2012</t>
  </si>
  <si>
    <t>11/27/2012</t>
  </si>
  <si>
    <t>GOF Reading -Summary Points</t>
  </si>
  <si>
    <t>12/02/2012</t>
  </si>
  <si>
    <t>Lab5b command - Part-II</t>
  </si>
  <si>
    <t>Homework -UML simple framework</t>
  </si>
  <si>
    <t>12/13/2012</t>
  </si>
  <si>
    <t>12/14/2012</t>
  </si>
  <si>
    <t>12/21/2012</t>
  </si>
  <si>
    <t>Frameworks Reading -Summary Points</t>
  </si>
  <si>
    <t>12/12/2012</t>
  </si>
  <si>
    <t>Frameworks Reading #2 -Summary Points</t>
  </si>
  <si>
    <t>Homework -UML Design, two applications</t>
  </si>
  <si>
    <t>Project -Team Design UML -Final &amp; Status</t>
  </si>
  <si>
    <t>Lab8 bridge</t>
  </si>
  <si>
    <t>Iteration Exercise</t>
  </si>
  <si>
    <t>12/18/2012</t>
  </si>
  <si>
    <t>Project -Team Design UML</t>
  </si>
  <si>
    <t>Lab3 iterator</t>
  </si>
  <si>
    <t>12/16/2012</t>
  </si>
  <si>
    <t>14d</t>
  </si>
  <si>
    <t>** Need to fix - on errors; clear "last updated" date field</t>
  </si>
  <si>
    <t>Status:</t>
  </si>
  <si>
    <t>V2e.14d</t>
  </si>
  <si>
    <t>No interactive errors on batch mode; add status field for errors</t>
  </si>
  <si>
    <t>smuriel</t>
  </si>
  <si>
    <t>The PDF report was showing a wrong course name (CS505) in the main page.</t>
  </si>
  <si>
    <t>Field "To get a report,...." was hidden for the PDF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</si>
</sst>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d\-mmm;@"/>
    <numFmt numFmtId="165" formatCode="0.0"/>
    <numFmt numFmtId="166" formatCode="[$-409]d\-mmm\-yy;@"/>
    <numFmt numFmtId="167" formatCode=";;;"/>
  </numFmts>
  <fonts count="4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theme="1"/>
      <name val="Calibri"/>
      <family val="2"/>
      <scheme val="minor"/>
    </font>
    <font>
      <sz val="9"/>
      <color theme="1"/>
      <name val="Calibri"/>
      <family val="2"/>
      <scheme val="minor"/>
    </font>
    <font>
      <i/>
      <sz val="11"/>
      <color rgb="FFFF0000"/>
      <name val="Calibri"/>
      <family val="2"/>
      <scheme val="minor"/>
    </font>
    <font>
      <b/>
      <sz val="14"/>
      <color theme="1"/>
      <name val="Calibri"/>
      <family val="2"/>
      <scheme val="minor"/>
    </font>
    <font>
      <sz val="10"/>
      <name val="Arial"/>
      <family val="2"/>
    </font>
    <font>
      <sz val="10"/>
      <name val="Arial"/>
      <family val="2"/>
    </font>
    <font>
      <sz val="14"/>
      <name val="Arial"/>
      <family val="2"/>
    </font>
    <font>
      <sz val="10"/>
      <color rgb="FFFF0000"/>
      <name val="Arial"/>
      <family val="2"/>
    </font>
    <font>
      <b/>
      <sz val="10"/>
      <name val="Arial"/>
      <family val="2"/>
    </font>
    <font>
      <i/>
      <sz val="10"/>
      <color rgb="FFFF0000"/>
      <name val="Arial"/>
      <family val="2"/>
    </font>
    <font>
      <b/>
      <sz val="9"/>
      <name val="Arial"/>
      <family val="2"/>
    </font>
    <font>
      <sz val="8"/>
      <name val="Arial"/>
      <family val="2"/>
    </font>
    <font>
      <b/>
      <sz val="12"/>
      <color theme="1"/>
      <name val="Calibri"/>
      <family val="2"/>
      <scheme val="minor"/>
    </font>
    <font>
      <sz val="10"/>
      <name val="Arial"/>
      <family val="2"/>
    </font>
    <font>
      <sz val="8"/>
      <color theme="1"/>
      <name val="Calibri"/>
      <family val="2"/>
      <scheme val="minor"/>
    </font>
    <font>
      <sz val="9"/>
      <color indexed="81"/>
      <name val="Tahoma"/>
      <family val="2"/>
    </font>
    <font>
      <b/>
      <sz val="9"/>
      <color indexed="81"/>
      <name val="Tahoma"/>
      <family val="2"/>
    </font>
    <font>
      <sz val="16"/>
      <color theme="1"/>
      <name val="Calibri"/>
      <family val="2"/>
      <scheme val="minor"/>
    </font>
    <font>
      <i/>
      <sz val="10"/>
      <color theme="1"/>
      <name val="Calibri"/>
      <family val="2"/>
      <scheme val="minor"/>
    </font>
    <font>
      <i/>
      <sz val="11"/>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sz val="18"/>
      <color rgb="FF000080"/>
      <name val="Calibri"/>
      <family val="2"/>
    </font>
    <font>
      <sz val="11"/>
      <name val="Arial"/>
      <family val="2"/>
    </font>
    <font>
      <i/>
      <sz val="9"/>
      <color rgb="FFFF0000"/>
      <name val="Calibri"/>
      <family val="2"/>
      <scheme val="minor"/>
    </font>
    <font>
      <sz val="14"/>
      <color theme="4"/>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bgColor indexed="64"/>
      </patternFill>
    </fill>
    <fill>
      <patternFill patternType="solid">
        <fgColor theme="6" tint="0.59999389629810485"/>
        <bgColor indexed="64"/>
      </patternFill>
    </fill>
  </fills>
  <borders count="1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hair">
        <color indexed="64"/>
      </left>
      <right/>
      <top/>
      <bottom style="double">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thin">
        <color indexed="64"/>
      </right>
      <top/>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hair">
        <color indexed="64"/>
      </bottom>
      <diagonal/>
    </border>
    <border>
      <left/>
      <right style="thin">
        <color indexed="64"/>
      </right>
      <top style="thin">
        <color indexed="64"/>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thin">
        <color indexed="64"/>
      </right>
      <top style="medium">
        <color indexed="64"/>
      </top>
      <bottom style="thin">
        <color indexed="64"/>
      </bottom>
      <diagonal/>
    </border>
    <border>
      <left/>
      <right style="thin">
        <color indexed="64"/>
      </right>
      <top style="thin">
        <color indexed="64"/>
      </top>
      <bottom style="hair">
        <color indexed="64"/>
      </bottom>
      <diagonal/>
    </border>
    <border>
      <left style="thin">
        <color indexed="64"/>
      </left>
      <right/>
      <top style="thin">
        <color indexed="64"/>
      </top>
      <bottom/>
      <diagonal/>
    </border>
    <border>
      <left/>
      <right/>
      <top style="thin">
        <color indexed="64"/>
      </top>
      <bottom/>
      <diagonal/>
    </border>
    <border>
      <left style="thin">
        <color indexed="64"/>
      </left>
      <right style="double">
        <color indexed="64"/>
      </right>
      <top style="thin">
        <color indexed="64"/>
      </top>
      <bottom style="thin">
        <color indexed="64"/>
      </bottom>
      <diagonal/>
    </border>
    <border>
      <left/>
      <right style="double">
        <color indexed="64"/>
      </right>
      <top/>
      <bottom/>
      <diagonal/>
    </border>
    <border>
      <left style="hair">
        <color indexed="64"/>
      </left>
      <right style="double">
        <color indexed="64"/>
      </right>
      <top style="thin">
        <color indexed="64"/>
      </top>
      <bottom style="thin">
        <color indexed="64"/>
      </bottom>
      <diagonal/>
    </border>
    <border>
      <left style="double">
        <color indexed="64"/>
      </left>
      <right style="hair">
        <color indexed="64"/>
      </right>
      <top style="thin">
        <color indexed="64"/>
      </top>
      <bottom style="hair">
        <color indexed="64"/>
      </bottom>
      <diagonal/>
    </border>
    <border>
      <left style="hair">
        <color indexed="64"/>
      </left>
      <right style="double">
        <color indexed="64"/>
      </right>
      <top style="hair">
        <color indexed="64"/>
      </top>
      <bottom style="thin">
        <color indexed="64"/>
      </bottom>
      <diagonal/>
    </border>
    <border>
      <left style="hair">
        <color indexed="64"/>
      </left>
      <right style="double">
        <color indexed="64"/>
      </right>
      <top style="hair">
        <color indexed="64"/>
      </top>
      <bottom style="hair">
        <color indexed="64"/>
      </bottom>
      <diagonal/>
    </border>
    <border>
      <left/>
      <right style="hair">
        <color indexed="64"/>
      </right>
      <top style="thin">
        <color indexed="64"/>
      </top>
      <bottom style="thin">
        <color indexed="64"/>
      </bottom>
      <diagonal/>
    </border>
    <border>
      <left style="hair">
        <color indexed="64"/>
      </left>
      <right style="double">
        <color indexed="64"/>
      </right>
      <top style="thin">
        <color indexed="64"/>
      </top>
      <bottom style="hair">
        <color indexed="64"/>
      </bottom>
      <diagonal/>
    </border>
    <border>
      <left style="double">
        <color indexed="64"/>
      </left>
      <right style="hair">
        <color indexed="64"/>
      </right>
      <top style="hair">
        <color indexed="64"/>
      </top>
      <bottom style="thin">
        <color indexed="64"/>
      </bottom>
      <diagonal/>
    </border>
    <border>
      <left/>
      <right/>
      <top style="thin">
        <color indexed="64"/>
      </top>
      <bottom style="hair">
        <color indexed="64"/>
      </bottom>
      <diagonal/>
    </border>
    <border>
      <left/>
      <right style="thin">
        <color indexed="64"/>
      </right>
      <top style="medium">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hair">
        <color indexed="64"/>
      </top>
      <bottom style="hair">
        <color indexed="64"/>
      </bottom>
      <diagonal/>
    </border>
    <border>
      <left/>
      <right style="double">
        <color indexed="64"/>
      </right>
      <top style="thin">
        <color indexed="64"/>
      </top>
      <bottom style="hair">
        <color indexed="64"/>
      </bottom>
      <diagonal/>
    </border>
    <border>
      <left/>
      <right style="double">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right style="thin">
        <color indexed="64"/>
      </right>
      <top style="medium">
        <color indexed="64"/>
      </top>
      <bottom/>
      <diagonal/>
    </border>
    <border>
      <left/>
      <right/>
      <top style="medium">
        <color indexed="64"/>
      </top>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hair">
        <color auto="1"/>
      </left>
      <right/>
      <top/>
      <bottom style="hair">
        <color auto="1"/>
      </bottom>
      <diagonal/>
    </border>
    <border>
      <left/>
      <right style="medium">
        <color indexed="64"/>
      </right>
      <top/>
      <bottom/>
      <diagonal/>
    </border>
    <border>
      <left style="thin">
        <color indexed="64"/>
      </left>
      <right style="thin">
        <color indexed="64"/>
      </right>
      <top style="hair">
        <color indexed="64"/>
      </top>
      <bottom style="double">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bottom style="hair">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top/>
      <bottom style="hair">
        <color indexed="64"/>
      </bottom>
      <diagonal/>
    </border>
    <border>
      <left/>
      <right/>
      <top style="hair">
        <color indexed="64"/>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xf numFmtId="0" fontId="23" fillId="0" borderId="0"/>
    <xf numFmtId="9" fontId="1" fillId="0" borderId="0" applyFont="0" applyFill="0" applyBorder="0" applyAlignment="0" applyProtection="0"/>
    <xf numFmtId="9" fontId="22" fillId="0" borderId="0" applyFont="0" applyFill="0" applyBorder="0" applyAlignment="0" applyProtection="0"/>
    <xf numFmtId="0" fontId="31" fillId="0" borderId="0"/>
    <xf numFmtId="0" fontId="38" fillId="0" borderId="0" applyNumberFormat="0" applyFill="0" applyBorder="0" applyAlignment="0" applyProtection="0"/>
  </cellStyleXfs>
  <cellXfs count="392">
    <xf numFmtId="0" fontId="0" fillId="0" borderId="0" xfId="0"/>
    <xf numFmtId="0" fontId="0" fillId="0" borderId="0" xfId="0" applyAlignment="1">
      <alignment horizontal="center"/>
    </xf>
    <xf numFmtId="0" fontId="19" fillId="0" borderId="14" xfId="0" applyFont="1" applyFill="1" applyBorder="1" applyAlignment="1">
      <alignment horizontal="center" wrapText="1"/>
    </xf>
    <xf numFmtId="0" fontId="20" fillId="0" borderId="0" xfId="0" applyFont="1" applyFill="1" applyBorder="1" applyAlignment="1">
      <alignment horizontal="left"/>
    </xf>
    <xf numFmtId="0" fontId="0" fillId="33" borderId="0" xfId="0" applyFill="1"/>
    <xf numFmtId="14" fontId="0" fillId="33" borderId="0" xfId="0" applyNumberFormat="1" applyFill="1" applyAlignment="1">
      <alignment horizontal="center"/>
    </xf>
    <xf numFmtId="0" fontId="0" fillId="0" borderId="0" xfId="0" applyAlignment="1"/>
    <xf numFmtId="0" fontId="0" fillId="33" borderId="0" xfId="0" applyFill="1" applyAlignment="1"/>
    <xf numFmtId="0" fontId="16" fillId="0" borderId="34" xfId="0" applyFont="1" applyFill="1" applyBorder="1"/>
    <xf numFmtId="0" fontId="18" fillId="0" borderId="0" xfId="0" applyFont="1" applyFill="1"/>
    <xf numFmtId="0" fontId="0" fillId="0" borderId="0" xfId="0" applyFill="1"/>
    <xf numFmtId="0" fontId="0" fillId="0" borderId="0" xfId="0" applyFill="1" applyAlignment="1">
      <alignment horizontal="left"/>
    </xf>
    <xf numFmtId="0" fontId="0" fillId="0" borderId="0" xfId="0" applyFill="1" applyAlignment="1">
      <alignment horizontal="center"/>
    </xf>
    <xf numFmtId="14" fontId="0" fillId="0" borderId="0" xfId="0" applyNumberFormat="1" applyFill="1"/>
    <xf numFmtId="0" fontId="16" fillId="0" borderId="14" xfId="0" applyFont="1" applyFill="1" applyBorder="1" applyAlignment="1">
      <alignment horizontal="center"/>
    </xf>
    <xf numFmtId="0" fontId="0" fillId="0" borderId="0" xfId="0" applyFill="1" applyBorder="1"/>
    <xf numFmtId="0" fontId="0" fillId="0" borderId="12" xfId="0" applyFill="1" applyBorder="1" applyAlignment="1">
      <alignment horizontal="center"/>
    </xf>
    <xf numFmtId="0" fontId="0" fillId="0" borderId="23"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19" xfId="0" applyFill="1" applyBorder="1" applyAlignment="1">
      <alignment horizontal="center"/>
    </xf>
    <xf numFmtId="0" fontId="0" fillId="0" borderId="30" xfId="0" applyFill="1" applyBorder="1" applyAlignment="1">
      <alignment horizontal="center"/>
    </xf>
    <xf numFmtId="0" fontId="16" fillId="0" borderId="0" xfId="0" applyFont="1" applyFill="1" applyAlignment="1">
      <alignment horizontal="right"/>
    </xf>
    <xf numFmtId="14" fontId="0" fillId="0" borderId="0" xfId="0" applyNumberFormat="1" applyFill="1" applyAlignment="1">
      <alignment horizontal="left" indent="1"/>
    </xf>
    <xf numFmtId="0" fontId="16" fillId="0" borderId="10" xfId="0" applyFont="1" applyFill="1" applyBorder="1"/>
    <xf numFmtId="0" fontId="16" fillId="0" borderId="10" xfId="0" applyFont="1" applyFill="1" applyBorder="1" applyAlignment="1">
      <alignment horizontal="center"/>
    </xf>
    <xf numFmtId="14" fontId="0" fillId="0" borderId="0" xfId="0" applyNumberFormat="1" applyFill="1" applyAlignment="1">
      <alignment horizontal="center"/>
    </xf>
    <xf numFmtId="0" fontId="0" fillId="0" borderId="0" xfId="0" applyFill="1" applyAlignment="1"/>
    <xf numFmtId="0" fontId="16" fillId="0" borderId="10" xfId="0" applyFont="1" applyFill="1" applyBorder="1" applyAlignment="1"/>
    <xf numFmtId="0" fontId="16" fillId="0" borderId="0" xfId="0" applyFont="1" applyFill="1"/>
    <xf numFmtId="0" fontId="0" fillId="0" borderId="30" xfId="0" applyFill="1" applyBorder="1"/>
    <xf numFmtId="0" fontId="21" fillId="0" borderId="0" xfId="0" applyFont="1" applyFill="1"/>
    <xf numFmtId="164" fontId="0" fillId="0" borderId="0" xfId="0" applyNumberFormat="1" applyFill="1" applyAlignment="1">
      <alignment horizontal="center"/>
    </xf>
    <xf numFmtId="0" fontId="0" fillId="34" borderId="0" xfId="0" applyFill="1"/>
    <xf numFmtId="0" fontId="18" fillId="0" borderId="0" xfId="0" applyFont="1"/>
    <xf numFmtId="14" fontId="0" fillId="0" borderId="0" xfId="0" applyNumberFormat="1" applyFill="1" applyAlignment="1">
      <alignment horizontal="left"/>
    </xf>
    <xf numFmtId="0" fontId="18" fillId="0" borderId="35" xfId="0" applyFont="1" applyFill="1" applyBorder="1" applyAlignment="1">
      <alignment horizontal="center"/>
    </xf>
    <xf numFmtId="0" fontId="0" fillId="0" borderId="0" xfId="0" applyNumberFormat="1" applyFill="1" applyAlignment="1">
      <alignment horizontal="left" indent="1"/>
    </xf>
    <xf numFmtId="0" fontId="0" fillId="33" borderId="0" xfId="0" applyFill="1" applyAlignment="1">
      <alignment horizontal="center"/>
    </xf>
    <xf numFmtId="0" fontId="0" fillId="0" borderId="0" xfId="0" applyAlignment="1">
      <alignment horizontal="right"/>
    </xf>
    <xf numFmtId="0" fontId="0" fillId="0" borderId="37" xfId="0" applyFill="1" applyBorder="1" applyAlignment="1">
      <alignment horizontal="center"/>
    </xf>
    <xf numFmtId="0" fontId="0" fillId="0" borderId="38" xfId="0" applyFill="1" applyBorder="1" applyAlignment="1">
      <alignment horizontal="center"/>
    </xf>
    <xf numFmtId="0" fontId="0" fillId="0" borderId="39" xfId="0" applyFill="1" applyBorder="1" applyAlignment="1">
      <alignment horizontal="center"/>
    </xf>
    <xf numFmtId="0" fontId="0" fillId="0" borderId="40" xfId="0" applyFill="1" applyBorder="1" applyAlignment="1">
      <alignment horizontal="center"/>
    </xf>
    <xf numFmtId="0" fontId="0" fillId="0" borderId="41" xfId="0" applyFill="1" applyBorder="1" applyAlignment="1">
      <alignment horizontal="center"/>
    </xf>
    <xf numFmtId="0" fontId="0" fillId="0" borderId="42" xfId="0" applyFill="1" applyBorder="1" applyAlignment="1">
      <alignment horizontal="center"/>
    </xf>
    <xf numFmtId="0" fontId="0" fillId="0" borderId="43" xfId="0" applyFill="1" applyBorder="1" applyAlignment="1">
      <alignment horizontal="center"/>
    </xf>
    <xf numFmtId="0" fontId="0" fillId="0" borderId="44" xfId="0" applyFill="1" applyBorder="1" applyAlignment="1">
      <alignment horizontal="center"/>
    </xf>
    <xf numFmtId="0" fontId="0" fillId="0" borderId="0" xfId="0" applyFill="1" applyAlignment="1">
      <alignment horizontal="right"/>
    </xf>
    <xf numFmtId="0" fontId="0" fillId="34" borderId="30" xfId="0" applyFill="1" applyBorder="1"/>
    <xf numFmtId="0" fontId="22" fillId="0" borderId="30" xfId="42" applyFill="1" applyBorder="1"/>
    <xf numFmtId="0" fontId="16" fillId="0" borderId="0" xfId="0" applyFont="1" applyFill="1" applyAlignment="1">
      <alignment horizontal="center"/>
    </xf>
    <xf numFmtId="0" fontId="0" fillId="33" borderId="0" xfId="0" applyFill="1" applyBorder="1" applyAlignment="1">
      <alignment horizontal="center"/>
    </xf>
    <xf numFmtId="0" fontId="16" fillId="0" borderId="11" xfId="0" applyFont="1" applyFill="1" applyBorder="1" applyAlignment="1">
      <alignment horizontal="center"/>
    </xf>
    <xf numFmtId="1" fontId="0" fillId="33" borderId="33" xfId="0" applyNumberFormat="1" applyFill="1" applyBorder="1" applyAlignment="1">
      <alignment horizontal="center"/>
    </xf>
    <xf numFmtId="1" fontId="0" fillId="0" borderId="33" xfId="0" applyNumberFormat="1" applyFill="1" applyBorder="1" applyAlignment="1">
      <alignment horizontal="center"/>
    </xf>
    <xf numFmtId="0" fontId="24" fillId="0" borderId="0" xfId="42" applyFont="1"/>
    <xf numFmtId="0" fontId="22" fillId="0" borderId="0" xfId="42"/>
    <xf numFmtId="0" fontId="22" fillId="0" borderId="0" xfId="42" applyAlignment="1">
      <alignment horizontal="center"/>
    </xf>
    <xf numFmtId="15" fontId="22" fillId="0" borderId="0" xfId="42" applyNumberFormat="1" applyAlignment="1">
      <alignment horizontal="center"/>
    </xf>
    <xf numFmtId="0" fontId="25" fillId="0" borderId="45" xfId="42" applyFont="1" applyBorder="1" applyAlignment="1">
      <alignment horizontal="center"/>
    </xf>
    <xf numFmtId="0" fontId="26" fillId="0" borderId="34" xfId="42" applyFont="1" applyBorder="1"/>
    <xf numFmtId="0" fontId="26" fillId="0" borderId="34" xfId="42" applyFont="1" applyBorder="1" applyAlignment="1">
      <alignment horizontal="center"/>
    </xf>
    <xf numFmtId="0" fontId="26" fillId="0" borderId="47" xfId="42" applyFont="1" applyBorder="1" applyAlignment="1">
      <alignment horizontal="center"/>
    </xf>
    <xf numFmtId="0" fontId="26" fillId="0" borderId="34" xfId="42" applyFont="1" applyFill="1" applyBorder="1" applyAlignment="1">
      <alignment horizontal="center"/>
    </xf>
    <xf numFmtId="0" fontId="25" fillId="0" borderId="46" xfId="42" applyFont="1" applyBorder="1" applyAlignment="1">
      <alignment horizontal="center"/>
    </xf>
    <xf numFmtId="0" fontId="22" fillId="33" borderId="0" xfId="42" applyFill="1"/>
    <xf numFmtId="0" fontId="22" fillId="33" borderId="0" xfId="42" applyFill="1" applyAlignment="1">
      <alignment horizontal="center"/>
    </xf>
    <xf numFmtId="14" fontId="22" fillId="33" borderId="0" xfId="42" applyNumberFormat="1" applyFill="1" applyAlignment="1">
      <alignment horizontal="center"/>
    </xf>
    <xf numFmtId="0" fontId="22" fillId="33" borderId="0" xfId="42" applyFill="1" applyBorder="1" applyAlignment="1">
      <alignment horizontal="center"/>
    </xf>
    <xf numFmtId="1" fontId="22" fillId="33" borderId="33" xfId="42" applyNumberFormat="1" applyFill="1" applyBorder="1" applyAlignment="1">
      <alignment horizontal="center"/>
    </xf>
    <xf numFmtId="0" fontId="27" fillId="33" borderId="0" xfId="42" applyFont="1" applyFill="1" applyAlignment="1">
      <alignment horizontal="center"/>
    </xf>
    <xf numFmtId="0" fontId="27" fillId="0" borderId="0" xfId="42" applyFont="1" applyAlignment="1">
      <alignment horizontal="center"/>
    </xf>
    <xf numFmtId="1" fontId="22" fillId="0" borderId="0" xfId="42" applyNumberFormat="1" applyAlignment="1">
      <alignment horizontal="center"/>
    </xf>
    <xf numFmtId="14" fontId="22" fillId="0" borderId="0" xfId="42" applyNumberFormat="1" applyAlignment="1">
      <alignment horizontal="left" indent="1"/>
    </xf>
    <xf numFmtId="0" fontId="22" fillId="0" borderId="0" xfId="42" applyAlignment="1">
      <alignment horizontal="left" indent="1"/>
    </xf>
    <xf numFmtId="0" fontId="25" fillId="0" borderId="0" xfId="42" applyFont="1"/>
    <xf numFmtId="0" fontId="26" fillId="0" borderId="14" xfId="42" applyFont="1" applyBorder="1"/>
    <xf numFmtId="0" fontId="26" fillId="0" borderId="14" xfId="42" applyFont="1" applyBorder="1" applyAlignment="1">
      <alignment horizontal="center"/>
    </xf>
    <xf numFmtId="0" fontId="22" fillId="0" borderId="48" xfId="42" applyBorder="1" applyAlignment="1">
      <alignment horizontal="center"/>
    </xf>
    <xf numFmtId="0" fontId="22" fillId="0" borderId="49" xfId="42" applyBorder="1" applyAlignment="1">
      <alignment horizontal="center"/>
    </xf>
    <xf numFmtId="0" fontId="22" fillId="0" borderId="46" xfId="42" applyBorder="1" applyAlignment="1">
      <alignment horizontal="center"/>
    </xf>
    <xf numFmtId="0" fontId="22" fillId="0" borderId="50" xfId="42" applyBorder="1" applyAlignment="1">
      <alignment horizontal="center"/>
    </xf>
    <xf numFmtId="0" fontId="22" fillId="0" borderId="51" xfId="42" applyBorder="1" applyAlignment="1">
      <alignment horizontal="center"/>
    </xf>
    <xf numFmtId="0" fontId="22" fillId="0" borderId="52" xfId="42" applyBorder="1" applyAlignment="1">
      <alignment horizontal="center"/>
    </xf>
    <xf numFmtId="0" fontId="22" fillId="0" borderId="53" xfId="42" applyBorder="1" applyAlignment="1">
      <alignment horizontal="center"/>
    </xf>
    <xf numFmtId="0" fontId="22" fillId="0" borderId="54" xfId="42" applyBorder="1" applyAlignment="1">
      <alignment horizontal="center"/>
    </xf>
    <xf numFmtId="0" fontId="22" fillId="0" borderId="55" xfId="42" applyBorder="1" applyAlignment="1">
      <alignment horizontal="center"/>
    </xf>
    <xf numFmtId="0" fontId="0" fillId="35" borderId="0" xfId="0" applyFill="1"/>
    <xf numFmtId="0" fontId="16" fillId="0" borderId="35" xfId="0" applyFont="1" applyFill="1" applyBorder="1" applyAlignment="1">
      <alignment horizontal="center"/>
    </xf>
    <xf numFmtId="0" fontId="16" fillId="0" borderId="0" xfId="0" applyFont="1" applyFill="1" applyBorder="1" applyAlignment="1">
      <alignment horizontal="center"/>
    </xf>
    <xf numFmtId="0" fontId="26" fillId="0" borderId="0" xfId="42" applyFont="1" applyAlignment="1">
      <alignment horizontal="right"/>
    </xf>
    <xf numFmtId="0" fontId="22" fillId="0" borderId="56" xfId="42" applyBorder="1" applyAlignment="1">
      <alignment horizontal="center"/>
    </xf>
    <xf numFmtId="0" fontId="22" fillId="0" borderId="44" xfId="42" applyBorder="1" applyAlignment="1">
      <alignment horizontal="center"/>
    </xf>
    <xf numFmtId="14" fontId="0" fillId="0" borderId="0" xfId="0" applyNumberFormat="1" applyAlignment="1">
      <alignment horizontal="center"/>
    </xf>
    <xf numFmtId="0" fontId="16" fillId="0" borderId="34" xfId="0" applyFont="1" applyFill="1" applyBorder="1" applyAlignment="1">
      <alignment horizontal="center"/>
    </xf>
    <xf numFmtId="0" fontId="16" fillId="0" borderId="36" xfId="0" applyFont="1" applyFill="1" applyBorder="1" applyAlignment="1">
      <alignment horizontal="center"/>
    </xf>
    <xf numFmtId="0" fontId="0" fillId="0" borderId="35" xfId="0" applyBorder="1" applyAlignment="1">
      <alignment horizontal="center"/>
    </xf>
    <xf numFmtId="0" fontId="0" fillId="0" borderId="57" xfId="0" applyBorder="1" applyAlignment="1">
      <alignment horizontal="center"/>
    </xf>
    <xf numFmtId="0" fontId="0" fillId="0" borderId="58" xfId="0" applyBorder="1" applyAlignment="1">
      <alignment horizontal="center"/>
    </xf>
    <xf numFmtId="0" fontId="0" fillId="0" borderId="59" xfId="0" applyBorder="1" applyAlignment="1">
      <alignment horizontal="center"/>
    </xf>
    <xf numFmtId="0" fontId="0" fillId="0" borderId="60" xfId="0" applyBorder="1" applyAlignment="1">
      <alignment horizontal="center"/>
    </xf>
    <xf numFmtId="0" fontId="22" fillId="0" borderId="48" xfId="42" applyBorder="1"/>
    <xf numFmtId="0" fontId="26" fillId="34" borderId="19" xfId="42" applyFont="1" applyFill="1" applyBorder="1"/>
    <xf numFmtId="0" fontId="26" fillId="34" borderId="61" xfId="42" applyFont="1" applyFill="1" applyBorder="1" applyAlignment="1">
      <alignment horizontal="center"/>
    </xf>
    <xf numFmtId="0" fontId="26" fillId="34" borderId="62" xfId="42" applyFont="1" applyFill="1" applyBorder="1" applyAlignment="1">
      <alignment horizontal="center"/>
    </xf>
    <xf numFmtId="0" fontId="26" fillId="34" borderId="63" xfId="42" applyFont="1" applyFill="1" applyBorder="1" applyAlignment="1">
      <alignment horizontal="center"/>
    </xf>
    <xf numFmtId="0" fontId="26" fillId="34" borderId="19" xfId="42" applyFont="1" applyFill="1" applyBorder="1" applyAlignment="1">
      <alignment horizontal="center"/>
    </xf>
    <xf numFmtId="0" fontId="28" fillId="34" borderId="19" xfId="42" applyFont="1" applyFill="1" applyBorder="1" applyAlignment="1">
      <alignment horizontal="center" wrapText="1"/>
    </xf>
    <xf numFmtId="0" fontId="16" fillId="0" borderId="34" xfId="0" applyFont="1" applyFill="1" applyBorder="1" applyAlignment="1">
      <alignment horizontal="left" indent="1"/>
    </xf>
    <xf numFmtId="0" fontId="20" fillId="0" borderId="0" xfId="0" applyFont="1" applyAlignment="1">
      <alignment horizontal="center"/>
    </xf>
    <xf numFmtId="0" fontId="0" fillId="33" borderId="64" xfId="0" applyFill="1" applyBorder="1"/>
    <xf numFmtId="0" fontId="0" fillId="33" borderId="65" xfId="0" applyFill="1" applyBorder="1"/>
    <xf numFmtId="0" fontId="22" fillId="0" borderId="0" xfId="42" applyAlignment="1">
      <alignment horizontal="center" wrapText="1"/>
    </xf>
    <xf numFmtId="0" fontId="22" fillId="0" borderId="34" xfId="42" applyBorder="1" applyAlignment="1">
      <alignment horizontal="center" wrapText="1"/>
    </xf>
    <xf numFmtId="0" fontId="22" fillId="0" borderId="0" xfId="42" applyBorder="1" applyAlignment="1">
      <alignment horizontal="center" wrapText="1"/>
    </xf>
    <xf numFmtId="0" fontId="0" fillId="0" borderId="0" xfId="0" applyFill="1" applyAlignment="1">
      <alignment horizontal="left" indent="1"/>
    </xf>
    <xf numFmtId="0" fontId="21" fillId="0" borderId="0" xfId="0" applyFont="1" applyAlignment="1">
      <alignment horizontal="left"/>
    </xf>
    <xf numFmtId="0" fontId="0" fillId="33" borderId="30" xfId="0" applyFill="1" applyBorder="1" applyAlignment="1">
      <alignment horizontal="center"/>
    </xf>
    <xf numFmtId="1" fontId="0" fillId="33" borderId="0" xfId="0" applyNumberFormat="1" applyFill="1" applyAlignment="1">
      <alignment horizontal="center"/>
    </xf>
    <xf numFmtId="0" fontId="32" fillId="0" borderId="13" xfId="0" applyFont="1" applyFill="1" applyBorder="1" applyAlignment="1">
      <alignment horizontal="center" wrapText="1"/>
    </xf>
    <xf numFmtId="0" fontId="32" fillId="0" borderId="11" xfId="0" applyFont="1" applyFill="1" applyBorder="1" applyAlignment="1">
      <alignment horizontal="center" wrapText="1"/>
    </xf>
    <xf numFmtId="0" fontId="32" fillId="0" borderId="10" xfId="0" applyFont="1" applyFill="1" applyBorder="1" applyAlignment="1">
      <alignment horizontal="center" wrapText="1"/>
    </xf>
    <xf numFmtId="0" fontId="0" fillId="0" borderId="16" xfId="0" applyBorder="1"/>
    <xf numFmtId="0" fontId="0" fillId="0" borderId="0" xfId="0" applyFill="1" applyBorder="1" applyAlignment="1">
      <alignment horizontal="left" indent="1"/>
    </xf>
    <xf numFmtId="15" fontId="22" fillId="0" borderId="0" xfId="42" applyNumberFormat="1" applyAlignment="1">
      <alignment horizontal="left"/>
    </xf>
    <xf numFmtId="0" fontId="22" fillId="0" borderId="0" xfId="42"/>
    <xf numFmtId="0" fontId="0" fillId="33" borderId="10" xfId="0" applyFill="1" applyBorder="1"/>
    <xf numFmtId="0" fontId="0" fillId="33" borderId="10" xfId="0" applyFill="1" applyBorder="1" applyAlignment="1">
      <alignment horizontal="left"/>
    </xf>
    <xf numFmtId="165" fontId="26" fillId="0" borderId="67" xfId="42" applyNumberFormat="1" applyFont="1" applyBorder="1" applyAlignment="1">
      <alignment horizontal="center"/>
    </xf>
    <xf numFmtId="9" fontId="22" fillId="0" borderId="68" xfId="44" applyFont="1" applyBorder="1" applyAlignment="1">
      <alignment horizontal="center"/>
    </xf>
    <xf numFmtId="165" fontId="26" fillId="0" borderId="68" xfId="42" applyNumberFormat="1" applyFont="1" applyBorder="1" applyAlignment="1">
      <alignment horizontal="center"/>
    </xf>
    <xf numFmtId="9" fontId="22" fillId="0" borderId="69" xfId="44" applyFont="1" applyBorder="1" applyAlignment="1">
      <alignment horizontal="center"/>
    </xf>
    <xf numFmtId="0" fontId="0" fillId="0" borderId="0" xfId="0" applyBorder="1"/>
    <xf numFmtId="0" fontId="0" fillId="0" borderId="34" xfId="0" applyBorder="1"/>
    <xf numFmtId="0" fontId="0" fillId="34" borderId="0" xfId="0" applyFill="1" applyAlignment="1">
      <alignment horizontal="center"/>
    </xf>
    <xf numFmtId="0" fontId="35" fillId="0" borderId="0" xfId="0" applyFont="1" applyFill="1"/>
    <xf numFmtId="0" fontId="35" fillId="0" borderId="0" xfId="0" applyFont="1" applyFill="1" applyAlignment="1">
      <alignment horizontal="left"/>
    </xf>
    <xf numFmtId="0" fontId="0" fillId="34" borderId="11" xfId="0" applyFill="1" applyBorder="1"/>
    <xf numFmtId="0" fontId="0" fillId="34" borderId="13" xfId="0" applyFill="1" applyBorder="1" applyAlignment="1">
      <alignment horizontal="center"/>
    </xf>
    <xf numFmtId="0" fontId="0" fillId="34" borderId="20" xfId="0" applyFill="1" applyBorder="1" applyAlignment="1">
      <alignment horizontal="center"/>
    </xf>
    <xf numFmtId="0" fontId="0" fillId="34" borderId="21" xfId="0" applyFill="1" applyBorder="1" applyAlignment="1">
      <alignment horizontal="center"/>
    </xf>
    <xf numFmtId="0" fontId="0" fillId="34" borderId="26" xfId="0" applyFill="1" applyBorder="1" applyAlignment="1">
      <alignment horizontal="center"/>
    </xf>
    <xf numFmtId="0" fontId="0" fillId="34" borderId="22" xfId="0" applyFill="1" applyBorder="1" applyAlignment="1">
      <alignment horizontal="center"/>
    </xf>
    <xf numFmtId="0" fontId="0" fillId="34" borderId="12" xfId="0" applyFill="1" applyBorder="1" applyAlignment="1">
      <alignment horizontal="center"/>
    </xf>
    <xf numFmtId="0" fontId="16" fillId="0" borderId="73" xfId="0" applyFont="1" applyFill="1" applyBorder="1" applyAlignment="1">
      <alignment horizontal="center"/>
    </xf>
    <xf numFmtId="0" fontId="0" fillId="34" borderId="18" xfId="0" applyFill="1" applyBorder="1"/>
    <xf numFmtId="0" fontId="0" fillId="34" borderId="74" xfId="0" applyFill="1" applyBorder="1"/>
    <xf numFmtId="0" fontId="0" fillId="33" borderId="75" xfId="0" applyFill="1" applyBorder="1"/>
    <xf numFmtId="0" fontId="35" fillId="0" borderId="0" xfId="0" applyFont="1" applyAlignment="1">
      <alignment horizontal="left"/>
    </xf>
    <xf numFmtId="0" fontId="36" fillId="0" borderId="35" xfId="0" applyFont="1" applyFill="1" applyBorder="1" applyAlignment="1">
      <alignment horizontal="center"/>
    </xf>
    <xf numFmtId="2" fontId="0" fillId="0" borderId="0" xfId="0" applyNumberFormat="1" applyFill="1" applyAlignment="1">
      <alignment horizontal="center"/>
    </xf>
    <xf numFmtId="0" fontId="19" fillId="0" borderId="12" xfId="0" applyFont="1" applyFill="1" applyBorder="1" applyAlignment="1">
      <alignment horizontal="center" wrapText="1"/>
    </xf>
    <xf numFmtId="0" fontId="0" fillId="0" borderId="17" xfId="0" applyFill="1" applyBorder="1"/>
    <xf numFmtId="0" fontId="32" fillId="0" borderId="27" xfId="0" applyFont="1" applyFill="1" applyBorder="1" applyAlignment="1">
      <alignment horizontal="center" wrapText="1"/>
    </xf>
    <xf numFmtId="0" fontId="32" fillId="0" borderId="28" xfId="0" applyFont="1" applyFill="1" applyBorder="1" applyAlignment="1">
      <alignment horizontal="center" wrapText="1"/>
    </xf>
    <xf numFmtId="0" fontId="32" fillId="0" borderId="29" xfId="0" applyFont="1" applyFill="1" applyBorder="1" applyAlignment="1">
      <alignment horizontal="center" wrapText="1"/>
    </xf>
    <xf numFmtId="0" fontId="21" fillId="0" borderId="0" xfId="0" applyFont="1"/>
    <xf numFmtId="0" fontId="16" fillId="0" borderId="0" xfId="0" applyFont="1" applyAlignment="1">
      <alignment horizontal="right"/>
    </xf>
    <xf numFmtId="0" fontId="36" fillId="0" borderId="35" xfId="0" applyFont="1" applyFill="1" applyBorder="1" applyAlignment="1">
      <alignment horizontal="center" vertical="center"/>
    </xf>
    <xf numFmtId="9" fontId="0" fillId="0" borderId="60" xfId="44" applyFont="1" applyBorder="1" applyAlignment="1">
      <alignment horizontal="center"/>
    </xf>
    <xf numFmtId="9" fontId="0" fillId="0" borderId="78" xfId="44" applyFont="1" applyBorder="1" applyAlignment="1">
      <alignment horizontal="center"/>
    </xf>
    <xf numFmtId="9" fontId="0" fillId="0" borderId="0" xfId="0" applyNumberFormat="1" applyAlignment="1">
      <alignment horizontal="center"/>
    </xf>
    <xf numFmtId="0" fontId="37" fillId="0" borderId="0" xfId="0" applyFont="1" applyAlignment="1">
      <alignment horizontal="right"/>
    </xf>
    <xf numFmtId="0" fontId="37" fillId="0" borderId="35" xfId="0" applyFont="1" applyBorder="1" applyAlignment="1">
      <alignment horizontal="right"/>
    </xf>
    <xf numFmtId="0" fontId="0" fillId="0" borderId="79" xfId="0" applyBorder="1"/>
    <xf numFmtId="0" fontId="0" fillId="0" borderId="65" xfId="0" applyBorder="1"/>
    <xf numFmtId="0" fontId="0" fillId="0" borderId="65" xfId="0" applyBorder="1" applyAlignment="1">
      <alignment horizontal="center"/>
    </xf>
    <xf numFmtId="9" fontId="0" fillId="0" borderId="65" xfId="0" applyNumberFormat="1" applyBorder="1" applyAlignment="1">
      <alignment horizontal="center"/>
    </xf>
    <xf numFmtId="9" fontId="0" fillId="0" borderId="75" xfId="0" applyNumberFormat="1" applyBorder="1" applyAlignment="1">
      <alignment horizontal="center"/>
    </xf>
    <xf numFmtId="0" fontId="22" fillId="0" borderId="76" xfId="42" applyBorder="1" applyAlignment="1">
      <alignment horizontal="center"/>
    </xf>
    <xf numFmtId="0" fontId="22" fillId="0" borderId="58" xfId="42" applyBorder="1" applyAlignment="1">
      <alignment horizontal="center"/>
    </xf>
    <xf numFmtId="0" fontId="22" fillId="0" borderId="80" xfId="42" applyBorder="1" applyAlignment="1">
      <alignment horizontal="center"/>
    </xf>
    <xf numFmtId="0" fontId="22" fillId="0" borderId="81" xfId="42" applyBorder="1" applyAlignment="1">
      <alignment horizontal="center"/>
    </xf>
    <xf numFmtId="0" fontId="22" fillId="0" borderId="42" xfId="42" applyBorder="1" applyAlignment="1">
      <alignment horizontal="center"/>
    </xf>
    <xf numFmtId="0" fontId="22" fillId="0" borderId="77" xfId="42" applyBorder="1" applyAlignment="1">
      <alignment horizontal="center"/>
    </xf>
    <xf numFmtId="166" fontId="0" fillId="0" borderId="0" xfId="0" applyNumberFormat="1" applyFill="1"/>
    <xf numFmtId="164" fontId="0" fillId="0" borderId="34" xfId="0" applyNumberFormat="1" applyFill="1" applyBorder="1" applyAlignment="1">
      <alignment horizontal="center"/>
    </xf>
    <xf numFmtId="0" fontId="0" fillId="0" borderId="34" xfId="0" applyFill="1" applyBorder="1" applyAlignment="1">
      <alignment horizontal="center"/>
    </xf>
    <xf numFmtId="0" fontId="0" fillId="0" borderId="34" xfId="0" applyFill="1" applyBorder="1"/>
    <xf numFmtId="0" fontId="16" fillId="0" borderId="35" xfId="0" applyFont="1" applyFill="1" applyBorder="1" applyAlignment="1">
      <alignment horizontal="left"/>
    </xf>
    <xf numFmtId="166" fontId="0" fillId="0" borderId="0" xfId="0" applyNumberFormat="1" applyFill="1" applyAlignment="1">
      <alignment horizontal="left"/>
    </xf>
    <xf numFmtId="0" fontId="22" fillId="0" borderId="0" xfId="42" applyAlignment="1">
      <alignment horizontal="right"/>
    </xf>
    <xf numFmtId="0" fontId="29" fillId="0" borderId="82" xfId="42" applyFont="1" applyBorder="1" applyAlignment="1"/>
    <xf numFmtId="0" fontId="29" fillId="0" borderId="70" xfId="42" applyFont="1" applyBorder="1" applyAlignment="1"/>
    <xf numFmtId="0" fontId="29" fillId="0" borderId="17" xfId="42" applyFont="1" applyBorder="1" applyAlignment="1">
      <alignment horizontal="center"/>
    </xf>
    <xf numFmtId="0" fontId="22" fillId="0" borderId="83" xfId="42" applyBorder="1" applyAlignment="1">
      <alignment horizontal="center"/>
    </xf>
    <xf numFmtId="0" fontId="29" fillId="0" borderId="64" xfId="42" applyFont="1" applyBorder="1" applyAlignment="1"/>
    <xf numFmtId="0" fontId="22" fillId="0" borderId="66" xfId="42" applyBorder="1" applyAlignment="1">
      <alignment horizontal="center"/>
    </xf>
    <xf numFmtId="0" fontId="29" fillId="0" borderId="20" xfId="42" applyFont="1" applyBorder="1" applyAlignment="1">
      <alignment horizontal="center" wrapText="1"/>
    </xf>
    <xf numFmtId="0" fontId="22" fillId="0" borderId="22" xfId="42" applyBorder="1" applyAlignment="1">
      <alignment horizontal="center" wrapText="1"/>
    </xf>
    <xf numFmtId="0" fontId="22" fillId="0" borderId="47" xfId="42" applyBorder="1" applyAlignment="1">
      <alignment horizontal="center"/>
    </xf>
    <xf numFmtId="0" fontId="22" fillId="0" borderId="36" xfId="42" applyBorder="1"/>
    <xf numFmtId="0" fontId="28" fillId="0" borderId="45" xfId="42" applyFont="1" applyBorder="1" applyAlignment="1">
      <alignment horizontal="center" wrapText="1"/>
    </xf>
    <xf numFmtId="0" fontId="28" fillId="0" borderId="12" xfId="42" applyFont="1" applyBorder="1" applyAlignment="1">
      <alignment horizontal="center" wrapText="1"/>
    </xf>
    <xf numFmtId="0" fontId="16" fillId="0" borderId="0" xfId="0" applyFont="1"/>
    <xf numFmtId="0" fontId="36" fillId="0" borderId="17" xfId="0" applyFont="1" applyFill="1" applyBorder="1" applyAlignment="1">
      <alignment horizontal="center" vertical="center"/>
    </xf>
    <xf numFmtId="0" fontId="16" fillId="0" borderId="84" xfId="0" applyFont="1" applyFill="1" applyBorder="1" applyAlignment="1">
      <alignment horizontal="center"/>
    </xf>
    <xf numFmtId="9" fontId="0" fillId="0" borderId="85" xfId="44" applyFont="1" applyBorder="1" applyAlignment="1">
      <alignment horizontal="center"/>
    </xf>
    <xf numFmtId="0" fontId="0" fillId="33" borderId="84" xfId="0" applyFill="1" applyBorder="1"/>
    <xf numFmtId="0" fontId="22" fillId="0" borderId="86" xfId="42" applyBorder="1" applyAlignment="1">
      <alignment horizontal="center"/>
    </xf>
    <xf numFmtId="0" fontId="22" fillId="0" borderId="87" xfId="42" applyBorder="1" applyAlignment="1">
      <alignment horizontal="center"/>
    </xf>
    <xf numFmtId="9" fontId="0" fillId="0" borderId="84" xfId="0" applyNumberFormat="1" applyBorder="1" applyAlignment="1">
      <alignment horizontal="center"/>
    </xf>
    <xf numFmtId="9" fontId="0" fillId="0" borderId="0" xfId="0" applyNumberFormat="1" applyAlignment="1">
      <alignment vertical="center" wrapText="1"/>
    </xf>
    <xf numFmtId="0" fontId="0" fillId="0" borderId="0" xfId="0" applyAlignment="1">
      <alignment vertical="center" wrapText="1"/>
    </xf>
    <xf numFmtId="0" fontId="38" fillId="0" borderId="0" xfId="47" applyAlignment="1">
      <alignment vertical="center"/>
    </xf>
    <xf numFmtId="9" fontId="0" fillId="0" borderId="0" xfId="0" applyNumberFormat="1" applyAlignment="1">
      <alignment horizontal="center" vertical="center" wrapText="1"/>
    </xf>
    <xf numFmtId="0" fontId="0" fillId="0" borderId="0" xfId="0" applyAlignment="1">
      <alignment horizontal="center" vertical="center" wrapText="1"/>
    </xf>
    <xf numFmtId="0" fontId="38" fillId="0" borderId="0" xfId="47" applyAlignment="1">
      <alignment horizontal="center" vertical="center" wrapText="1"/>
    </xf>
    <xf numFmtId="0" fontId="38" fillId="0" borderId="0" xfId="47" applyAlignment="1">
      <alignment horizontal="center" vertical="center"/>
    </xf>
    <xf numFmtId="0" fontId="39" fillId="0" borderId="0" xfId="0" applyFont="1" applyAlignment="1">
      <alignment vertical="center"/>
    </xf>
    <xf numFmtId="14" fontId="40" fillId="0" borderId="0" xfId="0" applyNumberFormat="1" applyFont="1" applyAlignment="1">
      <alignment horizontal="left" vertical="center"/>
    </xf>
    <xf numFmtId="0" fontId="18" fillId="0" borderId="0" xfId="0" applyFont="1" applyAlignment="1"/>
    <xf numFmtId="0" fontId="0" fillId="0" borderId="72" xfId="0" applyBorder="1" applyAlignment="1">
      <alignment horizontal="center" vertical="center" wrapText="1"/>
    </xf>
    <xf numFmtId="0" fontId="0" fillId="0" borderId="56" xfId="0" applyBorder="1" applyAlignment="1">
      <alignment horizontal="center"/>
    </xf>
    <xf numFmtId="0" fontId="16" fillId="0" borderId="0" xfId="0" applyFont="1" applyFill="1" applyBorder="1" applyAlignment="1">
      <alignment horizontal="left"/>
    </xf>
    <xf numFmtId="0" fontId="0" fillId="0" borderId="0" xfId="0" applyBorder="1" applyAlignment="1">
      <alignment horizontal="center"/>
    </xf>
    <xf numFmtId="0" fontId="0" fillId="0" borderId="90" xfId="0" applyBorder="1" applyAlignment="1">
      <alignment horizontal="center"/>
    </xf>
    <xf numFmtId="0" fontId="0" fillId="0" borderId="56" xfId="0" applyBorder="1" applyAlignment="1">
      <alignment horizontal="right"/>
    </xf>
    <xf numFmtId="0" fontId="0" fillId="0" borderId="90" xfId="0" applyBorder="1" applyAlignment="1">
      <alignment horizontal="right"/>
    </xf>
    <xf numFmtId="166" fontId="0" fillId="0" borderId="17" xfId="0" applyNumberFormat="1" applyBorder="1" applyAlignment="1">
      <alignment horizontal="left" indent="1"/>
    </xf>
    <xf numFmtId="166" fontId="0" fillId="0" borderId="56" xfId="0" applyNumberFormat="1" applyBorder="1" applyAlignment="1">
      <alignment horizontal="left" indent="1"/>
    </xf>
    <xf numFmtId="166" fontId="0" fillId="0" borderId="90" xfId="0" applyNumberFormat="1" applyBorder="1" applyAlignment="1">
      <alignment horizontal="left" indent="1"/>
    </xf>
    <xf numFmtId="0" fontId="19" fillId="0" borderId="27" xfId="0" applyFont="1" applyFill="1" applyBorder="1" applyAlignment="1">
      <alignment horizontal="center" vertical="center" wrapText="1"/>
    </xf>
    <xf numFmtId="0" fontId="19" fillId="0" borderId="28" xfId="0" applyFont="1" applyFill="1" applyBorder="1" applyAlignment="1">
      <alignment horizontal="center" vertical="center" wrapText="1"/>
    </xf>
    <xf numFmtId="0" fontId="19" fillId="0" borderId="29" xfId="0" applyFont="1" applyFill="1" applyBorder="1" applyAlignment="1">
      <alignment horizontal="center" vertical="center" wrapText="1"/>
    </xf>
    <xf numFmtId="0" fontId="40" fillId="0" borderId="0" xfId="0" applyFont="1" applyAlignment="1">
      <alignment horizontal="right"/>
    </xf>
    <xf numFmtId="0" fontId="37" fillId="0" borderId="0" xfId="0" quotePrefix="1" applyFont="1" applyBorder="1" applyAlignment="1">
      <alignment horizontal="left"/>
    </xf>
    <xf numFmtId="0" fontId="29" fillId="0" borderId="0" xfId="42" applyFont="1" applyBorder="1" applyAlignment="1"/>
    <xf numFmtId="0" fontId="16" fillId="0" borderId="34" xfId="0" applyFont="1" applyBorder="1"/>
    <xf numFmtId="0" fontId="16" fillId="0" borderId="34" xfId="0" applyFont="1" applyBorder="1" applyAlignment="1">
      <alignment horizontal="center"/>
    </xf>
    <xf numFmtId="0" fontId="35" fillId="0" borderId="0" xfId="0" applyFont="1"/>
    <xf numFmtId="0" fontId="0" fillId="0" borderId="91" xfId="0" applyBorder="1" applyAlignment="1">
      <alignment horizontal="right"/>
    </xf>
    <xf numFmtId="0" fontId="0" fillId="0" borderId="91" xfId="0" applyBorder="1" applyAlignment="1">
      <alignment horizontal="center"/>
    </xf>
    <xf numFmtId="166" fontId="0" fillId="0" borderId="91" xfId="0" applyNumberFormat="1" applyBorder="1" applyAlignment="1">
      <alignment horizontal="left" indent="1"/>
    </xf>
    <xf numFmtId="0" fontId="0" fillId="0" borderId="46" xfId="0" applyBorder="1" applyAlignment="1">
      <alignment horizontal="right"/>
    </xf>
    <xf numFmtId="0" fontId="0" fillId="0" borderId="46" xfId="0" applyBorder="1" applyAlignment="1">
      <alignment horizontal="center"/>
    </xf>
    <xf numFmtId="166" fontId="0" fillId="0" borderId="46" xfId="0" applyNumberFormat="1" applyBorder="1" applyAlignment="1">
      <alignment horizontal="left" indent="1"/>
    </xf>
    <xf numFmtId="0" fontId="0" fillId="0" borderId="48" xfId="0" applyBorder="1" applyAlignment="1">
      <alignment horizontal="right"/>
    </xf>
    <xf numFmtId="0" fontId="0" fillId="0" borderId="48" xfId="0" applyBorder="1" applyAlignment="1">
      <alignment horizontal="center"/>
    </xf>
    <xf numFmtId="166" fontId="0" fillId="0" borderId="48" xfId="0" applyNumberFormat="1" applyBorder="1" applyAlignment="1">
      <alignment horizontal="left" indent="1"/>
    </xf>
    <xf numFmtId="0" fontId="22" fillId="0" borderId="0" xfId="42" applyAlignment="1">
      <alignment horizontal="right" vertical="center" wrapText="1" indent="1"/>
    </xf>
    <xf numFmtId="0" fontId="22" fillId="0" borderId="36" xfId="42" applyBorder="1" applyAlignment="1">
      <alignment horizontal="right" wrapText="1" indent="1"/>
    </xf>
    <xf numFmtId="1" fontId="22" fillId="0" borderId="33" xfId="42" applyNumberFormat="1" applyFill="1" applyBorder="1" applyAlignment="1">
      <alignment horizontal="center"/>
    </xf>
    <xf numFmtId="0" fontId="22" fillId="0" borderId="0" xfId="42" applyFill="1"/>
    <xf numFmtId="0" fontId="22" fillId="0" borderId="0" xfId="42" applyAlignment="1">
      <alignment horizontal="left"/>
    </xf>
    <xf numFmtId="0" fontId="27" fillId="0" borderId="0" xfId="42" applyFont="1"/>
    <xf numFmtId="0" fontId="22" fillId="0" borderId="93" xfId="42" applyBorder="1"/>
    <xf numFmtId="0" fontId="22" fillId="0" borderId="92" xfId="42" applyBorder="1"/>
    <xf numFmtId="0" fontId="40" fillId="0" borderId="71" xfId="0" applyFont="1" applyBorder="1" applyAlignment="1">
      <alignment horizontal="right"/>
    </xf>
    <xf numFmtId="0" fontId="0" fillId="0" borderId="72" xfId="0" applyBorder="1"/>
    <xf numFmtId="0" fontId="40" fillId="0" borderId="47" xfId="0" applyFont="1" applyBorder="1" applyAlignment="1">
      <alignment horizontal="right"/>
    </xf>
    <xf numFmtId="0" fontId="24" fillId="0" borderId="0" xfId="42" applyFont="1" applyAlignment="1">
      <alignment horizontal="right" vertical="center" wrapText="1" indent="1"/>
    </xf>
    <xf numFmtId="14" fontId="42" fillId="0" borderId="0" xfId="42" applyNumberFormat="1" applyFont="1" applyAlignment="1">
      <alignment horizontal="center"/>
    </xf>
    <xf numFmtId="0" fontId="29" fillId="0" borderId="17" xfId="42" applyFont="1" applyBorder="1" applyAlignment="1">
      <alignment horizontal="center" wrapText="1"/>
    </xf>
    <xf numFmtId="15" fontId="29" fillId="0" borderId="36" xfId="42" applyNumberFormat="1" applyFont="1" applyBorder="1" applyAlignment="1">
      <alignment horizontal="center" vertical="center"/>
    </xf>
    <xf numFmtId="0" fontId="43" fillId="0" borderId="0" xfId="0" applyFont="1" applyFill="1" applyAlignment="1">
      <alignment horizontal="left"/>
    </xf>
    <xf numFmtId="0" fontId="0" fillId="0" borderId="16" xfId="0" applyBorder="1" applyAlignment="1">
      <alignment horizontal="center"/>
    </xf>
    <xf numFmtId="0" fontId="22" fillId="0" borderId="49" xfId="42" applyBorder="1" applyAlignment="1">
      <alignment horizontal="center"/>
    </xf>
    <xf numFmtId="0" fontId="18" fillId="0" borderId="0" xfId="0" applyFont="1" applyAlignment="1">
      <alignment horizontal="left"/>
    </xf>
    <xf numFmtId="166" fontId="30" fillId="0" borderId="49" xfId="0" applyNumberFormat="1" applyFont="1" applyFill="1" applyBorder="1" applyAlignment="1">
      <alignment horizontal="left" indent="1"/>
    </xf>
    <xf numFmtId="166" fontId="30" fillId="0" borderId="36" xfId="0" applyNumberFormat="1" applyFont="1" applyFill="1" applyBorder="1" applyAlignment="1">
      <alignment horizontal="left" indent="1"/>
    </xf>
    <xf numFmtId="166" fontId="30" fillId="0" borderId="0" xfId="0" applyNumberFormat="1" applyFont="1" applyFill="1" applyAlignment="1">
      <alignment horizontal="left" indent="1"/>
    </xf>
    <xf numFmtId="0" fontId="29" fillId="0" borderId="45" xfId="42" applyFont="1" applyBorder="1" applyAlignment="1">
      <alignment horizontal="center"/>
    </xf>
    <xf numFmtId="0" fontId="29" fillId="0" borderId="46" xfId="42" applyFont="1" applyBorder="1" applyAlignment="1">
      <alignment horizontal="center"/>
    </xf>
    <xf numFmtId="0" fontId="29" fillId="0" borderId="71" xfId="42" applyFont="1" applyBorder="1" applyAlignment="1"/>
    <xf numFmtId="0" fontId="29" fillId="0" borderId="47" xfId="42" applyFont="1" applyBorder="1" applyAlignment="1"/>
    <xf numFmtId="0" fontId="22" fillId="0" borderId="36" xfId="42" applyBorder="1" applyAlignment="1">
      <alignment horizontal="center"/>
    </xf>
    <xf numFmtId="0" fontId="16" fillId="0" borderId="15" xfId="0" applyFont="1" applyBorder="1" applyAlignment="1">
      <alignment horizontal="right"/>
    </xf>
    <xf numFmtId="0" fontId="40" fillId="0" borderId="0" xfId="0" applyFont="1"/>
    <xf numFmtId="0" fontId="0" fillId="36" borderId="94" xfId="0" applyFill="1" applyBorder="1"/>
    <xf numFmtId="0" fontId="0" fillId="36" borderId="96" xfId="0" applyFill="1" applyBorder="1"/>
    <xf numFmtId="0" fontId="0" fillId="36" borderId="97" xfId="0" applyFill="1" applyBorder="1"/>
    <xf numFmtId="0" fontId="0" fillId="36" borderId="98" xfId="0" applyFill="1" applyBorder="1" applyAlignment="1">
      <alignment horizontal="center"/>
    </xf>
    <xf numFmtId="14" fontId="0" fillId="36" borderId="58" xfId="0" applyNumberFormat="1" applyFill="1" applyBorder="1" applyAlignment="1">
      <alignment horizontal="center"/>
    </xf>
    <xf numFmtId="14" fontId="0" fillId="36" borderId="97" xfId="0" applyNumberFormat="1" applyFill="1" applyBorder="1" applyAlignment="1">
      <alignment horizontal="center"/>
    </xf>
    <xf numFmtId="0" fontId="0" fillId="36" borderId="99" xfId="0" applyFill="1" applyBorder="1" applyAlignment="1">
      <alignment horizontal="center"/>
    </xf>
    <xf numFmtId="0" fontId="22" fillId="36" borderId="96" xfId="42" applyFill="1" applyBorder="1"/>
    <xf numFmtId="0" fontId="22" fillId="36" borderId="97" xfId="42" applyFill="1" applyBorder="1"/>
    <xf numFmtId="0" fontId="22" fillId="36" borderId="99" xfId="42" applyFill="1" applyBorder="1" applyAlignment="1">
      <alignment horizontal="center"/>
    </xf>
    <xf numFmtId="0" fontId="22" fillId="0" borderId="56" xfId="42" applyBorder="1"/>
    <xf numFmtId="0" fontId="22" fillId="0" borderId="100" xfId="42" applyBorder="1" applyAlignment="1">
      <alignment horizontal="center"/>
    </xf>
    <xf numFmtId="0" fontId="22" fillId="0" borderId="90" xfId="42" applyBorder="1"/>
    <xf numFmtId="0" fontId="22" fillId="0" borderId="101" xfId="42" applyBorder="1" applyAlignment="1">
      <alignment horizontal="center"/>
    </xf>
    <xf numFmtId="0" fontId="22" fillId="0" borderId="59" xfId="42" applyBorder="1" applyAlignment="1">
      <alignment horizontal="center"/>
    </xf>
    <xf numFmtId="9" fontId="0" fillId="0" borderId="88" xfId="45" applyFont="1" applyBorder="1" applyAlignment="1">
      <alignment horizontal="center"/>
    </xf>
    <xf numFmtId="0" fontId="0" fillId="0" borderId="51" xfId="0" applyFill="1" applyBorder="1"/>
    <xf numFmtId="0" fontId="0" fillId="0" borderId="102" xfId="0" applyFill="1" applyBorder="1"/>
    <xf numFmtId="0" fontId="0" fillId="0" borderId="60" xfId="0" applyFill="1" applyBorder="1"/>
    <xf numFmtId="0" fontId="0" fillId="0" borderId="95" xfId="0" applyFill="1" applyBorder="1"/>
    <xf numFmtId="0" fontId="16" fillId="0" borderId="36" xfId="0" applyFont="1" applyBorder="1" applyAlignment="1">
      <alignment horizontal="center"/>
    </xf>
    <xf numFmtId="0" fontId="0" fillId="36" borderId="89" xfId="0" applyFill="1" applyBorder="1" applyAlignment="1">
      <alignment horizontal="center"/>
    </xf>
    <xf numFmtId="0" fontId="44" fillId="0" borderId="0" xfId="0" applyFont="1" applyBorder="1" applyAlignment="1">
      <alignment vertical="center" wrapText="1"/>
    </xf>
    <xf numFmtId="0" fontId="32" fillId="0" borderId="27" xfId="0" applyFont="1" applyFill="1" applyBorder="1" applyAlignment="1">
      <alignment horizontal="center" vertical="center" wrapText="1"/>
    </xf>
    <xf numFmtId="0" fontId="32" fillId="0" borderId="28" xfId="0" applyFont="1" applyFill="1" applyBorder="1" applyAlignment="1">
      <alignment horizontal="center" vertical="center" wrapText="1"/>
    </xf>
    <xf numFmtId="0" fontId="32" fillId="0" borderId="29" xfId="0" applyFont="1" applyFill="1" applyBorder="1" applyAlignment="1">
      <alignment horizontal="center" vertical="center" wrapText="1"/>
    </xf>
    <xf numFmtId="0" fontId="19" fillId="0" borderId="14" xfId="0" applyFont="1" applyFill="1" applyBorder="1" applyAlignment="1">
      <alignment horizontal="center" vertical="center" wrapText="1"/>
    </xf>
    <xf numFmtId="9" fontId="0" fillId="0" borderId="52" xfId="45" applyFont="1" applyBorder="1" applyAlignment="1">
      <alignment horizontal="center"/>
    </xf>
    <xf numFmtId="0" fontId="29" fillId="0" borderId="12" xfId="42" applyFont="1" applyBorder="1" applyAlignment="1">
      <alignment horizontal="center" wrapText="1"/>
    </xf>
    <xf numFmtId="0" fontId="29" fillId="0" borderId="13" xfId="42" applyFont="1" applyBorder="1" applyAlignment="1">
      <alignment horizontal="center" wrapText="1"/>
    </xf>
    <xf numFmtId="0" fontId="22" fillId="0" borderId="104" xfId="42" applyBorder="1" applyAlignment="1">
      <alignment horizontal="center" wrapText="1"/>
    </xf>
    <xf numFmtId="0" fontId="22" fillId="0" borderId="10" xfId="42" applyBorder="1" applyAlignment="1">
      <alignment horizontal="center" wrapText="1"/>
    </xf>
    <xf numFmtId="0" fontId="0" fillId="36" borderId="58" xfId="0" applyFill="1" applyBorder="1" applyAlignment="1">
      <alignment horizontal="center"/>
    </xf>
    <xf numFmtId="164" fontId="0" fillId="33" borderId="0" xfId="0" applyNumberFormat="1" applyFill="1" applyAlignment="1">
      <alignment horizontal="center"/>
    </xf>
    <xf numFmtId="9" fontId="0" fillId="0" borderId="88" xfId="44" applyFont="1" applyBorder="1" applyAlignment="1">
      <alignment horizontal="center"/>
    </xf>
    <xf numFmtId="0" fontId="0" fillId="33" borderId="66" xfId="0" applyFill="1" applyBorder="1"/>
    <xf numFmtId="0" fontId="22" fillId="0" borderId="89" xfId="42" applyBorder="1" applyAlignment="1">
      <alignment horizontal="center"/>
    </xf>
    <xf numFmtId="0" fontId="22" fillId="0" borderId="43" xfId="42" applyBorder="1" applyAlignment="1">
      <alignment horizontal="center"/>
    </xf>
    <xf numFmtId="0" fontId="0" fillId="0" borderId="0" xfId="0" applyBorder="1" applyAlignment="1">
      <alignment horizontal="right"/>
    </xf>
    <xf numFmtId="0" fontId="0" fillId="0" borderId="30" xfId="0" applyBorder="1"/>
    <xf numFmtId="9" fontId="0" fillId="0" borderId="66" xfId="0" applyNumberFormat="1" applyBorder="1" applyAlignment="1">
      <alignment horizontal="center"/>
    </xf>
    <xf numFmtId="0" fontId="0" fillId="34" borderId="0" xfId="0" applyFill="1" applyBorder="1"/>
    <xf numFmtId="0" fontId="0" fillId="33" borderId="0" xfId="0" applyFill="1" applyBorder="1"/>
    <xf numFmtId="0" fontId="22" fillId="0" borderId="0" xfId="42" applyBorder="1" applyAlignment="1">
      <alignment horizontal="center"/>
    </xf>
    <xf numFmtId="9" fontId="0" fillId="0" borderId="0" xfId="0" applyNumberFormat="1" applyBorder="1" applyAlignment="1">
      <alignment horizontal="center"/>
    </xf>
    <xf numFmtId="14" fontId="22" fillId="36" borderId="97" xfId="42" applyNumberFormat="1" applyFill="1" applyBorder="1" applyAlignment="1">
      <alignment horizontal="center"/>
    </xf>
    <xf numFmtId="0" fontId="0" fillId="33" borderId="16" xfId="0" applyFill="1" applyBorder="1"/>
    <xf numFmtId="0" fontId="0" fillId="33" borderId="17" xfId="0" applyFill="1" applyBorder="1"/>
    <xf numFmtId="14" fontId="0" fillId="0" borderId="0" xfId="0" applyNumberFormat="1"/>
    <xf numFmtId="166" fontId="0" fillId="0" borderId="52" xfId="0" applyNumberFormat="1" applyBorder="1" applyAlignment="1">
      <alignment horizontal="center"/>
    </xf>
    <xf numFmtId="166" fontId="0" fillId="0" borderId="88" xfId="0" applyNumberFormat="1" applyBorder="1" applyAlignment="1">
      <alignment horizontal="center"/>
    </xf>
    <xf numFmtId="0" fontId="16" fillId="0" borderId="65" xfId="0" applyFont="1" applyFill="1" applyBorder="1" applyAlignment="1">
      <alignment horizontal="center" vertical="center" wrapText="1"/>
    </xf>
    <xf numFmtId="0" fontId="16" fillId="0" borderId="66" xfId="0" applyFont="1" applyFill="1" applyBorder="1" applyAlignment="1">
      <alignment horizontal="center" vertical="center"/>
    </xf>
    <xf numFmtId="0" fontId="16" fillId="0" borderId="79" xfId="0" applyFont="1" applyFill="1" applyBorder="1" applyAlignment="1">
      <alignment horizontal="center" vertical="center" wrapText="1"/>
    </xf>
    <xf numFmtId="166" fontId="0" fillId="0" borderId="100" xfId="0" applyNumberFormat="1" applyBorder="1" applyAlignment="1">
      <alignment horizontal="center"/>
    </xf>
    <xf numFmtId="166" fontId="0" fillId="0" borderId="101" xfId="0" applyNumberFormat="1" applyBorder="1" applyAlignment="1">
      <alignment horizontal="center"/>
    </xf>
    <xf numFmtId="0" fontId="21" fillId="0" borderId="105" xfId="0" applyFont="1" applyFill="1" applyBorder="1" applyAlignment="1">
      <alignment horizontal="center" vertical="center"/>
    </xf>
    <xf numFmtId="0" fontId="0" fillId="34" borderId="35" xfId="0" applyFill="1" applyBorder="1"/>
    <xf numFmtId="166" fontId="0" fillId="0" borderId="106" xfId="44" applyNumberFormat="1" applyFont="1" applyBorder="1" applyAlignment="1">
      <alignment horizontal="center"/>
    </xf>
    <xf numFmtId="14" fontId="0" fillId="0" borderId="0" xfId="0" applyNumberFormat="1" applyAlignment="1">
      <alignment horizontal="left" indent="1"/>
    </xf>
    <xf numFmtId="0" fontId="0" fillId="0" borderId="0" xfId="0" applyAlignment="1">
      <alignment horizontal="left" indent="1"/>
    </xf>
    <xf numFmtId="0" fontId="22" fillId="0" borderId="0" xfId="42" quotePrefix="1" applyBorder="1" applyAlignment="1">
      <alignment horizontal="left" indent="1"/>
    </xf>
    <xf numFmtId="0" fontId="0" fillId="0" borderId="50" xfId="0" applyFill="1" applyBorder="1"/>
    <xf numFmtId="0" fontId="0" fillId="0" borderId="59" xfId="0" applyFill="1" applyBorder="1"/>
    <xf numFmtId="0" fontId="0" fillId="33" borderId="47" xfId="0" applyFill="1" applyBorder="1"/>
    <xf numFmtId="0" fontId="0" fillId="0" borderId="56" xfId="0" applyFill="1" applyBorder="1" applyAlignment="1">
      <alignment horizontal="center"/>
    </xf>
    <xf numFmtId="0" fontId="0" fillId="0" borderId="90" xfId="0" applyFill="1" applyBorder="1" applyAlignment="1">
      <alignment horizontal="center"/>
    </xf>
    <xf numFmtId="0" fontId="0" fillId="0" borderId="59" xfId="0" applyFill="1" applyBorder="1" applyAlignment="1">
      <alignment horizontal="center"/>
    </xf>
    <xf numFmtId="0" fontId="0" fillId="0" borderId="60" xfId="0" applyFill="1" applyBorder="1" applyAlignment="1">
      <alignment horizontal="center"/>
    </xf>
    <xf numFmtId="0" fontId="0" fillId="0" borderId="88" xfId="0" applyFill="1" applyBorder="1" applyAlignment="1">
      <alignment horizontal="center"/>
    </xf>
    <xf numFmtId="0" fontId="0" fillId="0" borderId="104" xfId="0" applyFill="1" applyBorder="1" applyAlignment="1">
      <alignment horizontal="center"/>
    </xf>
    <xf numFmtId="0" fontId="0" fillId="0" borderId="107" xfId="0" applyFill="1" applyBorder="1" applyAlignment="1">
      <alignment horizontal="center"/>
    </xf>
    <xf numFmtId="0" fontId="0" fillId="0" borderId="108" xfId="0" applyFill="1" applyBorder="1" applyAlignment="1">
      <alignment horizontal="center"/>
    </xf>
    <xf numFmtId="0" fontId="0" fillId="0" borderId="109" xfId="0" applyFill="1" applyBorder="1" applyAlignment="1">
      <alignment horizontal="center"/>
    </xf>
    <xf numFmtId="0" fontId="0" fillId="0" borderId="110" xfId="0" applyFill="1" applyBorder="1"/>
    <xf numFmtId="0" fontId="0" fillId="0" borderId="48" xfId="0" applyFill="1" applyBorder="1" applyAlignment="1">
      <alignment horizontal="center"/>
    </xf>
    <xf numFmtId="0" fontId="0" fillId="0" borderId="111" xfId="0" applyFill="1" applyBorder="1"/>
    <xf numFmtId="0" fontId="22" fillId="0" borderId="90" xfId="42" applyBorder="1" applyAlignment="1">
      <alignment horizontal="center"/>
    </xf>
    <xf numFmtId="0" fontId="37" fillId="0" borderId="0" xfId="0" applyFont="1" applyFill="1"/>
    <xf numFmtId="2" fontId="0" fillId="0" borderId="0" xfId="0" applyNumberFormat="1"/>
    <xf numFmtId="166" fontId="0" fillId="0" borderId="88" xfId="0" applyNumberFormat="1" applyFill="1" applyBorder="1" applyAlignment="1">
      <alignment horizontal="center"/>
    </xf>
    <xf numFmtId="0" fontId="0" fillId="0" borderId="0" xfId="0" applyFill="1" applyAlignment="1">
      <alignment vertical="top" wrapText="1"/>
    </xf>
    <xf numFmtId="0" fontId="0" fillId="0" borderId="0" xfId="0" applyAlignment="1">
      <alignment vertical="top" wrapText="1"/>
    </xf>
    <xf numFmtId="0" fontId="0" fillId="0" borderId="0" xfId="0" applyAlignment="1">
      <alignment vertical="top"/>
    </xf>
    <xf numFmtId="0" fontId="21" fillId="0" borderId="0" xfId="0" applyFont="1" applyAlignment="1">
      <alignment vertical="top"/>
    </xf>
    <xf numFmtId="0" fontId="0" fillId="0" borderId="71" xfId="0" applyBorder="1" applyAlignment="1">
      <alignment horizontal="center"/>
    </xf>
    <xf numFmtId="0" fontId="0" fillId="0" borderId="72" xfId="0" applyBorder="1" applyAlignment="1">
      <alignment horizontal="center"/>
    </xf>
    <xf numFmtId="0" fontId="0" fillId="0" borderId="49" xfId="0" applyBorder="1" applyAlignment="1">
      <alignment horizontal="center"/>
    </xf>
    <xf numFmtId="0" fontId="0" fillId="0" borderId="33" xfId="0" applyBorder="1" applyAlignment="1">
      <alignment horizontal="center"/>
    </xf>
    <xf numFmtId="0" fontId="0" fillId="0" borderId="0" xfId="0" applyBorder="1" applyAlignment="1">
      <alignment horizontal="center"/>
    </xf>
    <xf numFmtId="0" fontId="0" fillId="0" borderId="30" xfId="0" applyBorder="1" applyAlignment="1">
      <alignment horizontal="center"/>
    </xf>
    <xf numFmtId="0" fontId="0" fillId="0" borderId="47" xfId="0" applyBorder="1" applyAlignment="1">
      <alignment horizontal="center"/>
    </xf>
    <xf numFmtId="0" fontId="0" fillId="0" borderId="34" xfId="0" applyBorder="1" applyAlignment="1">
      <alignment horizontal="center"/>
    </xf>
    <xf numFmtId="0" fontId="0" fillId="0" borderId="36" xfId="0" applyBorder="1" applyAlignment="1">
      <alignment horizontal="center"/>
    </xf>
    <xf numFmtId="167" fontId="44" fillId="0" borderId="112" xfId="0" applyNumberFormat="1" applyFont="1" applyBorder="1" applyAlignment="1">
      <alignment horizontal="center" vertical="center" wrapText="1"/>
    </xf>
    <xf numFmtId="167" fontId="44" fillId="0" borderId="93" xfId="0" applyNumberFormat="1" applyFont="1" applyBorder="1" applyAlignment="1">
      <alignment horizontal="center" vertical="center" wrapText="1"/>
    </xf>
    <xf numFmtId="167" fontId="44" fillId="0" borderId="113" xfId="0" applyNumberFormat="1" applyFont="1" applyBorder="1" applyAlignment="1">
      <alignment horizontal="center" vertical="center" wrapText="1"/>
    </xf>
    <xf numFmtId="167" fontId="44" fillId="0" borderId="114" xfId="0" applyNumberFormat="1" applyFont="1" applyBorder="1" applyAlignment="1">
      <alignment horizontal="center" vertical="center" wrapText="1"/>
    </xf>
    <xf numFmtId="167" fontId="44" fillId="0" borderId="0" xfId="0" applyNumberFormat="1" applyFont="1" applyBorder="1" applyAlignment="1">
      <alignment horizontal="center" vertical="center" wrapText="1"/>
    </xf>
    <xf numFmtId="167" fontId="44" fillId="0" borderId="103" xfId="0" applyNumberFormat="1" applyFont="1" applyBorder="1" applyAlignment="1">
      <alignment horizontal="center" vertical="center" wrapText="1"/>
    </xf>
    <xf numFmtId="167" fontId="44" fillId="0" borderId="115" xfId="0" applyNumberFormat="1" applyFont="1" applyBorder="1" applyAlignment="1">
      <alignment horizontal="center" vertical="center" wrapText="1"/>
    </xf>
    <xf numFmtId="167" fontId="44" fillId="0" borderId="116" xfId="0" applyNumberFormat="1" applyFont="1" applyBorder="1" applyAlignment="1">
      <alignment horizontal="center" vertical="center" wrapText="1"/>
    </xf>
    <xf numFmtId="167" fontId="44" fillId="0" borderId="117" xfId="0" applyNumberFormat="1" applyFont="1" applyBorder="1" applyAlignment="1">
      <alignment horizontal="center" vertical="center" wrapText="1"/>
    </xf>
    <xf numFmtId="0" fontId="30" fillId="0" borderId="15" xfId="0" applyFont="1" applyFill="1" applyBorder="1" applyAlignment="1">
      <alignment horizontal="center" vertical="center"/>
    </xf>
    <xf numFmtId="0" fontId="30" fillId="0" borderId="16" xfId="0" applyFont="1" applyFill="1" applyBorder="1" applyAlignment="1">
      <alignment horizontal="center" vertical="center"/>
    </xf>
    <xf numFmtId="0" fontId="30" fillId="0" borderId="17" xfId="0" applyFont="1" applyFill="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16" fillId="0" borderId="32" xfId="0" applyFont="1" applyFill="1" applyBorder="1" applyAlignment="1">
      <alignment horizontal="center"/>
    </xf>
    <xf numFmtId="0" fontId="16" fillId="0" borderId="31" xfId="0" applyFont="1" applyFill="1" applyBorder="1" applyAlignment="1">
      <alignment horizontal="center"/>
    </xf>
    <xf numFmtId="0" fontId="16" fillId="0" borderId="15" xfId="0" applyFont="1" applyFill="1" applyBorder="1" applyAlignment="1">
      <alignment horizontal="center" vertical="center"/>
    </xf>
    <xf numFmtId="0" fontId="16" fillId="0" borderId="16" xfId="0" applyFont="1" applyFill="1" applyBorder="1" applyAlignment="1">
      <alignment horizontal="center" vertical="center"/>
    </xf>
    <xf numFmtId="0" fontId="16" fillId="0" borderId="17" xfId="0" applyFont="1" applyFill="1" applyBorder="1" applyAlignment="1">
      <alignment horizontal="center" vertical="center"/>
    </xf>
    <xf numFmtId="0" fontId="16" fillId="0" borderId="15" xfId="0" applyFont="1" applyFill="1" applyBorder="1" applyAlignment="1">
      <alignment horizontal="center"/>
    </xf>
    <xf numFmtId="0" fontId="16" fillId="0" borderId="16" xfId="0" applyFont="1" applyFill="1" applyBorder="1" applyAlignment="1">
      <alignment horizontal="center"/>
    </xf>
    <xf numFmtId="0" fontId="16" fillId="0" borderId="17" xfId="0" applyFont="1" applyFill="1" applyBorder="1" applyAlignment="1">
      <alignment horizontal="center"/>
    </xf>
    <xf numFmtId="0" fontId="26" fillId="0" borderId="15" xfId="42" applyFont="1" applyBorder="1" applyAlignment="1">
      <alignment horizontal="center" vertical="center"/>
    </xf>
    <xf numFmtId="0" fontId="26" fillId="0" borderId="16" xfId="42" applyFont="1" applyBorder="1" applyAlignment="1">
      <alignment horizontal="center" vertical="center"/>
    </xf>
    <xf numFmtId="0" fontId="26" fillId="0" borderId="17" xfId="42" applyFont="1" applyBorder="1" applyAlignment="1">
      <alignment horizontal="center" vertical="center"/>
    </xf>
    <xf numFmtId="0" fontId="22" fillId="0" borderId="71" xfId="42" applyBorder="1" applyAlignment="1">
      <alignment horizontal="center"/>
    </xf>
    <xf numFmtId="0" fontId="22" fillId="0" borderId="49" xfId="42" applyBorder="1" applyAlignment="1">
      <alignment horizontal="center"/>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7" builtinId="8"/>
    <cellStyle name="Input" xfId="9" builtinId="20" customBuiltin="1"/>
    <cellStyle name="Linked Cell" xfId="12" builtinId="24" customBuiltin="1"/>
    <cellStyle name="Neutral" xfId="8" builtinId="28" customBuiltin="1"/>
    <cellStyle name="Normal" xfId="0" builtinId="0"/>
    <cellStyle name="Normal 2" xfId="42"/>
    <cellStyle name="Normal 3" xfId="43"/>
    <cellStyle name="Normal 4" xfId="46"/>
    <cellStyle name="Note" xfId="15" builtinId="10" customBuiltin="1"/>
    <cellStyle name="Output" xfId="10" builtinId="21" customBuiltin="1"/>
    <cellStyle name="Percent" xfId="44" builtinId="5"/>
    <cellStyle name="Percent 2" xfId="45"/>
    <cellStyle name="Title" xfId="1" builtinId="15" customBuiltin="1"/>
    <cellStyle name="Total" xfId="17" builtinId="25" customBuiltin="1"/>
    <cellStyle name="Warning Text" xfId="14" builtinId="11" customBuiltin="1"/>
  </cellStyles>
  <dxfs count="70">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ont>
        <strike val="0"/>
      </font>
      <fill>
        <patternFill>
          <bgColor theme="5" tint="0.79998168889431442"/>
        </patternFill>
      </fill>
    </dxf>
    <dxf>
      <fill>
        <patternFill>
          <bgColor rgb="FFF7EAE9"/>
        </patternFill>
      </fill>
    </dxf>
    <dxf>
      <fill>
        <patternFill>
          <bgColor rgb="FFF7EAE9"/>
        </patternFill>
      </fill>
    </dxf>
    <dxf>
      <fill>
        <patternFill>
          <bgColor rgb="FFF7EAE9"/>
        </patternFill>
      </fill>
    </dxf>
    <dxf>
      <fill>
        <patternFill>
          <bgColor rgb="FFF7EAE9"/>
        </patternFill>
      </fill>
    </dxf>
    <dxf>
      <fill>
        <patternFill>
          <bgColor rgb="FFF7EAE9"/>
        </patternFill>
      </fill>
    </dxf>
    <dxf>
      <fill>
        <patternFill>
          <bgColor rgb="FFF7EAE9"/>
        </patternFill>
      </fill>
    </dxf>
    <dxf>
      <fill>
        <patternFill>
          <bgColor rgb="FFF7EAE9"/>
        </patternFill>
      </fill>
    </dxf>
    <dxf>
      <fill>
        <patternFill>
          <bgColor rgb="FFF7EAE9"/>
        </patternFill>
      </fill>
    </dxf>
    <dxf>
      <fill>
        <patternFill>
          <bgColor rgb="FFF7EAE9"/>
        </patternFill>
      </fill>
    </dxf>
    <dxf>
      <fill>
        <patternFill>
          <bgColor rgb="FFF7EAE9"/>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FFD1D6"/>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Course Activity</a:t>
            </a:r>
          </a:p>
        </c:rich>
      </c:tx>
      <c:overlay val="0"/>
    </c:title>
    <c:autoTitleDeleted val="0"/>
    <c:plotArea>
      <c:layout/>
      <c:barChart>
        <c:barDir val="col"/>
        <c:grouping val="clustered"/>
        <c:varyColors val="0"/>
        <c:ser>
          <c:idx val="0"/>
          <c:order val="0"/>
          <c:tx>
            <c:v>Forum</c:v>
          </c:tx>
          <c:invertIfNegative val="0"/>
          <c:cat>
            <c:numRef>
              <c:f>'Summary-Forum'!$D$25:$S$25</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'Summary-Forum'!$D$54:$S$54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ser>
          <c:idx val="1"/>
          <c:order val="1"/>
          <c:tx>
            <c:v>Visits</c:v>
          </c:tx>
          <c:invertIfNegative val="0"/>
          <c:val>
            <c:numRef>
              <c:f>'Summary-Visits'!$C$36:$R$36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ser>
          <c:idx val="2"/>
          <c:order val="2"/>
          <c:tx>
            <c:v>Faculty</c:v>
          </c:tx>
          <c:invertIfNegative val="0"/>
          <c:val>
            <c:numRef>
              <c:f>'Summary-Forum'!$M$5:$M$20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ser>
          <c:idx val="7"/>
          <c:order val="3"/>
          <c:tx>
            <c:v>Dummy1b</c:v>
          </c:tx>
          <c:invertIfNegative val="0"/>
          <c:val>
            <c:numLit>
              <c:formatCode>General</c:formatCode>
              <c:ptCount val="1"/>
              <c:pt idx="0">
                <c:v>0</c:v>
              </c:pt>
            </c:numLit>
          </c:val>
        </c:ser>
        <c:dLbls>
          <c:showLegendKey val="0"/>
          <c:showVal val="0"/>
          <c:showCatName val="0"/>
          <c:showSerName val="0"/>
          <c:showPercent val="0"/>
          <c:showBubbleSize val="0"/>
        </c:dLbls>
        <c:gapWidth val="150"/>
        <c:axId val="99219456"/>
        <c:axId val="97241920"/>
      </c:barChart>
      <c:barChart>
        <c:barDir val="col"/>
        <c:grouping val="clustered"/>
        <c:varyColors val="0"/>
        <c:ser>
          <c:idx val="4"/>
          <c:order val="4"/>
          <c:tx>
            <c:v>Dummy1</c:v>
          </c:tx>
          <c:invertIfNegative val="0"/>
          <c:val>
            <c:numLit>
              <c:formatCode>General</c:formatCode>
              <c:ptCount val="1"/>
              <c:pt idx="0">
                <c:v>0</c:v>
              </c:pt>
            </c:numLit>
          </c:val>
        </c:ser>
        <c:ser>
          <c:idx val="5"/>
          <c:order val="5"/>
          <c:tx>
            <c:v>Dummy2</c:v>
          </c:tx>
          <c:invertIfNegative val="0"/>
          <c:val>
            <c:numLit>
              <c:formatCode>General</c:formatCode>
              <c:ptCount val="1"/>
              <c:pt idx="0">
                <c:v>0</c:v>
              </c:pt>
            </c:numLit>
          </c:val>
        </c:ser>
        <c:ser>
          <c:idx val="6"/>
          <c:order val="6"/>
          <c:tx>
            <c:v>Dummy3</c:v>
          </c:tx>
          <c:invertIfNegative val="0"/>
          <c:val>
            <c:numLit>
              <c:formatCode>General</c:formatCode>
              <c:ptCount val="1"/>
              <c:pt idx="0">
                <c:v>0</c:v>
              </c:pt>
            </c:numLit>
          </c:val>
        </c:ser>
        <c:ser>
          <c:idx val="3"/>
          <c:order val="7"/>
          <c:tx>
            <c:v>Submits</c:v>
          </c:tx>
          <c:invertIfNegative val="0"/>
          <c:val>
            <c:numRef>
              <c:f>'Data-Submits'!$C$46:$R$46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dLbls>
          <c:showLegendKey val="0"/>
          <c:showVal val="0"/>
          <c:showCatName val="0"/>
          <c:showSerName val="0"/>
          <c:showPercent val="0"/>
          <c:showBubbleSize val="0"/>
        </c:dLbls>
        <c:gapWidth val="150"/>
        <c:axId val="99219968"/>
        <c:axId val="97242496"/>
      </c:barChart>
      <c:catAx>
        <c:axId val="99219456"/>
        <c:scaling>
          <c:orientation val="minMax"/>
        </c:scaling>
        <c:delete val="0"/>
        <c:axPos val="b"/>
        <c:numFmt formatCode="General" sourceLinked="1"/>
        <c:majorTickMark val="none"/>
        <c:minorTickMark val="none"/>
        <c:tickLblPos val="nextTo"/>
        <c:crossAx val="97241920"/>
        <c:crosses val="autoZero"/>
        <c:auto val="1"/>
        <c:lblAlgn val="ctr"/>
        <c:lblOffset val="100"/>
        <c:noMultiLvlLbl val="0"/>
      </c:catAx>
      <c:valAx>
        <c:axId val="97241920"/>
        <c:scaling>
          <c:orientation val="minMax"/>
        </c:scaling>
        <c:delete val="0"/>
        <c:axPos val="l"/>
        <c:majorGridlines/>
        <c:numFmt formatCode="General" sourceLinked="1"/>
        <c:majorTickMark val="none"/>
        <c:minorTickMark val="none"/>
        <c:tickLblPos val="nextTo"/>
        <c:crossAx val="99219456"/>
        <c:crosses val="autoZero"/>
        <c:crossBetween val="between"/>
      </c:valAx>
      <c:valAx>
        <c:axId val="97242496"/>
        <c:scaling>
          <c:orientation val="minMax"/>
        </c:scaling>
        <c:delete val="0"/>
        <c:axPos val="r"/>
        <c:numFmt formatCode="General" sourceLinked="1"/>
        <c:majorTickMark val="out"/>
        <c:minorTickMark val="none"/>
        <c:tickLblPos val="nextTo"/>
        <c:crossAx val="99219968"/>
        <c:crosses val="max"/>
        <c:crossBetween val="between"/>
      </c:valAx>
      <c:catAx>
        <c:axId val="99219968"/>
        <c:scaling>
          <c:orientation val="minMax"/>
        </c:scaling>
        <c:delete val="1"/>
        <c:axPos val="b"/>
        <c:majorTickMark val="out"/>
        <c:minorTickMark val="none"/>
        <c:tickLblPos val="nextTo"/>
        <c:crossAx val="97242496"/>
        <c:crosses val="autoZero"/>
        <c:auto val="1"/>
        <c:lblAlgn val="ctr"/>
        <c:lblOffset val="100"/>
        <c:noMultiLvlLbl val="0"/>
      </c:catAx>
    </c:plotArea>
    <c:legend>
      <c:legendPos val="r"/>
      <c:legendEntry>
        <c:idx val="3"/>
        <c:delete val="1"/>
      </c:legendEntry>
      <c:legendEntry>
        <c:idx val="4"/>
        <c:delete val="1"/>
      </c:legendEntry>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Student Forum Usage</a:t>
            </a:r>
          </a:p>
        </c:rich>
      </c:tx>
      <c:layout>
        <c:manualLayout>
          <c:xMode val="edge"/>
          <c:yMode val="edge"/>
          <c:x val="0.41807569539443684"/>
          <c:y val="2.9197080291970802E-2"/>
        </c:manualLayout>
      </c:layout>
      <c:overlay val="0"/>
    </c:title>
    <c:autoTitleDeleted val="0"/>
    <c:plotArea>
      <c:layout/>
      <c:barChart>
        <c:barDir val="col"/>
        <c:grouping val="clustered"/>
        <c:varyColors val="0"/>
        <c:ser>
          <c:idx val="1"/>
          <c:order val="0"/>
          <c:tx>
            <c:strRef>
              <c:f>'Summary-Forum'!$C$4</c:f>
              <c:strCache>
                <c:ptCount val="1"/>
                <c:pt idx="0">
                  <c:v>new*</c:v>
                </c:pt>
              </c:strCache>
            </c:strRef>
          </c:tx>
          <c:invertIfNegative val="0"/>
          <c:val>
            <c:numRef>
              <c:f>'Summary-Forum'!$C$5:$C$20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ser>
          <c:idx val="2"/>
          <c:order val="1"/>
          <c:tx>
            <c:strRef>
              <c:f>'Summary-Forum'!$D$4</c:f>
              <c:strCache>
                <c:ptCount val="1"/>
                <c:pt idx="0">
                  <c:v>read*</c:v>
                </c:pt>
              </c:strCache>
            </c:strRef>
          </c:tx>
          <c:invertIfNegative val="0"/>
          <c:val>
            <c:numRef>
              <c:f>'Summary-Forum'!$D$5:$D$20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ser>
          <c:idx val="3"/>
          <c:order val="2"/>
          <c:tx>
            <c:strRef>
              <c:f>'Summary-Forum'!$E$4</c:f>
              <c:strCache>
                <c:ptCount val="1"/>
                <c:pt idx="0">
                  <c:v>response*</c:v>
                </c:pt>
              </c:strCache>
            </c:strRef>
          </c:tx>
          <c:invertIfNegative val="0"/>
          <c:val>
            <c:numRef>
              <c:f>'Summary-Forum'!$E$5:$E$20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er>
        <c:dLbls>
          <c:showLegendKey val="0"/>
          <c:showVal val="0"/>
          <c:showCatName val="0"/>
          <c:showSerName val="0"/>
          <c:showPercent val="0"/>
          <c:showBubbleSize val="0"/>
        </c:dLbls>
        <c:gapWidth val="150"/>
        <c:axId val="99508736"/>
        <c:axId val="97244224"/>
      </c:barChart>
      <c:catAx>
        <c:axId val="99508736"/>
        <c:scaling>
          <c:orientation val="minMax"/>
        </c:scaling>
        <c:delete val="0"/>
        <c:axPos val="b"/>
        <c:majorTickMark val="none"/>
        <c:minorTickMark val="none"/>
        <c:tickLblPos val="nextTo"/>
        <c:crossAx val="97244224"/>
        <c:crosses val="autoZero"/>
        <c:auto val="1"/>
        <c:lblAlgn val="ctr"/>
        <c:lblOffset val="100"/>
        <c:noMultiLvlLbl val="0"/>
      </c:catAx>
      <c:valAx>
        <c:axId val="97244224"/>
        <c:scaling>
          <c:orientation val="minMax"/>
        </c:scaling>
        <c:delete val="0"/>
        <c:axPos val="l"/>
        <c:majorGridlines/>
        <c:numFmt formatCode="General" sourceLinked="1"/>
        <c:majorTickMark val="none"/>
        <c:minorTickMark val="none"/>
        <c:tickLblPos val="nextTo"/>
        <c:crossAx val="99508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akai.cs.mum.edu/portal/tool/3079c7b5-e5c2-4870-a2d3-e6439db9031b/discussionForum/statistics/dfStatisticsLis##"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533400</xdr:colOff>
          <xdr:row>4</xdr:row>
          <xdr:rowOff>133350</xdr:rowOff>
        </xdr:from>
        <xdr:to>
          <xdr:col>10</xdr:col>
          <xdr:colOff>390525</xdr:colOff>
          <xdr:row>5</xdr:row>
          <xdr:rowOff>180975</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0" i="0" u="none" strike="noStrike" baseline="0">
                  <a:solidFill>
                    <a:srgbClr val="000080"/>
                  </a:solidFill>
                  <a:latin typeface="Calibri"/>
                </a:rPr>
                <a:t>Update All Data</a:t>
              </a:r>
            </a:p>
          </xdr:txBody>
        </xdr:sp>
        <xdr:clientData fPrintsWithSheet="0"/>
      </xdr:twoCellAnchor>
    </mc:Choice>
    <mc:Fallback/>
  </mc:AlternateContent>
  <xdr:twoCellAnchor>
    <xdr:from>
      <xdr:col>0</xdr:col>
      <xdr:colOff>204786</xdr:colOff>
      <xdr:row>15</xdr:row>
      <xdr:rowOff>171450</xdr:rowOff>
    </xdr:from>
    <xdr:to>
      <xdr:col>11</xdr:col>
      <xdr:colOff>476250</xdr:colOff>
      <xdr:row>32</xdr:row>
      <xdr:rowOff>176212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323850</xdr:colOff>
      <xdr:row>35</xdr:row>
      <xdr:rowOff>9525</xdr:rowOff>
    </xdr:from>
    <xdr:to>
      <xdr:col>11</xdr:col>
      <xdr:colOff>9525</xdr:colOff>
      <xdr:row>50</xdr:row>
      <xdr:rowOff>123825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571500</xdr:colOff>
          <xdr:row>6</xdr:row>
          <xdr:rowOff>9525</xdr:rowOff>
        </xdr:from>
        <xdr:to>
          <xdr:col>10</xdr:col>
          <xdr:colOff>428625</xdr:colOff>
          <xdr:row>7</xdr:row>
          <xdr:rowOff>200025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800" b="0" i="0" u="none" strike="noStrike" baseline="0">
                  <a:solidFill>
                    <a:srgbClr val="000080"/>
                  </a:solidFill>
                  <a:latin typeface="Calibri"/>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4</xdr:row>
      <xdr:rowOff>0</xdr:rowOff>
    </xdr:from>
    <xdr:ext cx="104775" cy="104775"/>
    <xdr:pic>
      <xdr:nvPicPr>
        <xdr:cNvPr id="2" name="Picture 1" descr="Sort By Name">
          <a:hlinkClick xmlns:r="http://schemas.openxmlformats.org/officeDocument/2006/relationships" r:id="rId1" tooltip="Name"/>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762000"/>
          <a:ext cx="104775" cy="10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12</xdr:row>
      <xdr:rowOff>0</xdr:rowOff>
    </xdr:from>
    <xdr:to>
      <xdr:col>11</xdr:col>
      <xdr:colOff>189715</xdr:colOff>
      <xdr:row>22</xdr:row>
      <xdr:rowOff>47381</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762000"/>
          <a:ext cx="6285715" cy="1952381"/>
        </a:xfrm>
        <a:prstGeom prst="rect">
          <a:avLst/>
        </a:prstGeom>
        <a:ln>
          <a:solidFill>
            <a:schemeClr val="accent1"/>
          </a:solidFill>
        </a:ln>
      </xdr:spPr>
    </xdr:pic>
    <xdr:clientData/>
  </xdr:twoCellAnchor>
  <xdr:twoCellAnchor editAs="oneCell">
    <xdr:from>
      <xdr:col>1</xdr:col>
      <xdr:colOff>0</xdr:colOff>
      <xdr:row>24</xdr:row>
      <xdr:rowOff>0</xdr:rowOff>
    </xdr:from>
    <xdr:to>
      <xdr:col>12</xdr:col>
      <xdr:colOff>65829</xdr:colOff>
      <xdr:row>33</xdr:row>
      <xdr:rowOff>133119</xdr:rowOff>
    </xdr:to>
    <xdr:pic>
      <xdr:nvPicPr>
        <xdr:cNvPr id="3" name="Picture 2"/>
        <xdr:cNvPicPr>
          <a:picLocks noChangeAspect="1"/>
        </xdr:cNvPicPr>
      </xdr:nvPicPr>
      <xdr:blipFill>
        <a:blip xmlns:r="http://schemas.openxmlformats.org/officeDocument/2006/relationships" r:embed="rId2"/>
        <a:stretch>
          <a:fillRect/>
        </a:stretch>
      </xdr:blipFill>
      <xdr:spPr>
        <a:xfrm>
          <a:off x="609600" y="3095625"/>
          <a:ext cx="6771429" cy="1847619"/>
        </a:xfrm>
        <a:prstGeom prst="rect">
          <a:avLst/>
        </a:prstGeom>
        <a:ln>
          <a:solidFill>
            <a:schemeClr val="accent1"/>
          </a:solidFill>
        </a:ln>
      </xdr:spPr>
    </xdr:pic>
    <xdr:clientData/>
  </xdr:twoCellAnchor>
  <xdr:twoCellAnchor editAs="oneCell">
    <xdr:from>
      <xdr:col>1</xdr:col>
      <xdr:colOff>0</xdr:colOff>
      <xdr:row>35</xdr:row>
      <xdr:rowOff>0</xdr:rowOff>
    </xdr:from>
    <xdr:to>
      <xdr:col>11</xdr:col>
      <xdr:colOff>570667</xdr:colOff>
      <xdr:row>44</xdr:row>
      <xdr:rowOff>47405</xdr:rowOff>
    </xdr:to>
    <xdr:pic>
      <xdr:nvPicPr>
        <xdr:cNvPr id="4" name="Picture 3"/>
        <xdr:cNvPicPr>
          <a:picLocks noChangeAspect="1"/>
        </xdr:cNvPicPr>
      </xdr:nvPicPr>
      <xdr:blipFill>
        <a:blip xmlns:r="http://schemas.openxmlformats.org/officeDocument/2006/relationships" r:embed="rId3"/>
        <a:stretch>
          <a:fillRect/>
        </a:stretch>
      </xdr:blipFill>
      <xdr:spPr>
        <a:xfrm>
          <a:off x="609600" y="5191125"/>
          <a:ext cx="6666667" cy="1761905"/>
        </a:xfrm>
        <a:prstGeom prst="rect">
          <a:avLst/>
        </a:prstGeom>
        <a:ln>
          <a:solidFill>
            <a:schemeClr val="accent1"/>
          </a:solidFill>
        </a:ln>
      </xdr:spPr>
    </xdr:pic>
    <xdr:clientData/>
  </xdr:twoCellAnchor>
  <xdr:twoCellAnchor editAs="oneCell">
    <xdr:from>
      <xdr:col>3</xdr:col>
      <xdr:colOff>9525</xdr:colOff>
      <xdr:row>1</xdr:row>
      <xdr:rowOff>9525</xdr:rowOff>
    </xdr:from>
    <xdr:to>
      <xdr:col>8</xdr:col>
      <xdr:colOff>75811</xdr:colOff>
      <xdr:row>10</xdr:row>
      <xdr:rowOff>114019</xdr:rowOff>
    </xdr:to>
    <xdr:pic>
      <xdr:nvPicPr>
        <xdr:cNvPr id="5" name="Picture 4"/>
        <xdr:cNvPicPr>
          <a:picLocks noChangeAspect="1"/>
        </xdr:cNvPicPr>
      </xdr:nvPicPr>
      <xdr:blipFill>
        <a:blip xmlns:r="http://schemas.openxmlformats.org/officeDocument/2006/relationships" r:embed="rId4"/>
        <a:stretch>
          <a:fillRect/>
        </a:stretch>
      </xdr:blipFill>
      <xdr:spPr>
        <a:xfrm>
          <a:off x="1838325" y="628650"/>
          <a:ext cx="3114286" cy="2247619"/>
        </a:xfrm>
        <a:prstGeom prst="rect">
          <a:avLst/>
        </a:prstGeom>
        <a:ln>
          <a:solidFill>
            <a:schemeClr val="accent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hyperlink" Target="http://sakai.cs.mum.edu/portal/tool/3079c7b5-e5c2-4870-a2d3-e6439db9031b/discussionForum/statistics/dfStatisticsList" TargetMode="External"/><Relationship Id="rId13" Type="http://schemas.openxmlformats.org/officeDocument/2006/relationships/hyperlink" Target="http://sakai.cs.mum.edu/portal/tool/3079c7b5-e5c2-4870-a2d3-e6439db9031b/discussionForum/statistics/dfStatisticsList" TargetMode="External"/><Relationship Id="rId18" Type="http://schemas.openxmlformats.org/officeDocument/2006/relationships/hyperlink" Target="http://sakai.cs.mum.edu/portal/tool/3079c7b5-e5c2-4870-a2d3-e6439db9031b/discussionForum/statistics/dfStatisticsList" TargetMode="External"/><Relationship Id="rId26" Type="http://schemas.openxmlformats.org/officeDocument/2006/relationships/hyperlink" Target="http://sakai.cs.mum.edu/portal/tool/3079c7b5-e5c2-4870-a2d3-e6439db9031b/discussionForum/statistics/dfStatisticsList" TargetMode="External"/><Relationship Id="rId3" Type="http://schemas.openxmlformats.org/officeDocument/2006/relationships/hyperlink" Target="http://sakai.cs.mum.edu/portal/tool/3079c7b5-e5c2-4870-a2d3-e6439db9031b/discussionForum/statistics/dfStatisticsList" TargetMode="External"/><Relationship Id="rId21" Type="http://schemas.openxmlformats.org/officeDocument/2006/relationships/hyperlink" Target="http://sakai.cs.mum.edu/portal/tool/3079c7b5-e5c2-4870-a2d3-e6439db9031b/discussionForum/statistics/dfStatisticsList" TargetMode="External"/><Relationship Id="rId7" Type="http://schemas.openxmlformats.org/officeDocument/2006/relationships/hyperlink" Target="http://sakai.cs.mum.edu/portal/tool/3079c7b5-e5c2-4870-a2d3-e6439db9031b/discussionForum/statistics/dfStatisticsList" TargetMode="External"/><Relationship Id="rId12" Type="http://schemas.openxmlformats.org/officeDocument/2006/relationships/hyperlink" Target="http://sakai.cs.mum.edu/portal/tool/3079c7b5-e5c2-4870-a2d3-e6439db9031b/discussionForum/statistics/dfStatisticsList" TargetMode="External"/><Relationship Id="rId17" Type="http://schemas.openxmlformats.org/officeDocument/2006/relationships/hyperlink" Target="http://sakai.cs.mum.edu/portal/tool/3079c7b5-e5c2-4870-a2d3-e6439db9031b/discussionForum/statistics/dfStatisticsList" TargetMode="External"/><Relationship Id="rId25" Type="http://schemas.openxmlformats.org/officeDocument/2006/relationships/hyperlink" Target="http://sakai.cs.mum.edu/portal/tool/3079c7b5-e5c2-4870-a2d3-e6439db9031b/discussionForum/statistics/dfStatisticsList" TargetMode="External"/><Relationship Id="rId2" Type="http://schemas.openxmlformats.org/officeDocument/2006/relationships/hyperlink" Target="http://sakai.cs.mum.edu/portal/tool/3079c7b5-e5c2-4870-a2d3-e6439db9031b/discussionForum/statistics/dfStatisticsList" TargetMode="External"/><Relationship Id="rId16" Type="http://schemas.openxmlformats.org/officeDocument/2006/relationships/hyperlink" Target="http://sakai.cs.mum.edu/portal/tool/3079c7b5-e5c2-4870-a2d3-e6439db9031b/discussionForum/statistics/dfStatisticsList" TargetMode="External"/><Relationship Id="rId20" Type="http://schemas.openxmlformats.org/officeDocument/2006/relationships/hyperlink" Target="http://sakai.cs.mum.edu/portal/tool/3079c7b5-e5c2-4870-a2d3-e6439db9031b/discussionForum/statistics/dfStatisticsList" TargetMode="External"/><Relationship Id="rId1" Type="http://schemas.openxmlformats.org/officeDocument/2006/relationships/hyperlink" Target="http://sakai.cs.mum.edu/portal/tool/3079c7b5-e5c2-4870-a2d3-e6439db9031b/discussionForum/statistics/dfStatisticsList" TargetMode="External"/><Relationship Id="rId6" Type="http://schemas.openxmlformats.org/officeDocument/2006/relationships/hyperlink" Target="http://sakai.cs.mum.edu/portal/tool/3079c7b5-e5c2-4870-a2d3-e6439db9031b/discussionForum/statistics/dfStatisticsList" TargetMode="External"/><Relationship Id="rId11" Type="http://schemas.openxmlformats.org/officeDocument/2006/relationships/hyperlink" Target="http://sakai.cs.mum.edu/portal/tool/3079c7b5-e5c2-4870-a2d3-e6439db9031b/discussionForum/statistics/dfStatisticsList" TargetMode="External"/><Relationship Id="rId24" Type="http://schemas.openxmlformats.org/officeDocument/2006/relationships/hyperlink" Target="http://sakai.cs.mum.edu/portal/tool/3079c7b5-e5c2-4870-a2d3-e6439db9031b/discussionForum/statistics/dfStatisticsList" TargetMode="External"/><Relationship Id="rId5" Type="http://schemas.openxmlformats.org/officeDocument/2006/relationships/hyperlink" Target="http://sakai.cs.mum.edu/portal/tool/3079c7b5-e5c2-4870-a2d3-e6439db9031b/discussionForum/statistics/dfStatisticsList" TargetMode="External"/><Relationship Id="rId15" Type="http://schemas.openxmlformats.org/officeDocument/2006/relationships/hyperlink" Target="http://sakai.cs.mum.edu/portal/tool/3079c7b5-e5c2-4870-a2d3-e6439db9031b/discussionForum/statistics/dfStatisticsList" TargetMode="External"/><Relationship Id="rId23" Type="http://schemas.openxmlformats.org/officeDocument/2006/relationships/hyperlink" Target="http://sakai.cs.mum.edu/portal/tool/3079c7b5-e5c2-4870-a2d3-e6439db9031b/discussionForum/statistics/dfStatisticsList" TargetMode="External"/><Relationship Id="rId28" Type="http://schemas.openxmlformats.org/officeDocument/2006/relationships/drawing" Target="../drawings/drawing2.xml"/><Relationship Id="rId10" Type="http://schemas.openxmlformats.org/officeDocument/2006/relationships/hyperlink" Target="http://sakai.cs.mum.edu/portal/tool/3079c7b5-e5c2-4870-a2d3-e6439db9031b/discussionForum/statistics/dfStatisticsList" TargetMode="External"/><Relationship Id="rId19" Type="http://schemas.openxmlformats.org/officeDocument/2006/relationships/hyperlink" Target="http://sakai.cs.mum.edu/portal/tool/3079c7b5-e5c2-4870-a2d3-e6439db9031b/discussionForum/statistics/dfStatisticsList" TargetMode="External"/><Relationship Id="rId4" Type="http://schemas.openxmlformats.org/officeDocument/2006/relationships/hyperlink" Target="http://sakai.cs.mum.edu/portal/tool/3079c7b5-e5c2-4870-a2d3-e6439db9031b/discussionForum/statistics/dfStatisticsList" TargetMode="External"/><Relationship Id="rId9" Type="http://schemas.openxmlformats.org/officeDocument/2006/relationships/hyperlink" Target="http://sakai.cs.mum.edu/portal/tool/3079c7b5-e5c2-4870-a2d3-e6439db9031b/discussionForum/statistics/dfStatisticsList" TargetMode="External"/><Relationship Id="rId14" Type="http://schemas.openxmlformats.org/officeDocument/2006/relationships/hyperlink" Target="http://sakai.cs.mum.edu/portal/tool/3079c7b5-e5c2-4870-a2d3-e6439db9031b/discussionForum/statistics/dfStatisticsList" TargetMode="External"/><Relationship Id="rId22" Type="http://schemas.openxmlformats.org/officeDocument/2006/relationships/hyperlink" Target="http://sakai.cs.mum.edu/portal/tool/3079c7b5-e5c2-4870-a2d3-e6439db9031b/discussionForum/statistics/dfStatisticsList" TargetMode="External"/><Relationship Id="rId27"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O15"/>
  <sheetViews>
    <sheetView zoomScale="85" zoomScaleNormal="85" workbookViewId="0">
      <selection activeCell="F10" sqref="F10:L13"/>
    </sheetView>
  </sheetViews>
  <sheetFormatPr defaultRowHeight="15" x14ac:dyDescent="0.25"/>
  <cols>
    <col min="1" max="1" width="9.140625" customWidth="1"/>
    <col min="2" max="2" width="16.28515625" customWidth="1"/>
    <col min="3" max="3" width="8.28515625" customWidth="1"/>
    <col min="4" max="4" width="14.28515625" customWidth="1"/>
  </cols>
  <sheetData>
    <row r="1" spans="1:15" ht="21" x14ac:dyDescent="0.35">
      <c r="A1" s="149" t="s">
        <v>109</v>
      </c>
      <c r="D1" s="259" t="str">
        <f>CourseName</f>
        <v>Cs525 ASD - Fall 2012</v>
      </c>
      <c r="L1" s="97" t="s">
        <v>428</v>
      </c>
    </row>
    <row r="2" spans="1:15" ht="13.5" customHeight="1" x14ac:dyDescent="0.35">
      <c r="A2" s="149"/>
      <c r="D2" s="117"/>
      <c r="L2" s="216"/>
    </row>
    <row r="3" spans="1:15" ht="21" x14ac:dyDescent="0.35">
      <c r="A3" s="149"/>
      <c r="B3" s="226" t="s">
        <v>194</v>
      </c>
      <c r="D3" s="117" t="s">
        <v>318</v>
      </c>
      <c r="L3" s="227"/>
    </row>
    <row r="4" spans="1:15" ht="21" x14ac:dyDescent="0.35">
      <c r="A4" s="149"/>
      <c r="B4" s="249" t="s">
        <v>195</v>
      </c>
      <c r="C4" s="250"/>
      <c r="D4" s="260">
        <v>40817</v>
      </c>
      <c r="F4" s="39" t="s">
        <v>427</v>
      </c>
      <c r="G4" s="355"/>
      <c r="H4" s="356"/>
      <c r="I4" s="356"/>
      <c r="J4" s="356"/>
      <c r="K4" s="356"/>
      <c r="L4" s="357"/>
    </row>
    <row r="5" spans="1:15" ht="21" x14ac:dyDescent="0.35">
      <c r="A5" s="149"/>
      <c r="B5" s="251" t="s">
        <v>220</v>
      </c>
      <c r="C5" s="134"/>
      <c r="D5" s="261">
        <v>42363</v>
      </c>
      <c r="G5" s="358"/>
      <c r="H5" s="359"/>
      <c r="I5" s="359"/>
      <c r="J5" s="359"/>
      <c r="K5" s="359"/>
      <c r="L5" s="360"/>
    </row>
    <row r="6" spans="1:15" ht="21" x14ac:dyDescent="0.35">
      <c r="A6" s="149"/>
      <c r="B6" s="226" t="s">
        <v>219</v>
      </c>
      <c r="D6" s="262">
        <v>41793.895231481481</v>
      </c>
      <c r="F6" s="133"/>
      <c r="G6" s="358"/>
      <c r="H6" s="359"/>
      <c r="I6" s="359"/>
      <c r="J6" s="359"/>
      <c r="K6" s="359"/>
      <c r="L6" s="360"/>
      <c r="M6" s="133"/>
      <c r="N6" s="133"/>
      <c r="O6" s="133"/>
    </row>
    <row r="7" spans="1:15" ht="9.75" customHeight="1" x14ac:dyDescent="0.35">
      <c r="A7" s="149"/>
      <c r="D7" s="117"/>
      <c r="F7" s="133"/>
      <c r="G7" s="358"/>
      <c r="H7" s="359"/>
      <c r="I7" s="359"/>
      <c r="J7" s="359"/>
      <c r="K7" s="359"/>
      <c r="L7" s="360"/>
      <c r="M7" s="133"/>
      <c r="N7" s="133"/>
      <c r="O7" s="133"/>
    </row>
    <row r="8" spans="1:15" ht="21.75" customHeight="1" x14ac:dyDescent="0.35">
      <c r="A8" s="149"/>
      <c r="B8" s="268" t="s">
        <v>90</v>
      </c>
      <c r="C8" s="257" t="s">
        <v>76</v>
      </c>
      <c r="D8" s="220">
        <f>MAX(D9:D15)</f>
        <v>41793.895590277774</v>
      </c>
      <c r="F8" s="133"/>
      <c r="G8" s="361"/>
      <c r="H8" s="362"/>
      <c r="I8" s="362"/>
      <c r="J8" s="362"/>
      <c r="K8" s="362"/>
      <c r="L8" s="363"/>
      <c r="M8" s="292"/>
      <c r="N8" s="292"/>
      <c r="O8" s="292"/>
    </row>
    <row r="9" spans="1:15" ht="16.5" customHeight="1" thickBot="1" x14ac:dyDescent="0.4">
      <c r="A9" s="149"/>
      <c r="B9" s="218" t="s">
        <v>204</v>
      </c>
      <c r="C9" s="214">
        <f>'Data-SiteVisits'!C5</f>
        <v>3750</v>
      </c>
      <c r="D9" s="221">
        <f>'Data-SiteVisits'!C4</f>
        <v>41793.895555555559</v>
      </c>
      <c r="G9" s="292"/>
      <c r="H9" s="292"/>
      <c r="I9" s="292"/>
      <c r="J9" s="292"/>
      <c r="K9" s="292"/>
      <c r="L9" s="292"/>
      <c r="M9" s="133"/>
      <c r="N9" s="133"/>
      <c r="O9" s="133"/>
    </row>
    <row r="10" spans="1:15" ht="16.5" customHeight="1" x14ac:dyDescent="0.35">
      <c r="A10" s="149"/>
      <c r="B10" s="219" t="s">
        <v>205</v>
      </c>
      <c r="C10" s="217">
        <f>'Data-Forums'!B5</f>
        <v>592</v>
      </c>
      <c r="D10" s="222">
        <f>ForumsUpdate</f>
        <v>41520.488807870373</v>
      </c>
      <c r="F10" s="364" t="s">
        <v>225</v>
      </c>
      <c r="G10" s="365"/>
      <c r="H10" s="365"/>
      <c r="I10" s="365"/>
      <c r="J10" s="365"/>
      <c r="K10" s="365"/>
      <c r="L10" s="366"/>
      <c r="M10" s="133"/>
      <c r="N10" s="133"/>
      <c r="O10" s="133"/>
    </row>
    <row r="11" spans="1:15" ht="16.5" customHeight="1" x14ac:dyDescent="0.35">
      <c r="A11" s="149"/>
      <c r="B11" s="219" t="s">
        <v>206</v>
      </c>
      <c r="C11" s="217">
        <f>'Data-Faculty'!B5</f>
        <v>2</v>
      </c>
      <c r="D11" s="222">
        <f>'Data-Faculty'!B4</f>
        <v>41793.895300925928</v>
      </c>
      <c r="E11" t="s">
        <v>242</v>
      </c>
      <c r="F11" s="367"/>
      <c r="G11" s="368"/>
      <c r="H11" s="368"/>
      <c r="I11" s="368"/>
      <c r="J11" s="368"/>
      <c r="K11" s="368"/>
      <c r="L11" s="369"/>
      <c r="M11" s="133"/>
      <c r="N11" s="133"/>
      <c r="O11" s="133"/>
    </row>
    <row r="12" spans="1:15" ht="16.5" customHeight="1" x14ac:dyDescent="0.35">
      <c r="A12" s="149"/>
      <c r="B12" s="232" t="s">
        <v>47</v>
      </c>
      <c r="C12" s="233">
        <f>rCount</f>
        <v>27</v>
      </c>
      <c r="D12" s="234">
        <f>Roster!D3</f>
        <v>41793.895312499997</v>
      </c>
      <c r="F12" s="367"/>
      <c r="G12" s="368"/>
      <c r="H12" s="368"/>
      <c r="I12" s="368"/>
      <c r="J12" s="368"/>
      <c r="K12" s="368"/>
      <c r="L12" s="369"/>
    </row>
    <row r="13" spans="1:15" ht="16.5" customHeight="1" thickBot="1" x14ac:dyDescent="0.4">
      <c r="A13" s="149"/>
      <c r="B13" s="218" t="s">
        <v>232</v>
      </c>
      <c r="C13" s="214"/>
      <c r="D13" s="221">
        <f>'Data-Assigns'!Data_Update</f>
        <v>41793.895590277774</v>
      </c>
      <c r="F13" s="370"/>
      <c r="G13" s="371"/>
      <c r="H13" s="371"/>
      <c r="I13" s="371"/>
      <c r="J13" s="371"/>
      <c r="K13" s="371"/>
      <c r="L13" s="372"/>
    </row>
    <row r="14" spans="1:15" ht="16.5" customHeight="1" x14ac:dyDescent="0.35">
      <c r="A14" s="149"/>
      <c r="B14" s="238" t="s">
        <v>212</v>
      </c>
      <c r="C14" s="239">
        <f>Submissions!D3</f>
        <v>665</v>
      </c>
      <c r="D14" s="240">
        <f>Submissions!Data_Update</f>
        <v>41793.895590277774</v>
      </c>
      <c r="L14" s="216"/>
    </row>
    <row r="15" spans="1:15" ht="16.5" customHeight="1" x14ac:dyDescent="0.35">
      <c r="A15" s="149"/>
      <c r="B15" s="235" t="s">
        <v>231</v>
      </c>
      <c r="C15" s="236">
        <f>Assignments!C3</f>
        <v>8</v>
      </c>
      <c r="D15" s="237">
        <f>Assignments!Data_Update</f>
        <v>41793.895555555559</v>
      </c>
      <c r="G15" t="s">
        <v>226</v>
      </c>
      <c r="L15" s="216"/>
    </row>
  </sheetData>
  <mergeCells count="2">
    <mergeCell ref="G4:L8"/>
    <mergeCell ref="F10:L13"/>
  </mergeCells>
  <pageMargins left="0.7" right="0.7" top="0.75" bottom="0.75" header="0.3" footer="0.3"/>
  <pageSetup scale="7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UpdateDataOnAllSheets">
                <anchor moveWithCells="1" sizeWithCells="1">
                  <from>
                    <xdr:col>6</xdr:col>
                    <xdr:colOff>533400</xdr:colOff>
                    <xdr:row>4</xdr:row>
                    <xdr:rowOff>133350</xdr:rowOff>
                  </from>
                  <to>
                    <xdr:col>10</xdr:col>
                    <xdr:colOff>390525</xdr:colOff>
                    <xdr:row>5</xdr:row>
                    <xdr:rowOff>180975</xdr:rowOff>
                  </to>
                </anchor>
              </controlPr>
            </control>
          </mc:Choice>
        </mc:AlternateContent>
        <mc:AlternateContent xmlns:mc="http://schemas.openxmlformats.org/markup-compatibility/2006">
          <mc:Choice Requires="x14">
            <control shapeId="14338" r:id="rId5" name="Button 2">
              <controlPr defaultSize="0" print="0" autoFill="0" autoPict="0" macro="[0]!GenerateReports">
                <anchor moveWithCells="1" sizeWithCells="1">
                  <from>
                    <xdr:col>6</xdr:col>
                    <xdr:colOff>571500</xdr:colOff>
                    <xdr:row>6</xdr:row>
                    <xdr:rowOff>9525</xdr:rowOff>
                  </from>
                  <to>
                    <xdr:col>10</xdr:col>
                    <xdr:colOff>428625</xdr:colOff>
                    <xdr:row>7</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I43"/>
  <sheetViews>
    <sheetView zoomScale="80" zoomScaleNormal="80" workbookViewId="0">
      <pane xSplit="6" ySplit="10" topLeftCell="Q11" activePane="bottomRight" state="frozen"/>
      <selection activeCell="E9" sqref="E9"/>
      <selection pane="topRight" activeCell="E9" sqref="E9"/>
      <selection pane="bottomLeft" activeCell="E9" sqref="E9"/>
      <selection pane="bottomRight" activeCell="AH12" sqref="AH12:AH48"/>
    </sheetView>
  </sheetViews>
  <sheetFormatPr defaultRowHeight="15" x14ac:dyDescent="0.25"/>
  <cols>
    <col min="1" max="1" width="6.7109375" style="1" customWidth="1"/>
    <col min="2" max="2" width="21.85546875" customWidth="1"/>
    <col min="3" max="3" width="7.28515625" customWidth="1"/>
    <col min="4" max="4" width="32.28515625" hidden="1" customWidth="1"/>
    <col min="5" max="5" width="10.140625" hidden="1" customWidth="1"/>
    <col min="6" max="6" width="4" customWidth="1"/>
    <col min="7" max="7" width="6.28515625" customWidth="1"/>
    <col min="8" max="9" width="7.28515625" customWidth="1"/>
    <col min="10" max="10" width="7.85546875" customWidth="1"/>
    <col min="11" max="11" width="9.7109375" customWidth="1"/>
    <col min="12" max="12" width="8.28515625" customWidth="1"/>
    <col min="13" max="13" width="6.28515625" customWidth="1"/>
    <col min="14" max="15" width="7.28515625" customWidth="1"/>
    <col min="16" max="16" width="7.85546875" customWidth="1"/>
    <col min="17" max="17" width="9.7109375" customWidth="1"/>
    <col min="18" max="18" width="0" hidden="1" customWidth="1"/>
    <col min="19" max="19" width="6.28515625" customWidth="1"/>
    <col min="20" max="21" width="7.28515625" customWidth="1"/>
    <col min="22" max="22" width="7.85546875" customWidth="1"/>
    <col min="23" max="23" width="9.7109375" customWidth="1"/>
    <col min="24" max="24" width="0" hidden="1" customWidth="1"/>
    <col min="25" max="25" width="6.28515625" customWidth="1"/>
    <col min="26" max="27" width="7.28515625" customWidth="1"/>
    <col min="28" max="28" width="7.85546875" customWidth="1"/>
    <col min="29" max="29" width="9.7109375" customWidth="1"/>
    <col min="30" max="30" width="0" hidden="1" customWidth="1"/>
    <col min="31" max="31" width="14.85546875" customWidth="1"/>
    <col min="32" max="32" width="11.28515625" customWidth="1"/>
    <col min="33" max="33" width="12.85546875" customWidth="1"/>
    <col min="34" max="34" width="15.7109375" customWidth="1"/>
    <col min="35" max="35" width="13.85546875" customWidth="1"/>
  </cols>
  <sheetData>
    <row r="1" spans="1:35" ht="21" x14ac:dyDescent="0.35">
      <c r="A1" s="149" t="str">
        <f>Summary!A1</f>
        <v>Sakai Course Reports</v>
      </c>
    </row>
    <row r="2" spans="1:35" x14ac:dyDescent="0.25">
      <c r="B2" t="str">
        <f>CourseName</f>
        <v>Cs525 ASD - Fall 2012</v>
      </c>
    </row>
    <row r="6" spans="1:35" ht="13.5" customHeight="1" x14ac:dyDescent="0.35">
      <c r="A6" s="149"/>
      <c r="D6" s="117"/>
      <c r="L6" s="216"/>
    </row>
    <row r="7" spans="1:35" ht="15.75" x14ac:dyDescent="0.25">
      <c r="B7" s="39"/>
      <c r="D7" s="226"/>
      <c r="G7" s="195" t="s">
        <v>152</v>
      </c>
      <c r="L7" s="1">
        <v>4</v>
      </c>
      <c r="M7" s="195"/>
      <c r="Q7">
        <v>8</v>
      </c>
      <c r="R7" s="1">
        <v>2</v>
      </c>
      <c r="S7" s="195"/>
      <c r="W7">
        <v>12</v>
      </c>
      <c r="X7" s="1">
        <v>3</v>
      </c>
      <c r="Y7" s="195"/>
      <c r="AC7">
        <v>16</v>
      </c>
      <c r="AD7" s="1">
        <v>4</v>
      </c>
      <c r="AE7" s="1"/>
    </row>
    <row r="8" spans="1:35" ht="30" customHeight="1" x14ac:dyDescent="0.25">
      <c r="G8" s="373" t="str">
        <f>"Status Report.1 = Week "&amp;L7</f>
        <v>Status Report.1 = Week 4</v>
      </c>
      <c r="H8" s="374"/>
      <c r="I8" s="374"/>
      <c r="J8" s="374"/>
      <c r="K8" s="374"/>
      <c r="L8" s="159"/>
      <c r="M8" s="373" t="str">
        <f>"Status Report.2 = Week "&amp;Q7</f>
        <v>Status Report.2 = Week 8</v>
      </c>
      <c r="N8" s="374"/>
      <c r="O8" s="374"/>
      <c r="P8" s="374"/>
      <c r="Q8" s="374"/>
      <c r="R8" s="159" t="s">
        <v>122</v>
      </c>
      <c r="S8" s="373" t="str">
        <f>"Status Report.3 = Week "&amp;W7</f>
        <v>Status Report.3 = Week 12</v>
      </c>
      <c r="T8" s="374"/>
      <c r="U8" s="374"/>
      <c r="V8" s="374"/>
      <c r="W8" s="374"/>
      <c r="X8" s="159" t="s">
        <v>120</v>
      </c>
      <c r="Y8" s="373" t="str">
        <f>"Status Report.4 = Week "&amp;AC7</f>
        <v>Status Report.4 = Week 16</v>
      </c>
      <c r="Z8" s="374"/>
      <c r="AA8" s="374"/>
      <c r="AB8" s="374"/>
      <c r="AC8" s="375"/>
      <c r="AD8" s="196" t="s">
        <v>121</v>
      </c>
      <c r="AE8" s="373" t="s">
        <v>240</v>
      </c>
      <c r="AF8" s="374"/>
      <c r="AG8" s="374"/>
      <c r="AH8" s="375"/>
    </row>
    <row r="9" spans="1:35" ht="33.75" customHeight="1" x14ac:dyDescent="0.25">
      <c r="A9" s="12"/>
      <c r="B9" s="109" t="s">
        <v>1</v>
      </c>
      <c r="C9" s="95" t="s">
        <v>66</v>
      </c>
      <c r="D9" s="109" t="s">
        <v>29</v>
      </c>
      <c r="E9" s="96" t="s">
        <v>30</v>
      </c>
      <c r="F9" s="96"/>
      <c r="G9" s="89" t="s">
        <v>70</v>
      </c>
      <c r="H9" s="89" t="s">
        <v>67</v>
      </c>
      <c r="I9" s="89" t="s">
        <v>68</v>
      </c>
      <c r="J9" s="89" t="s">
        <v>75</v>
      </c>
      <c r="K9" s="89" t="s">
        <v>88</v>
      </c>
      <c r="L9" s="89" t="s">
        <v>227</v>
      </c>
      <c r="M9" s="89" t="s">
        <v>70</v>
      </c>
      <c r="N9" s="89" t="s">
        <v>67</v>
      </c>
      <c r="O9" s="89" t="s">
        <v>68</v>
      </c>
      <c r="P9" s="89" t="s">
        <v>75</v>
      </c>
      <c r="Q9" s="89" t="s">
        <v>88</v>
      </c>
      <c r="R9" s="145" t="s">
        <v>69</v>
      </c>
      <c r="S9" s="89" t="s">
        <v>70</v>
      </c>
      <c r="T9" s="89" t="s">
        <v>67</v>
      </c>
      <c r="U9" s="89" t="s">
        <v>68</v>
      </c>
      <c r="V9" s="89" t="s">
        <v>75</v>
      </c>
      <c r="W9" s="89" t="s">
        <v>88</v>
      </c>
      <c r="X9" s="145" t="s">
        <v>69</v>
      </c>
      <c r="Y9" s="89" t="s">
        <v>70</v>
      </c>
      <c r="Z9" s="89" t="s">
        <v>67</v>
      </c>
      <c r="AA9" s="89" t="s">
        <v>68</v>
      </c>
      <c r="AB9" s="89" t="s">
        <v>75</v>
      </c>
      <c r="AC9" s="89" t="s">
        <v>88</v>
      </c>
      <c r="AD9" s="197" t="s">
        <v>69</v>
      </c>
      <c r="AE9" s="326" t="s">
        <v>237</v>
      </c>
      <c r="AF9" s="323" t="s">
        <v>198</v>
      </c>
      <c r="AG9" s="321" t="s">
        <v>202</v>
      </c>
      <c r="AH9" s="322" t="s">
        <v>235</v>
      </c>
    </row>
    <row r="10" spans="1:35" ht="3.75" customHeight="1" x14ac:dyDescent="0.25">
      <c r="A10" s="12">
        <v>0</v>
      </c>
      <c r="B10" s="33"/>
      <c r="C10" s="33"/>
      <c r="D10" s="33"/>
      <c r="E10" s="33"/>
      <c r="F10" s="49"/>
      <c r="G10" s="146"/>
      <c r="H10" s="49"/>
      <c r="I10" s="49"/>
      <c r="J10" s="49"/>
      <c r="K10" s="49"/>
      <c r="L10" s="49"/>
      <c r="M10" s="146"/>
      <c r="N10" s="49"/>
      <c r="O10" s="49"/>
      <c r="P10" s="49"/>
      <c r="Q10" s="49"/>
      <c r="R10" s="147"/>
      <c r="S10" s="146"/>
      <c r="T10" s="49"/>
      <c r="U10" s="49"/>
      <c r="V10" s="49"/>
      <c r="W10" s="49"/>
      <c r="X10" s="147"/>
      <c r="Y10" s="146"/>
      <c r="Z10" s="49"/>
      <c r="AA10" s="49"/>
      <c r="AB10" s="49"/>
      <c r="AC10" s="49"/>
      <c r="AD10" s="311"/>
      <c r="AE10" s="327"/>
      <c r="AF10" s="316"/>
      <c r="AG10" s="316"/>
      <c r="AH10" s="317"/>
    </row>
    <row r="11" spans="1:35" x14ac:dyDescent="0.25">
      <c r="A11" s="335">
        <f>A10+1</f>
        <v>1</v>
      </c>
      <c r="B11" s="332" t="str">
        <f>Roster!C8</f>
        <v>Abdalgni, Khalid</v>
      </c>
      <c r="C11" s="286"/>
      <c r="D11" s="287" t="str">
        <f>Roster!E8</f>
        <v>khalid.ezalden@gmail.com</v>
      </c>
      <c r="E11" s="30" t="str">
        <f>Roster!F8</f>
        <v>Student</v>
      </c>
      <c r="F11" s="50"/>
      <c r="G11" s="98"/>
      <c r="H11" s="99">
        <f>'Summary-Visits'!T8</f>
        <v>0</v>
      </c>
      <c r="I11" s="99">
        <f>'Summary-Forum'!U26</f>
        <v>0</v>
      </c>
      <c r="J11" s="101">
        <f>'Data-Assigns'!O11</f>
        <v>0</v>
      </c>
      <c r="K11" s="160" t="e">
        <f>'Data-Assigns'!P11</f>
        <v>#DIV/0!</v>
      </c>
      <c r="L11" s="161">
        <f>'Data-Assigns'!N11</f>
        <v>3.8095238095238099E-2</v>
      </c>
      <c r="M11" s="98"/>
      <c r="N11" s="99">
        <f>'Summary-Visits'!U8</f>
        <v>0</v>
      </c>
      <c r="O11" s="99">
        <f>'Summary-Forum'!V26</f>
        <v>0</v>
      </c>
      <c r="P11" s="101">
        <f>'Data-Assigns'!Q11</f>
        <v>0</v>
      </c>
      <c r="Q11" s="160" t="e">
        <f>'Data-Assigns'!R11</f>
        <v>#DIV/0!</v>
      </c>
      <c r="R11" s="161"/>
      <c r="S11" s="98"/>
      <c r="T11" s="99">
        <f>'Summary-Visits'!AA8</f>
        <v>0</v>
      </c>
      <c r="U11" s="99">
        <f>'Summary-Forum'!AB26</f>
        <v>0</v>
      </c>
      <c r="V11" s="101">
        <f>'Data-Assigns'!S11</f>
        <v>0</v>
      </c>
      <c r="W11" s="160" t="e">
        <f>'Data-Assigns'!T11</f>
        <v>#DIV/0!</v>
      </c>
      <c r="X11" s="161"/>
      <c r="Y11" s="98"/>
      <c r="Z11" s="99">
        <f>'Summary-Visits'!AG8</f>
        <v>0</v>
      </c>
      <c r="AA11" s="99">
        <f>'Summary-Forum'!AH26</f>
        <v>0</v>
      </c>
      <c r="AB11" s="101">
        <f>'Data-Assigns'!U11</f>
        <v>0</v>
      </c>
      <c r="AC11" s="304" t="e">
        <f>'Data-Assigns'!V11</f>
        <v>#DIV/0!</v>
      </c>
      <c r="AD11" s="198"/>
      <c r="AE11" s="328">
        <f>MAX(AF11:AH11)</f>
        <v>41264</v>
      </c>
      <c r="AF11" s="324">
        <f t="array" ref="AF11">MAX(IF((11:11 name)=([0]!name 'Data-Forums'!data),IF(([0]!Event 'Data-Forums'!data)="new thread",'Data-Forums'!date 'Data-Forums'!data)))</f>
        <v>0</v>
      </c>
      <c r="AG11" s="319">
        <f t="array" ref="AG11">MAX(IF((11:11 name)=([0]!name 'Data-Forums'!data),IF(([0]!Event 'Data-Forums'!data)="response thread",'Data-Forums'!date 'Data-Forums'!data)))</f>
        <v>0</v>
      </c>
      <c r="AH11" s="350">
        <f t="array" ref="AH11">MAX(IF(((11:11 name)=(Submissions!name Submissions!Data))*NOT(ISBLANK(Submissions!subDate Submissions!Data)),DATEVALUE(Submissions!subDate Submissions!Data)))</f>
        <v>41264</v>
      </c>
      <c r="AI11" s="1"/>
    </row>
    <row r="12" spans="1:35" x14ac:dyDescent="0.25">
      <c r="A12" s="336">
        <f t="shared" ref="A12:A37" si="0">A11+1</f>
        <v>2</v>
      </c>
      <c r="B12" s="333" t="str">
        <f>Roster!C9</f>
        <v>Alam, Md. Ashraful</v>
      </c>
      <c r="C12" s="288"/>
      <c r="D12" s="289" t="str">
        <f>Roster!E9</f>
        <v>ashrafbd07@gmail.com</v>
      </c>
      <c r="E12" s="30" t="str">
        <f>Roster!F9</f>
        <v>Student</v>
      </c>
      <c r="F12" s="50"/>
      <c r="G12" s="100"/>
      <c r="H12" s="101">
        <f>'Summary-Visits'!T9</f>
        <v>0</v>
      </c>
      <c r="I12" s="101">
        <f>'Summary-Forum'!U27</f>
        <v>0</v>
      </c>
      <c r="J12" s="101">
        <f>'Data-Assigns'!O12</f>
        <v>0</v>
      </c>
      <c r="K12" s="160" t="e">
        <f>'Data-Assigns'!P12</f>
        <v>#DIV/0!</v>
      </c>
      <c r="L12" s="161">
        <f>'Data-Assigns'!N12</f>
        <v>4.7619047619047616E-2</v>
      </c>
      <c r="M12" s="100"/>
      <c r="N12" s="101">
        <f>'Summary-Visits'!U9</f>
        <v>0</v>
      </c>
      <c r="O12" s="101">
        <f>'Summary-Forum'!V27</f>
        <v>0</v>
      </c>
      <c r="P12" s="101">
        <f>'Data-Assigns'!Q12</f>
        <v>0</v>
      </c>
      <c r="Q12" s="160" t="e">
        <f>'Data-Assigns'!R12</f>
        <v>#DIV/0!</v>
      </c>
      <c r="R12" s="161"/>
      <c r="S12" s="100"/>
      <c r="T12" s="101">
        <f>'Summary-Visits'!AA9</f>
        <v>0</v>
      </c>
      <c r="U12" s="101">
        <f>'Summary-Forum'!AB27</f>
        <v>0</v>
      </c>
      <c r="V12" s="101">
        <f>'Data-Assigns'!S12</f>
        <v>0</v>
      </c>
      <c r="W12" s="160" t="e">
        <f>'Data-Assigns'!T12</f>
        <v>#DIV/0!</v>
      </c>
      <c r="X12" s="161"/>
      <c r="Y12" s="100"/>
      <c r="Z12" s="101">
        <f>'Summary-Visits'!AG9</f>
        <v>0</v>
      </c>
      <c r="AA12" s="101">
        <f>'Summary-Forum'!AH27</f>
        <v>0</v>
      </c>
      <c r="AB12" s="101">
        <f>'Data-Assigns'!U12</f>
        <v>0</v>
      </c>
      <c r="AC12" s="304" t="e">
        <f>'Data-Assigns'!V12</f>
        <v>#DIV/0!</v>
      </c>
      <c r="AD12" s="198"/>
      <c r="AE12" s="328">
        <f t="shared" ref="AE12:AE27" si="1">MAX(AF12:AH12)</f>
        <v>41264</v>
      </c>
      <c r="AF12" s="325">
        <f t="array" ref="AF12">MAX(((12:12 name)=([0]!name 'Data-Forums'!data))*(([0]!Event 'Data-Forums'!data)="new thread")*'Data-Forums'!date 'Data-Forums'!data)</f>
        <v>0</v>
      </c>
      <c r="AG12" s="319">
        <f t="array" ref="AG12">MAX(IF((12:12 name)=([0]!name 'Data-Forums'!data),IF(([0]!Event 'Data-Forums'!data)="response thread",'Data-Forums'!date 'Data-Forums'!data)))</f>
        <v>0</v>
      </c>
      <c r="AH12" s="350">
        <f t="array" ref="AH12">MAX(IF(((12:12 name)=(Submissions!name Submissions!Data))*NOT(ISBLANK(Submissions!subDate Submissions!Data)),DATEVALUE(Submissions!subDate Submissions!Data)))</f>
        <v>41264</v>
      </c>
    </row>
    <row r="13" spans="1:35" x14ac:dyDescent="0.25">
      <c r="A13" s="336">
        <f t="shared" si="0"/>
        <v>3</v>
      </c>
      <c r="B13" s="333" t="str">
        <f>Roster!C10</f>
        <v>Bold, Khasan</v>
      </c>
      <c r="C13" s="288"/>
      <c r="D13" s="289" t="str">
        <f>Roster!E10</f>
        <v>khasan.bold@gmail.com</v>
      </c>
      <c r="E13" s="30" t="str">
        <f>Roster!F10</f>
        <v>Student</v>
      </c>
      <c r="F13" s="50"/>
      <c r="G13" s="100"/>
      <c r="H13" s="101">
        <f>'Summary-Visits'!T10</f>
        <v>0</v>
      </c>
      <c r="I13" s="101">
        <f>'Summary-Forum'!U28</f>
        <v>0</v>
      </c>
      <c r="J13" s="101">
        <f>'Data-Assigns'!O13</f>
        <v>0</v>
      </c>
      <c r="K13" s="160" t="e">
        <f>'Data-Assigns'!P13</f>
        <v>#DIV/0!</v>
      </c>
      <c r="L13" s="161">
        <f>'Data-Assigns'!N13</f>
        <v>5.7142857142857141E-2</v>
      </c>
      <c r="M13" s="100"/>
      <c r="N13" s="101">
        <f>'Summary-Visits'!U10</f>
        <v>0</v>
      </c>
      <c r="O13" s="101">
        <f>'Summary-Forum'!V28</f>
        <v>0</v>
      </c>
      <c r="P13" s="101">
        <f>'Data-Assigns'!Q13</f>
        <v>0</v>
      </c>
      <c r="Q13" s="160" t="e">
        <f>'Data-Assigns'!R13</f>
        <v>#DIV/0!</v>
      </c>
      <c r="R13" s="161"/>
      <c r="S13" s="100"/>
      <c r="T13" s="101">
        <f>'Summary-Visits'!AA10</f>
        <v>0</v>
      </c>
      <c r="U13" s="101">
        <f>'Summary-Forum'!AB28</f>
        <v>0</v>
      </c>
      <c r="V13" s="101">
        <f>'Data-Assigns'!S13</f>
        <v>0</v>
      </c>
      <c r="W13" s="160" t="e">
        <f>'Data-Assigns'!T13</f>
        <v>#DIV/0!</v>
      </c>
      <c r="X13" s="161"/>
      <c r="Y13" s="100"/>
      <c r="Z13" s="101">
        <f>'Summary-Visits'!AG10</f>
        <v>0</v>
      </c>
      <c r="AA13" s="101">
        <f>'Summary-Forum'!AH28</f>
        <v>0</v>
      </c>
      <c r="AB13" s="101">
        <f>'Data-Assigns'!U13</f>
        <v>0</v>
      </c>
      <c r="AC13" s="304" t="e">
        <f>'Data-Assigns'!V13</f>
        <v>#DIV/0!</v>
      </c>
      <c r="AD13" s="198"/>
      <c r="AE13" s="328">
        <f t="shared" si="1"/>
        <v>41264</v>
      </c>
      <c r="AF13" s="325">
        <f t="array" ref="AF13">MAX(((13:13 name)=([0]!name 'Data-Forums'!data))*(([0]!Event 'Data-Forums'!data)="new thread")*'Data-Forums'!date 'Data-Forums'!data)</f>
        <v>0</v>
      </c>
      <c r="AG13" s="319">
        <f t="array" ref="AG13">MAX(IF((13:13 name)=([0]!name 'Data-Forums'!data),IF(([0]!Event 'Data-Forums'!data)="response thread",'Data-Forums'!date 'Data-Forums'!data)))</f>
        <v>0</v>
      </c>
      <c r="AH13" s="350">
        <f t="array" ref="AH13">MAX(IF(((13:13 name)=(Submissions!name Submissions!Data))*NOT(ISBLANK(Submissions!subDate Submissions!Data)),DATEVALUE(Submissions!subDate Submissions!Data)))</f>
        <v>41264</v>
      </c>
    </row>
    <row r="14" spans="1:35" x14ac:dyDescent="0.25">
      <c r="A14" s="336">
        <f t="shared" si="0"/>
        <v>4</v>
      </c>
      <c r="B14" s="333" t="str">
        <f>Roster!C11</f>
        <v>Burentogtokh, Batbaatar</v>
      </c>
      <c r="C14" s="288"/>
      <c r="D14" s="289" t="str">
        <f>Roster!E11</f>
        <v>batbaatar_mgl@yahoo.com</v>
      </c>
      <c r="E14" s="30" t="str">
        <f>Roster!F11</f>
        <v>Student</v>
      </c>
      <c r="F14" s="50"/>
      <c r="G14" s="100"/>
      <c r="H14" s="101">
        <f>'Summary-Visits'!T11</f>
        <v>0</v>
      </c>
      <c r="I14" s="101">
        <f>'Summary-Forum'!U29</f>
        <v>0</v>
      </c>
      <c r="J14" s="101">
        <f>'Data-Assigns'!O14</f>
        <v>0</v>
      </c>
      <c r="K14" s="160" t="e">
        <f>'Data-Assigns'!P14</f>
        <v>#DIV/0!</v>
      </c>
      <c r="L14" s="161">
        <f>'Data-Assigns'!N14</f>
        <v>5.7142857142857141E-2</v>
      </c>
      <c r="M14" s="100"/>
      <c r="N14" s="101">
        <f>'Summary-Visits'!U11</f>
        <v>0</v>
      </c>
      <c r="O14" s="101">
        <f>'Summary-Forum'!V29</f>
        <v>0</v>
      </c>
      <c r="P14" s="101">
        <f>'Data-Assigns'!Q14</f>
        <v>0</v>
      </c>
      <c r="Q14" s="160" t="e">
        <f>'Data-Assigns'!R14</f>
        <v>#DIV/0!</v>
      </c>
      <c r="R14" s="161"/>
      <c r="S14" s="100"/>
      <c r="T14" s="101">
        <f>'Summary-Visits'!V11</f>
        <v>0</v>
      </c>
      <c r="U14" s="101">
        <f>'Summary-Forum'!W29</f>
        <v>0</v>
      </c>
      <c r="V14" s="101">
        <f>'Data-Assigns'!S14</f>
        <v>0</v>
      </c>
      <c r="W14" s="160" t="e">
        <f>'Data-Assigns'!T14</f>
        <v>#DIV/0!</v>
      </c>
      <c r="X14" s="161"/>
      <c r="Y14" s="100"/>
      <c r="Z14" s="101">
        <f>'Summary-Visits'!W11</f>
        <v>0</v>
      </c>
      <c r="AA14" s="101">
        <f>'Summary-Forum'!X29</f>
        <v>0</v>
      </c>
      <c r="AB14" s="101">
        <f>'Data-Assigns'!U14</f>
        <v>0</v>
      </c>
      <c r="AC14" s="304" t="e">
        <f>'Data-Assigns'!V14</f>
        <v>#DIV/0!</v>
      </c>
      <c r="AD14" s="198"/>
      <c r="AE14" s="328">
        <f t="shared" si="1"/>
        <v>41264</v>
      </c>
      <c r="AF14" s="325">
        <f t="array" ref="AF14">MAX(((14:14 name)=([0]!name 'Data-Forums'!data))*(([0]!Event 'Data-Forums'!data)="new thread")*'Data-Forums'!date 'Data-Forums'!data)</f>
        <v>0</v>
      </c>
      <c r="AG14" s="319">
        <f t="array" ref="AG14">MAX(IF((14:14 name)=([0]!name 'Data-Forums'!data),IF(([0]!Event 'Data-Forums'!data)="response thread",'Data-Forums'!date 'Data-Forums'!data)))</f>
        <v>0</v>
      </c>
      <c r="AH14" s="350">
        <f t="array" ref="AH14">MAX(IF(((14:14 name)=(Submissions!name Submissions!Data))*NOT(ISBLANK(Submissions!subDate Submissions!Data)),DATEVALUE(Submissions!subDate Submissions!Data)))</f>
        <v>41264</v>
      </c>
    </row>
    <row r="15" spans="1:35" x14ac:dyDescent="0.25">
      <c r="A15" s="336">
        <f t="shared" si="0"/>
        <v>5</v>
      </c>
      <c r="B15" s="333" t="str">
        <f>Roster!C12</f>
        <v>Demesie, Elias Debebe</v>
      </c>
      <c r="C15" s="288"/>
      <c r="D15" s="289" t="str">
        <f>Roster!E12</f>
        <v>eliasdemesie@gmail.com</v>
      </c>
      <c r="E15" s="30" t="str">
        <f>Roster!F12</f>
        <v>Student</v>
      </c>
      <c r="F15" s="50"/>
      <c r="G15" s="100"/>
      <c r="H15" s="101">
        <f>'Summary-Visits'!T12</f>
        <v>0</v>
      </c>
      <c r="I15" s="101">
        <f>'Summary-Forum'!U30</f>
        <v>0</v>
      </c>
      <c r="J15" s="101">
        <f>'Data-Assigns'!O15</f>
        <v>0</v>
      </c>
      <c r="K15" s="160" t="e">
        <f>'Data-Assigns'!P15</f>
        <v>#DIV/0!</v>
      </c>
      <c r="L15" s="161">
        <f>'Data-Assigns'!N15</f>
        <v>5.7142857142857141E-2</v>
      </c>
      <c r="M15" s="100"/>
      <c r="N15" s="101">
        <f>'Summary-Visits'!U12</f>
        <v>0</v>
      </c>
      <c r="O15" s="101">
        <f>'Summary-Forum'!V30</f>
        <v>0</v>
      </c>
      <c r="P15" s="101">
        <f>'Data-Assigns'!Q15</f>
        <v>0</v>
      </c>
      <c r="Q15" s="160" t="e">
        <f>'Data-Assigns'!R15</f>
        <v>#DIV/0!</v>
      </c>
      <c r="R15" s="161"/>
      <c r="S15" s="100"/>
      <c r="T15" s="101">
        <f>'Summary-Visits'!V12</f>
        <v>0</v>
      </c>
      <c r="U15" s="101">
        <f>'Summary-Forum'!W30</f>
        <v>0</v>
      </c>
      <c r="V15" s="101">
        <f>'Data-Assigns'!S15</f>
        <v>0</v>
      </c>
      <c r="W15" s="160" t="e">
        <f>'Data-Assigns'!T15</f>
        <v>#DIV/0!</v>
      </c>
      <c r="X15" s="161"/>
      <c r="Y15" s="100"/>
      <c r="Z15" s="101">
        <f>'Summary-Visits'!W12</f>
        <v>0</v>
      </c>
      <c r="AA15" s="101">
        <f>'Summary-Forum'!X30</f>
        <v>0</v>
      </c>
      <c r="AB15" s="101">
        <f>'Data-Assigns'!U15</f>
        <v>0</v>
      </c>
      <c r="AC15" s="304" t="e">
        <f>'Data-Assigns'!V15</f>
        <v>#DIV/0!</v>
      </c>
      <c r="AD15" s="198"/>
      <c r="AE15" s="328">
        <f t="shared" si="1"/>
        <v>41264</v>
      </c>
      <c r="AF15" s="325">
        <f t="array" ref="AF15">MAX(((15:15 name)=([0]!name 'Data-Forums'!data))*(([0]!Event 'Data-Forums'!data)="new thread")*'Data-Forums'!date 'Data-Forums'!data)</f>
        <v>0</v>
      </c>
      <c r="AG15" s="319">
        <f t="array" ref="AG15">MAX(IF((15:15 name)=([0]!name 'Data-Forums'!data),IF(([0]!Event 'Data-Forums'!data)="response thread",'Data-Forums'!date 'Data-Forums'!data)))</f>
        <v>0</v>
      </c>
      <c r="AH15" s="320">
        <f t="array" ref="AH15">MAX(IF(((15:15 name)=(Submissions!name Submissions!Data))*NOT(ISBLANK(Submissions!subDate Submissions!Data)),DATEVALUE(Submissions!subDate Submissions!Data)))</f>
        <v>41264</v>
      </c>
    </row>
    <row r="16" spans="1:35" x14ac:dyDescent="0.25">
      <c r="A16" s="336">
        <f t="shared" si="0"/>
        <v>6</v>
      </c>
      <c r="B16" s="333" t="str">
        <f>Roster!C13</f>
        <v>Du, Yuexin</v>
      </c>
      <c r="C16" s="288"/>
      <c r="D16" s="289" t="str">
        <f>Roster!E13</f>
        <v>daybreakdu@gmail.com</v>
      </c>
      <c r="E16" s="30" t="str">
        <f>Roster!F13</f>
        <v>Student</v>
      </c>
      <c r="F16" s="50"/>
      <c r="G16" s="100"/>
      <c r="H16" s="101">
        <f>'Summary-Visits'!T13</f>
        <v>0</v>
      </c>
      <c r="I16" s="101">
        <f>'Summary-Forum'!U31</f>
        <v>0</v>
      </c>
      <c r="J16" s="101">
        <f>'Data-Assigns'!O16</f>
        <v>0</v>
      </c>
      <c r="K16" s="160" t="e">
        <f>'Data-Assigns'!P16</f>
        <v>#DIV/0!</v>
      </c>
      <c r="L16" s="161">
        <f>'Data-Assigns'!N16</f>
        <v>3.8095238095238099E-2</v>
      </c>
      <c r="M16" s="100"/>
      <c r="N16" s="101">
        <f>'Summary-Visits'!U13</f>
        <v>0</v>
      </c>
      <c r="O16" s="101">
        <f>'Summary-Forum'!V31</f>
        <v>0</v>
      </c>
      <c r="P16" s="101">
        <f>'Data-Assigns'!Q16</f>
        <v>0</v>
      </c>
      <c r="Q16" s="160" t="e">
        <f>'Data-Assigns'!R16</f>
        <v>#DIV/0!</v>
      </c>
      <c r="R16" s="161"/>
      <c r="S16" s="100"/>
      <c r="T16" s="101">
        <f>'Summary-Visits'!V13</f>
        <v>0</v>
      </c>
      <c r="U16" s="101">
        <f>'Summary-Forum'!W31</f>
        <v>0</v>
      </c>
      <c r="V16" s="101">
        <f>'Data-Assigns'!S16</f>
        <v>0</v>
      </c>
      <c r="W16" s="160" t="e">
        <f>'Data-Assigns'!T16</f>
        <v>#DIV/0!</v>
      </c>
      <c r="X16" s="161"/>
      <c r="Y16" s="100"/>
      <c r="Z16" s="101">
        <f>'Summary-Visits'!W13</f>
        <v>0</v>
      </c>
      <c r="AA16" s="101">
        <f>'Summary-Forum'!X31</f>
        <v>0</v>
      </c>
      <c r="AB16" s="101">
        <f>'Data-Assigns'!U16</f>
        <v>0</v>
      </c>
      <c r="AC16" s="304" t="e">
        <f>'Data-Assigns'!V16</f>
        <v>#DIV/0!</v>
      </c>
      <c r="AD16" s="198"/>
      <c r="AE16" s="328">
        <f t="shared" si="1"/>
        <v>41264</v>
      </c>
      <c r="AF16" s="325">
        <f t="array" ref="AF16">MAX(((16:16 name)=([0]!name 'Data-Forums'!data))*(([0]!Event 'Data-Forums'!data)="new thread")*'Data-Forums'!date 'Data-Forums'!data)</f>
        <v>0</v>
      </c>
      <c r="AG16" s="319">
        <f t="array" ref="AG16">MAX(IF((16:16 name)=([0]!name 'Data-Forums'!data),IF(([0]!Event 'Data-Forums'!data)="response thread",'Data-Forums'!date 'Data-Forums'!data)))</f>
        <v>0</v>
      </c>
      <c r="AH16" s="320">
        <f t="array" ref="AH16">MAX(IF(((16:16 name)=(Submissions!name Submissions!Data))*NOT(ISBLANK(Submissions!subDate Submissions!Data)),DATEVALUE(Submissions!subDate Submissions!Data)))</f>
        <v>41264</v>
      </c>
    </row>
    <row r="17" spans="1:34" x14ac:dyDescent="0.25">
      <c r="A17" s="336">
        <f t="shared" si="0"/>
        <v>7</v>
      </c>
      <c r="B17" s="333" t="str">
        <f>Roster!C14</f>
        <v>El Gazzar, Abd El Hamid</v>
      </c>
      <c r="C17" s="288"/>
      <c r="D17" s="289" t="str">
        <f>Roster!E14</f>
        <v>abdelhamed@gmail.com</v>
      </c>
      <c r="E17" s="30" t="str">
        <f>Roster!F14</f>
        <v>Student</v>
      </c>
      <c r="F17" s="50"/>
      <c r="G17" s="100"/>
      <c r="H17" s="101">
        <f>'Summary-Visits'!T14</f>
        <v>0</v>
      </c>
      <c r="I17" s="101">
        <f>'Summary-Forum'!U32</f>
        <v>0</v>
      </c>
      <c r="J17" s="101">
        <f>'Data-Assigns'!O17</f>
        <v>0</v>
      </c>
      <c r="K17" s="160" t="e">
        <f>'Data-Assigns'!P17</f>
        <v>#DIV/0!</v>
      </c>
      <c r="L17" s="161">
        <f>'Data-Assigns'!N17</f>
        <v>3.8095238095238099E-2</v>
      </c>
      <c r="M17" s="100"/>
      <c r="N17" s="101">
        <f>'Summary-Visits'!U14</f>
        <v>0</v>
      </c>
      <c r="O17" s="101">
        <f>'Summary-Forum'!V32</f>
        <v>0</v>
      </c>
      <c r="P17" s="101">
        <f>'Data-Assigns'!Q17</f>
        <v>0</v>
      </c>
      <c r="Q17" s="160" t="e">
        <f>'Data-Assigns'!R17</f>
        <v>#DIV/0!</v>
      </c>
      <c r="R17" s="161"/>
      <c r="S17" s="100"/>
      <c r="T17" s="101">
        <f>'Summary-Visits'!V14</f>
        <v>0</v>
      </c>
      <c r="U17" s="101">
        <f>'Summary-Forum'!W32</f>
        <v>0</v>
      </c>
      <c r="V17" s="101">
        <f>'Data-Assigns'!S17</f>
        <v>0</v>
      </c>
      <c r="W17" s="160" t="e">
        <f>'Data-Assigns'!T17</f>
        <v>#DIV/0!</v>
      </c>
      <c r="X17" s="161"/>
      <c r="Y17" s="100"/>
      <c r="Z17" s="101">
        <f>'Summary-Visits'!W14</f>
        <v>0</v>
      </c>
      <c r="AA17" s="101">
        <f>'Summary-Forum'!X32</f>
        <v>0</v>
      </c>
      <c r="AB17" s="101">
        <f>'Data-Assigns'!U17</f>
        <v>0</v>
      </c>
      <c r="AC17" s="304" t="e">
        <f>'Data-Assigns'!V17</f>
        <v>#DIV/0!</v>
      </c>
      <c r="AD17" s="198"/>
      <c r="AE17" s="328">
        <f t="shared" si="1"/>
        <v>41264</v>
      </c>
      <c r="AF17" s="325">
        <f t="array" ref="AF17">MAX(((17:17 name)=([0]!name 'Data-Forums'!data))*(([0]!Event 'Data-Forums'!data)="new thread")*'Data-Forums'!date 'Data-Forums'!data)</f>
        <v>0</v>
      </c>
      <c r="AG17" s="319">
        <f t="array" ref="AG17">MAX(IF((17:17 name)=([0]!name 'Data-Forums'!data),IF(([0]!Event 'Data-Forums'!data)="response thread",'Data-Forums'!date 'Data-Forums'!data)))</f>
        <v>0</v>
      </c>
      <c r="AH17" s="320">
        <f t="array" ref="AH17">MAX(IF(((17:17 name)=(Submissions!name Submissions!Data))*NOT(ISBLANK(Submissions!subDate Submissions!Data)),DATEVALUE(Submissions!subDate Submissions!Data)))</f>
        <v>41264</v>
      </c>
    </row>
    <row r="18" spans="1:34" x14ac:dyDescent="0.25">
      <c r="A18" s="336">
        <f t="shared" si="0"/>
        <v>8</v>
      </c>
      <c r="B18" s="333" t="str">
        <f>Roster!C15</f>
        <v>Elbakry, Abdelrahman</v>
      </c>
      <c r="C18" s="288"/>
      <c r="D18" s="289" t="str">
        <f>Roster!E15</f>
        <v>abdalrahman.elbakry@gmail.com</v>
      </c>
      <c r="E18" s="30" t="str">
        <f>Roster!F15</f>
        <v>Student</v>
      </c>
      <c r="F18" s="50"/>
      <c r="G18" s="100"/>
      <c r="H18" s="101">
        <f>'Summary-Visits'!T15</f>
        <v>0</v>
      </c>
      <c r="I18" s="101">
        <f>'Summary-Forum'!U33</f>
        <v>0</v>
      </c>
      <c r="J18" s="101">
        <f>'Data-Assigns'!O18</f>
        <v>0</v>
      </c>
      <c r="K18" s="160" t="e">
        <f>'Data-Assigns'!P18</f>
        <v>#DIV/0!</v>
      </c>
      <c r="L18" s="161">
        <f>'Data-Assigns'!N18</f>
        <v>4.7619047619047616E-2</v>
      </c>
      <c r="M18" s="100"/>
      <c r="N18" s="101">
        <f>'Summary-Visits'!U15</f>
        <v>0</v>
      </c>
      <c r="O18" s="101">
        <f>'Summary-Forum'!V33</f>
        <v>0</v>
      </c>
      <c r="P18" s="101">
        <f>'Data-Assigns'!Q18</f>
        <v>0</v>
      </c>
      <c r="Q18" s="160" t="e">
        <f>'Data-Assigns'!R18</f>
        <v>#DIV/0!</v>
      </c>
      <c r="R18" s="161"/>
      <c r="S18" s="100"/>
      <c r="T18" s="101">
        <f>'Summary-Visits'!V15</f>
        <v>0</v>
      </c>
      <c r="U18" s="101">
        <f>'Summary-Forum'!W33</f>
        <v>0</v>
      </c>
      <c r="V18" s="101">
        <f>'Data-Assigns'!S18</f>
        <v>0</v>
      </c>
      <c r="W18" s="160" t="e">
        <f>'Data-Assigns'!T18</f>
        <v>#DIV/0!</v>
      </c>
      <c r="X18" s="161"/>
      <c r="Y18" s="100"/>
      <c r="Z18" s="101">
        <f>'Summary-Visits'!W15</f>
        <v>0</v>
      </c>
      <c r="AA18" s="101">
        <f>'Summary-Forum'!X33</f>
        <v>0</v>
      </c>
      <c r="AB18" s="101">
        <f>'Data-Assigns'!U18</f>
        <v>0</v>
      </c>
      <c r="AC18" s="304" t="e">
        <f>'Data-Assigns'!V18</f>
        <v>#DIV/0!</v>
      </c>
      <c r="AD18" s="198"/>
      <c r="AE18" s="328">
        <f t="shared" si="1"/>
        <v>41264</v>
      </c>
      <c r="AF18" s="325">
        <f t="array" ref="AF18">MAX(((18:18 name)=([0]!name 'Data-Forums'!data))*(([0]!Event 'Data-Forums'!data)="new thread")*'Data-Forums'!date 'Data-Forums'!data)</f>
        <v>0</v>
      </c>
      <c r="AG18" s="319">
        <f t="array" ref="AG18">MAX(IF((18:18 name)=([0]!name 'Data-Forums'!data),IF(([0]!Event 'Data-Forums'!data)="response thread",'Data-Forums'!date 'Data-Forums'!data)))</f>
        <v>0</v>
      </c>
      <c r="AH18" s="320">
        <f t="array" ref="AH18">MAX(IF(((18:18 name)=(Submissions!name Submissions!Data))*NOT(ISBLANK(Submissions!subDate Submissions!Data)),DATEVALUE(Submissions!subDate Submissions!Data)))</f>
        <v>41264</v>
      </c>
    </row>
    <row r="19" spans="1:34" x14ac:dyDescent="0.25">
      <c r="A19" s="336">
        <f t="shared" si="0"/>
        <v>9</v>
      </c>
      <c r="B19" s="333" t="str">
        <f>Roster!C16</f>
        <v>Enkhbold, Khongor</v>
      </c>
      <c r="C19" s="288"/>
      <c r="D19" s="289" t="str">
        <f>Roster!E16</f>
        <v>khongor.enkhbold@gmail.com</v>
      </c>
      <c r="E19" s="30" t="str">
        <f>Roster!F16</f>
        <v>Student</v>
      </c>
      <c r="F19" s="50"/>
      <c r="G19" s="100"/>
      <c r="H19" s="101">
        <f>'Summary-Visits'!T16</f>
        <v>0</v>
      </c>
      <c r="I19" s="101">
        <f>'Summary-Forum'!U34</f>
        <v>0</v>
      </c>
      <c r="J19" s="101">
        <f>'Data-Assigns'!O19</f>
        <v>0</v>
      </c>
      <c r="K19" s="160" t="e">
        <f>'Data-Assigns'!P19</f>
        <v>#DIV/0!</v>
      </c>
      <c r="L19" s="161">
        <f>'Data-Assigns'!N19</f>
        <v>5.7142857142857141E-2</v>
      </c>
      <c r="M19" s="100"/>
      <c r="N19" s="101">
        <f>'Summary-Visits'!U16</f>
        <v>0</v>
      </c>
      <c r="O19" s="101">
        <f>'Summary-Forum'!V34</f>
        <v>0</v>
      </c>
      <c r="P19" s="101">
        <f>'Data-Assigns'!Q19</f>
        <v>0</v>
      </c>
      <c r="Q19" s="160" t="e">
        <f>'Data-Assigns'!R19</f>
        <v>#DIV/0!</v>
      </c>
      <c r="R19" s="161"/>
      <c r="S19" s="100"/>
      <c r="T19" s="101">
        <f>'Summary-Visits'!V16</f>
        <v>0</v>
      </c>
      <c r="U19" s="101">
        <f>'Summary-Forum'!W34</f>
        <v>0</v>
      </c>
      <c r="V19" s="101">
        <f>'Data-Assigns'!S19</f>
        <v>0</v>
      </c>
      <c r="W19" s="160" t="e">
        <f>'Data-Assigns'!T19</f>
        <v>#DIV/0!</v>
      </c>
      <c r="X19" s="161"/>
      <c r="Y19" s="100"/>
      <c r="Z19" s="101">
        <f>'Summary-Visits'!W16</f>
        <v>0</v>
      </c>
      <c r="AA19" s="101">
        <f>'Summary-Forum'!X34</f>
        <v>0</v>
      </c>
      <c r="AB19" s="101">
        <f>'Data-Assigns'!U19</f>
        <v>0</v>
      </c>
      <c r="AC19" s="304" t="e">
        <f>'Data-Assigns'!V19</f>
        <v>#DIV/0!</v>
      </c>
      <c r="AD19" s="198"/>
      <c r="AE19" s="328">
        <f t="shared" si="1"/>
        <v>41264</v>
      </c>
      <c r="AF19" s="325">
        <f t="array" ref="AF19">MAX(((19:19 name)=([0]!name 'Data-Forums'!data))*(([0]!Event 'Data-Forums'!data)="new thread")*'Data-Forums'!date 'Data-Forums'!data)</f>
        <v>0</v>
      </c>
      <c r="AG19" s="319">
        <f t="array" ref="AG19">MAX(IF((19:19 name)=([0]!name 'Data-Forums'!data),IF(([0]!Event 'Data-Forums'!data)="response thread",'Data-Forums'!date 'Data-Forums'!data)))</f>
        <v>0</v>
      </c>
      <c r="AH19" s="320">
        <f t="array" ref="AH19">MAX(IF(((19:19 name)=(Submissions!name Submissions!Data))*NOT(ISBLANK(Submissions!subDate Submissions!Data)),DATEVALUE(Submissions!subDate Submissions!Data)))</f>
        <v>41264</v>
      </c>
    </row>
    <row r="20" spans="1:34" x14ac:dyDescent="0.25">
      <c r="A20" s="336">
        <f t="shared" si="0"/>
        <v>10</v>
      </c>
      <c r="B20" s="333" t="str">
        <f>Roster!C17</f>
        <v>Fathelbab, Hosain</v>
      </c>
      <c r="C20" s="288"/>
      <c r="D20" s="289" t="str">
        <f>Roster!E17</f>
        <v>hosain.fouad@gmail.com</v>
      </c>
      <c r="E20" s="30" t="str">
        <f>Roster!F17</f>
        <v>Student</v>
      </c>
      <c r="F20" s="50"/>
      <c r="G20" s="100"/>
      <c r="H20" s="101">
        <f>'Summary-Visits'!T17</f>
        <v>0</v>
      </c>
      <c r="I20" s="101">
        <f>'Summary-Forum'!U35</f>
        <v>0</v>
      </c>
      <c r="J20" s="101">
        <f>'Data-Assigns'!O20</f>
        <v>0</v>
      </c>
      <c r="K20" s="160" t="e">
        <f>'Data-Assigns'!P20</f>
        <v>#DIV/0!</v>
      </c>
      <c r="L20" s="161">
        <f>'Data-Assigns'!N20</f>
        <v>5.7142857142857141E-2</v>
      </c>
      <c r="M20" s="100"/>
      <c r="N20" s="101">
        <f>'Summary-Visits'!U17</f>
        <v>0</v>
      </c>
      <c r="O20" s="101">
        <f>'Summary-Forum'!V35</f>
        <v>0</v>
      </c>
      <c r="P20" s="101">
        <f>'Data-Assigns'!Q20</f>
        <v>0</v>
      </c>
      <c r="Q20" s="160" t="e">
        <f>'Data-Assigns'!R20</f>
        <v>#DIV/0!</v>
      </c>
      <c r="R20" s="161"/>
      <c r="S20" s="100"/>
      <c r="T20" s="101">
        <f>'Summary-Visits'!V17</f>
        <v>0</v>
      </c>
      <c r="U20" s="101">
        <f>'Summary-Forum'!W35</f>
        <v>0</v>
      </c>
      <c r="V20" s="101">
        <f>'Data-Assigns'!S20</f>
        <v>0</v>
      </c>
      <c r="W20" s="160" t="e">
        <f>'Data-Assigns'!T20</f>
        <v>#DIV/0!</v>
      </c>
      <c r="X20" s="161"/>
      <c r="Y20" s="100"/>
      <c r="Z20" s="101">
        <f>'Summary-Visits'!W17</f>
        <v>0</v>
      </c>
      <c r="AA20" s="101">
        <f>'Summary-Forum'!X35</f>
        <v>0</v>
      </c>
      <c r="AB20" s="101">
        <f>'Data-Assigns'!U20</f>
        <v>0</v>
      </c>
      <c r="AC20" s="304" t="e">
        <f>'Data-Assigns'!V20</f>
        <v>#DIV/0!</v>
      </c>
      <c r="AD20" s="198"/>
      <c r="AE20" s="328">
        <f t="shared" si="1"/>
        <v>41264</v>
      </c>
      <c r="AF20" s="325">
        <f t="array" ref="AF20">MAX(((20:20 name)=([0]!name 'Data-Forums'!data))*(([0]!Event 'Data-Forums'!data)="new thread")*'Data-Forums'!date 'Data-Forums'!data)</f>
        <v>0</v>
      </c>
      <c r="AG20" s="319">
        <f t="array" ref="AG20">MAX(IF((20:20 name)=([0]!name 'Data-Forums'!data),IF(([0]!Event 'Data-Forums'!data)="response thread",'Data-Forums'!date 'Data-Forums'!data)))</f>
        <v>0</v>
      </c>
      <c r="AH20" s="320">
        <f t="array" ref="AH20">MAX(IF(((20:20 name)=(Submissions!name Submissions!Data))*NOT(ISBLANK(Submissions!subDate Submissions!Data)),DATEVALUE(Submissions!subDate Submissions!Data)))</f>
        <v>41264</v>
      </c>
    </row>
    <row r="21" spans="1:34" x14ac:dyDescent="0.25">
      <c r="A21" s="336">
        <f t="shared" si="0"/>
        <v>11</v>
      </c>
      <c r="B21" s="333" t="str">
        <f>Roster!C18</f>
        <v>Ganzorig, Enkhsaruul</v>
      </c>
      <c r="C21" s="288"/>
      <c r="D21" s="289" t="str">
        <f>Roster!E18</f>
        <v>saruulhan@gmail.com</v>
      </c>
      <c r="E21" s="30" t="str">
        <f>Roster!F18</f>
        <v>Student</v>
      </c>
      <c r="F21" s="50"/>
      <c r="G21" s="100"/>
      <c r="H21" s="101">
        <f>'Summary-Visits'!T18</f>
        <v>0</v>
      </c>
      <c r="I21" s="101">
        <f>'Summary-Forum'!U36</f>
        <v>0</v>
      </c>
      <c r="J21" s="101">
        <f>'Data-Assigns'!O21</f>
        <v>0</v>
      </c>
      <c r="K21" s="160" t="e">
        <f>'Data-Assigns'!P21</f>
        <v>#DIV/0!</v>
      </c>
      <c r="L21" s="161">
        <f>'Data-Assigns'!N21</f>
        <v>4.7619047619047616E-2</v>
      </c>
      <c r="M21" s="100"/>
      <c r="N21" s="101">
        <f>'Summary-Visits'!U18</f>
        <v>0</v>
      </c>
      <c r="O21" s="101">
        <f>'Summary-Forum'!V36</f>
        <v>0</v>
      </c>
      <c r="P21" s="101">
        <f>'Data-Assigns'!Q21</f>
        <v>0</v>
      </c>
      <c r="Q21" s="160" t="e">
        <f>'Data-Assigns'!R21</f>
        <v>#DIV/0!</v>
      </c>
      <c r="R21" s="161"/>
      <c r="S21" s="100"/>
      <c r="T21" s="101">
        <f>'Summary-Visits'!V18</f>
        <v>0</v>
      </c>
      <c r="U21" s="101">
        <f>'Summary-Forum'!W36</f>
        <v>0</v>
      </c>
      <c r="V21" s="101">
        <f>'Data-Assigns'!S21</f>
        <v>0</v>
      </c>
      <c r="W21" s="160" t="e">
        <f>'Data-Assigns'!T21</f>
        <v>#DIV/0!</v>
      </c>
      <c r="X21" s="161"/>
      <c r="Y21" s="100"/>
      <c r="Z21" s="101">
        <f>'Summary-Visits'!W18</f>
        <v>0</v>
      </c>
      <c r="AA21" s="101">
        <f>'Summary-Forum'!X36</f>
        <v>0</v>
      </c>
      <c r="AB21" s="101">
        <f>'Data-Assigns'!U21</f>
        <v>0</v>
      </c>
      <c r="AC21" s="304" t="e">
        <f>'Data-Assigns'!V21</f>
        <v>#DIV/0!</v>
      </c>
      <c r="AD21" s="198"/>
      <c r="AE21" s="328">
        <f t="shared" si="1"/>
        <v>41264</v>
      </c>
      <c r="AF21" s="325">
        <f t="array" ref="AF21">MAX(((21:21 name)=([0]!name 'Data-Forums'!data))*(([0]!Event 'Data-Forums'!data)="new thread")*'Data-Forums'!date 'Data-Forums'!data)</f>
        <v>0</v>
      </c>
      <c r="AG21" s="319">
        <f t="array" ref="AG21">MAX(IF((21:21 name)=([0]!name 'Data-Forums'!data),IF(([0]!Event 'Data-Forums'!data)="response thread",'Data-Forums'!date 'Data-Forums'!data)))</f>
        <v>0</v>
      </c>
      <c r="AH21" s="320">
        <f t="array" ref="AH21">MAX(IF(((21:21 name)=(Submissions!name Submissions!Data))*NOT(ISBLANK(Submissions!subDate Submissions!Data)),DATEVALUE(Submissions!subDate Submissions!Data)))</f>
        <v>41264</v>
      </c>
    </row>
    <row r="22" spans="1:34" x14ac:dyDescent="0.25">
      <c r="A22" s="336">
        <f t="shared" si="0"/>
        <v>12</v>
      </c>
      <c r="B22" s="333" t="str">
        <f>Roster!C19</f>
        <v>Gebremeskel, Abiy</v>
      </c>
      <c r="C22" s="288"/>
      <c r="D22" s="289" t="str">
        <f>Roster!E19</f>
        <v>abiy.gmeskel@gmail.com</v>
      </c>
      <c r="E22" s="30" t="str">
        <f>Roster!F19</f>
        <v>Student</v>
      </c>
      <c r="F22" s="50"/>
      <c r="G22" s="100"/>
      <c r="H22" s="101">
        <f>'Summary-Visits'!T19</f>
        <v>0</v>
      </c>
      <c r="I22" s="101">
        <f>'Summary-Forum'!U37</f>
        <v>0</v>
      </c>
      <c r="J22" s="101">
        <f>'Data-Assigns'!O22</f>
        <v>0</v>
      </c>
      <c r="K22" s="160" t="e">
        <f>'Data-Assigns'!P22</f>
        <v>#DIV/0!</v>
      </c>
      <c r="L22" s="161">
        <f>'Data-Assigns'!N22</f>
        <v>4.7619047619047616E-2</v>
      </c>
      <c r="M22" s="100"/>
      <c r="N22" s="101">
        <f>'Summary-Visits'!U19</f>
        <v>0</v>
      </c>
      <c r="O22" s="101">
        <f>'Summary-Forum'!V37</f>
        <v>0</v>
      </c>
      <c r="P22" s="101">
        <f>'Data-Assigns'!Q22</f>
        <v>0</v>
      </c>
      <c r="Q22" s="160" t="e">
        <f>'Data-Assigns'!R22</f>
        <v>#DIV/0!</v>
      </c>
      <c r="R22" s="161"/>
      <c r="S22" s="100"/>
      <c r="T22" s="101">
        <f>'Summary-Visits'!V19</f>
        <v>0</v>
      </c>
      <c r="U22" s="101">
        <f>'Summary-Forum'!W37</f>
        <v>0</v>
      </c>
      <c r="V22" s="101">
        <f>'Data-Assigns'!S22</f>
        <v>0</v>
      </c>
      <c r="W22" s="160" t="e">
        <f>'Data-Assigns'!T22</f>
        <v>#DIV/0!</v>
      </c>
      <c r="X22" s="161"/>
      <c r="Y22" s="100"/>
      <c r="Z22" s="101">
        <f>'Summary-Visits'!W19</f>
        <v>0</v>
      </c>
      <c r="AA22" s="101">
        <f>'Summary-Forum'!X37</f>
        <v>0</v>
      </c>
      <c r="AB22" s="101">
        <f>'Data-Assigns'!U22</f>
        <v>0</v>
      </c>
      <c r="AC22" s="304" t="e">
        <f>'Data-Assigns'!V22</f>
        <v>#DIV/0!</v>
      </c>
      <c r="AD22" s="198"/>
      <c r="AE22" s="328">
        <f t="shared" si="1"/>
        <v>41264</v>
      </c>
      <c r="AF22" s="325">
        <f t="array" ref="AF22">MAX(((22:22 name)=([0]!name 'Data-Forums'!data))*(([0]!Event 'Data-Forums'!data)="new thread")*'Data-Forums'!date 'Data-Forums'!data)</f>
        <v>0</v>
      </c>
      <c r="AG22" s="319">
        <f t="array" ref="AG22">MAX(IF((22:22 name)=([0]!name 'Data-Forums'!data),IF(([0]!Event 'Data-Forums'!data)="response thread",'Data-Forums'!date 'Data-Forums'!data)))</f>
        <v>0</v>
      </c>
      <c r="AH22" s="320">
        <f t="array" ref="AH22">MAX(IF(((22:22 name)=(Submissions!name Submissions!Data))*NOT(ISBLANK(Submissions!subDate Submissions!Data)),DATEVALUE(Submissions!subDate Submissions!Data)))</f>
        <v>41264</v>
      </c>
    </row>
    <row r="23" spans="1:34" x14ac:dyDescent="0.25">
      <c r="A23" s="336">
        <f t="shared" si="0"/>
        <v>13</v>
      </c>
      <c r="B23" s="333" t="str">
        <f>Roster!C20</f>
        <v>Hagag, Ahmad M.M.</v>
      </c>
      <c r="C23" s="288"/>
      <c r="D23" s="289" t="str">
        <f>Roster!E20</f>
        <v>ahmad.m.hagag@gmail.com</v>
      </c>
      <c r="E23" s="30" t="str">
        <f>Roster!F20</f>
        <v>Student</v>
      </c>
      <c r="F23" s="50"/>
      <c r="G23" s="100"/>
      <c r="H23" s="101">
        <f>'Summary-Visits'!T20</f>
        <v>0</v>
      </c>
      <c r="I23" s="101">
        <f>'Summary-Forum'!U38</f>
        <v>0</v>
      </c>
      <c r="J23" s="101">
        <f>'Data-Assigns'!O23</f>
        <v>0</v>
      </c>
      <c r="K23" s="160" t="e">
        <f>'Data-Assigns'!P23</f>
        <v>#DIV/0!</v>
      </c>
      <c r="L23" s="161">
        <f>'Data-Assigns'!N23</f>
        <v>4.7619047619047616E-2</v>
      </c>
      <c r="M23" s="100"/>
      <c r="N23" s="101">
        <f>'Summary-Visits'!U20</f>
        <v>0</v>
      </c>
      <c r="O23" s="101">
        <f>'Summary-Forum'!V38</f>
        <v>0</v>
      </c>
      <c r="P23" s="101">
        <f>'Data-Assigns'!Q23</f>
        <v>0</v>
      </c>
      <c r="Q23" s="160" t="e">
        <f>'Data-Assigns'!R23</f>
        <v>#DIV/0!</v>
      </c>
      <c r="R23" s="161"/>
      <c r="S23" s="100"/>
      <c r="T23" s="101">
        <f>'Summary-Visits'!V20</f>
        <v>0</v>
      </c>
      <c r="U23" s="101">
        <f>'Summary-Forum'!W38</f>
        <v>0</v>
      </c>
      <c r="V23" s="101">
        <f>'Data-Assigns'!S23</f>
        <v>0</v>
      </c>
      <c r="W23" s="160" t="e">
        <f>'Data-Assigns'!T23</f>
        <v>#DIV/0!</v>
      </c>
      <c r="X23" s="161"/>
      <c r="Y23" s="100"/>
      <c r="Z23" s="101">
        <f>'Summary-Visits'!W20</f>
        <v>0</v>
      </c>
      <c r="AA23" s="101">
        <f>'Summary-Forum'!X38</f>
        <v>0</v>
      </c>
      <c r="AB23" s="101">
        <f>'Data-Assigns'!U23</f>
        <v>0</v>
      </c>
      <c r="AC23" s="304" t="e">
        <f>'Data-Assigns'!V23</f>
        <v>#DIV/0!</v>
      </c>
      <c r="AD23" s="198"/>
      <c r="AE23" s="328">
        <f t="shared" si="1"/>
        <v>41264</v>
      </c>
      <c r="AF23" s="325">
        <f t="array" ref="AF23">MAX(((23:23 name)=([0]!name 'Data-Forums'!data))*(([0]!Event 'Data-Forums'!data)="new thread")*'Data-Forums'!date 'Data-Forums'!data)</f>
        <v>0</v>
      </c>
      <c r="AG23" s="319">
        <f t="array" ref="AG23">MAX(IF((23:23 name)=([0]!name 'Data-Forums'!data),IF(([0]!Event 'Data-Forums'!data)="response thread",'Data-Forums'!date 'Data-Forums'!data)))</f>
        <v>0</v>
      </c>
      <c r="AH23" s="320">
        <f t="array" ref="AH23">MAX(IF(((23:23 name)=(Submissions!name Submissions!Data))*NOT(ISBLANK(Submissions!subDate Submissions!Data)),DATEVALUE(Submissions!subDate Submissions!Data)))</f>
        <v>41264</v>
      </c>
    </row>
    <row r="24" spans="1:34" x14ac:dyDescent="0.25">
      <c r="A24" s="336">
        <f t="shared" si="0"/>
        <v>14</v>
      </c>
      <c r="B24" s="333" t="str">
        <f>Roster!C21</f>
        <v>Kelkay, Ayalew Alemayehu</v>
      </c>
      <c r="C24" s="288"/>
      <c r="D24" s="289" t="str">
        <f>Roster!E21</f>
        <v>ayalewkelkay@gmail.com</v>
      </c>
      <c r="E24" s="30" t="str">
        <f>Roster!F21</f>
        <v>Student</v>
      </c>
      <c r="F24" s="50"/>
      <c r="G24" s="100"/>
      <c r="H24" s="101">
        <f>'Summary-Visits'!T21</f>
        <v>0</v>
      </c>
      <c r="I24" s="101">
        <f>'Summary-Forum'!U39</f>
        <v>0</v>
      </c>
      <c r="J24" s="101">
        <f>'Data-Assigns'!O24</f>
        <v>0</v>
      </c>
      <c r="K24" s="160" t="e">
        <f>'Data-Assigns'!P24</f>
        <v>#DIV/0!</v>
      </c>
      <c r="L24" s="161">
        <f>'Data-Assigns'!N24</f>
        <v>0</v>
      </c>
      <c r="M24" s="100"/>
      <c r="N24" s="101">
        <f>'Summary-Visits'!U21</f>
        <v>0</v>
      </c>
      <c r="O24" s="101">
        <f>'Summary-Forum'!V39</f>
        <v>0</v>
      </c>
      <c r="P24" s="101">
        <f>'Data-Assigns'!Q24</f>
        <v>0</v>
      </c>
      <c r="Q24" s="160" t="e">
        <f>'Data-Assigns'!R24</f>
        <v>#DIV/0!</v>
      </c>
      <c r="R24" s="161"/>
      <c r="S24" s="100"/>
      <c r="T24" s="101">
        <f>'Summary-Visits'!V21</f>
        <v>0</v>
      </c>
      <c r="U24" s="101">
        <f>'Summary-Forum'!W39</f>
        <v>0</v>
      </c>
      <c r="V24" s="101">
        <f>'Data-Assigns'!S24</f>
        <v>0</v>
      </c>
      <c r="W24" s="160" t="e">
        <f>'Data-Assigns'!T24</f>
        <v>#DIV/0!</v>
      </c>
      <c r="X24" s="161"/>
      <c r="Y24" s="100"/>
      <c r="Z24" s="101">
        <f>'Summary-Visits'!W21</f>
        <v>0</v>
      </c>
      <c r="AA24" s="101">
        <f>'Summary-Forum'!X39</f>
        <v>0</v>
      </c>
      <c r="AB24" s="101">
        <f>'Data-Assigns'!U24</f>
        <v>0</v>
      </c>
      <c r="AC24" s="304" t="e">
        <f>'Data-Assigns'!V24</f>
        <v>#DIV/0!</v>
      </c>
      <c r="AD24" s="198"/>
      <c r="AE24" s="328">
        <f t="shared" si="1"/>
        <v>0</v>
      </c>
      <c r="AF24" s="325">
        <f t="array" ref="AF24">MAX(((24:24 name)=([0]!name 'Data-Forums'!data))*(([0]!Event 'Data-Forums'!data)="new thread")*'Data-Forums'!date 'Data-Forums'!data)</f>
        <v>0</v>
      </c>
      <c r="AG24" s="319">
        <f t="array" ref="AG24">MAX(IF((24:24 name)=([0]!name 'Data-Forums'!data),IF(([0]!Event 'Data-Forums'!data)="response thread",'Data-Forums'!date 'Data-Forums'!data)))</f>
        <v>0</v>
      </c>
      <c r="AH24" s="320">
        <f t="array" ref="AH24">MAX(IF(((24:24 name)=(Submissions!name Submissions!Data))*NOT(ISBLANK(Submissions!subDate Submissions!Data)),DATEVALUE(Submissions!subDate Submissions!Data)))</f>
        <v>0</v>
      </c>
    </row>
    <row r="25" spans="1:34" x14ac:dyDescent="0.25">
      <c r="A25" s="336">
        <f t="shared" si="0"/>
        <v>15</v>
      </c>
      <c r="B25" s="333" t="str">
        <f>Roster!C22</f>
        <v>Kidane, Ermias</v>
      </c>
      <c r="C25" s="288"/>
      <c r="D25" s="289" t="str">
        <f>Roster!E22</f>
        <v>ermidev@gmail.com</v>
      </c>
      <c r="E25" s="30" t="str">
        <f>Roster!F22</f>
        <v>Student</v>
      </c>
      <c r="F25" s="50"/>
      <c r="G25" s="100"/>
      <c r="H25" s="101">
        <f>'Summary-Visits'!T22</f>
        <v>0</v>
      </c>
      <c r="I25" s="101">
        <f>'Summary-Forum'!U40</f>
        <v>0</v>
      </c>
      <c r="J25" s="101">
        <f>'Data-Assigns'!O25</f>
        <v>0</v>
      </c>
      <c r="K25" s="160" t="e">
        <f>'Data-Assigns'!P25</f>
        <v>#DIV/0!</v>
      </c>
      <c r="L25" s="161">
        <f>'Data-Assigns'!N25</f>
        <v>4.7619047619047616E-2</v>
      </c>
      <c r="M25" s="100"/>
      <c r="N25" s="101">
        <f>'Summary-Visits'!U22</f>
        <v>0</v>
      </c>
      <c r="O25" s="101">
        <f>'Summary-Forum'!V40</f>
        <v>0</v>
      </c>
      <c r="P25" s="101">
        <f>'Data-Assigns'!Q25</f>
        <v>0</v>
      </c>
      <c r="Q25" s="160" t="e">
        <f>'Data-Assigns'!R25</f>
        <v>#DIV/0!</v>
      </c>
      <c r="R25" s="161"/>
      <c r="S25" s="100"/>
      <c r="T25" s="101">
        <f>'Summary-Visits'!V22</f>
        <v>0</v>
      </c>
      <c r="U25" s="101">
        <f>'Summary-Forum'!W40</f>
        <v>0</v>
      </c>
      <c r="V25" s="101">
        <f>'Data-Assigns'!S25</f>
        <v>0</v>
      </c>
      <c r="W25" s="160" t="e">
        <f>'Data-Assigns'!T25</f>
        <v>#DIV/0!</v>
      </c>
      <c r="X25" s="161"/>
      <c r="Y25" s="100"/>
      <c r="Z25" s="101">
        <f>'Summary-Visits'!W22</f>
        <v>0</v>
      </c>
      <c r="AA25" s="101">
        <f>'Summary-Forum'!X40</f>
        <v>0</v>
      </c>
      <c r="AB25" s="101">
        <f>'Data-Assigns'!U25</f>
        <v>0</v>
      </c>
      <c r="AC25" s="304" t="e">
        <f>'Data-Assigns'!V25</f>
        <v>#DIV/0!</v>
      </c>
      <c r="AD25" s="198"/>
      <c r="AE25" s="328">
        <f t="shared" si="1"/>
        <v>41261</v>
      </c>
      <c r="AF25" s="325">
        <f t="array" ref="AF25">MAX(((25:25 name)=([0]!name 'Data-Forums'!data))*(([0]!Event 'Data-Forums'!data)="new thread")*'Data-Forums'!date 'Data-Forums'!data)</f>
        <v>0</v>
      </c>
      <c r="AG25" s="319">
        <f t="array" ref="AG25">MAX(IF((25:25 name)=([0]!name 'Data-Forums'!data),IF(([0]!Event 'Data-Forums'!data)="response thread",'Data-Forums'!date 'Data-Forums'!data)))</f>
        <v>0</v>
      </c>
      <c r="AH25" s="320">
        <f t="array" ref="AH25">MAX(IF(((25:25 name)=(Submissions!name Submissions!Data))*NOT(ISBLANK(Submissions!subDate Submissions!Data)),DATEVALUE(Submissions!subDate Submissions!Data)))</f>
        <v>41261</v>
      </c>
    </row>
    <row r="26" spans="1:34" x14ac:dyDescent="0.25">
      <c r="A26" s="336">
        <f t="shared" si="0"/>
        <v>16</v>
      </c>
      <c r="B26" s="333" t="str">
        <f>Roster!C23</f>
        <v>Kouotou Mefire, Ibrahim</v>
      </c>
      <c r="C26" s="288"/>
      <c r="D26" s="289" t="str">
        <f>Roster!E23</f>
        <v>imefire@gmail.com</v>
      </c>
      <c r="E26" s="30" t="str">
        <f>Roster!F23</f>
        <v>Student</v>
      </c>
      <c r="F26" s="50"/>
      <c r="G26" s="100"/>
      <c r="H26" s="101">
        <f>'Summary-Visits'!T23</f>
        <v>0</v>
      </c>
      <c r="I26" s="101">
        <f>'Summary-Forum'!U41</f>
        <v>0</v>
      </c>
      <c r="J26" s="101">
        <f>'Data-Assigns'!O26</f>
        <v>0</v>
      </c>
      <c r="K26" s="160" t="e">
        <f>'Data-Assigns'!P26</f>
        <v>#DIV/0!</v>
      </c>
      <c r="L26" s="161">
        <f>'Data-Assigns'!N26</f>
        <v>5.7142857142857141E-2</v>
      </c>
      <c r="M26" s="100"/>
      <c r="N26" s="101">
        <f>'Summary-Visits'!U23</f>
        <v>0</v>
      </c>
      <c r="O26" s="101">
        <f>'Summary-Forum'!V41</f>
        <v>0</v>
      </c>
      <c r="P26" s="101">
        <f>'Data-Assigns'!Q26</f>
        <v>0</v>
      </c>
      <c r="Q26" s="160" t="e">
        <f>'Data-Assigns'!R26</f>
        <v>#DIV/0!</v>
      </c>
      <c r="R26" s="161"/>
      <c r="S26" s="100"/>
      <c r="T26" s="101">
        <f>'Summary-Visits'!V23</f>
        <v>0</v>
      </c>
      <c r="U26" s="101">
        <f>'Summary-Forum'!W41</f>
        <v>0</v>
      </c>
      <c r="V26" s="101">
        <f>'Data-Assigns'!S26</f>
        <v>0</v>
      </c>
      <c r="W26" s="160" t="e">
        <f>'Data-Assigns'!T26</f>
        <v>#DIV/0!</v>
      </c>
      <c r="X26" s="161"/>
      <c r="Y26" s="100"/>
      <c r="Z26" s="101">
        <f>'Summary-Visits'!W23</f>
        <v>0</v>
      </c>
      <c r="AA26" s="101">
        <f>'Summary-Forum'!X41</f>
        <v>0</v>
      </c>
      <c r="AB26" s="101">
        <f>'Data-Assigns'!U26</f>
        <v>0</v>
      </c>
      <c r="AC26" s="304" t="e">
        <f>'Data-Assigns'!V26</f>
        <v>#DIV/0!</v>
      </c>
      <c r="AD26" s="198"/>
      <c r="AE26" s="328">
        <f t="shared" si="1"/>
        <v>41518</v>
      </c>
      <c r="AF26" s="325">
        <f t="array" ref="AF26">MAX(((26:26 name)=([0]!name 'Data-Forums'!data))*(([0]!Event 'Data-Forums'!data)="new thread")*'Data-Forums'!date 'Data-Forums'!data)</f>
        <v>41518</v>
      </c>
      <c r="AG26" s="319">
        <f t="array" ref="AG26">MAX(IF((26:26 name)=([0]!name 'Data-Forums'!data),IF(([0]!Event 'Data-Forums'!data)="response thread",'Data-Forums'!date 'Data-Forums'!data)))</f>
        <v>41518</v>
      </c>
      <c r="AH26" s="320">
        <f t="array" ref="AH26">MAX(IF(((26:26 name)=(Submissions!name Submissions!Data))*NOT(ISBLANK(Submissions!subDate Submissions!Data)),DATEVALUE(Submissions!subDate Submissions!Data)))</f>
        <v>41261</v>
      </c>
    </row>
    <row r="27" spans="1:34" x14ac:dyDescent="0.25">
      <c r="A27" s="336">
        <f t="shared" si="0"/>
        <v>17</v>
      </c>
      <c r="B27" s="333" t="str">
        <f>Roster!C24</f>
        <v>Lapitan, Blaine Dondi</v>
      </c>
      <c r="C27" s="288"/>
      <c r="D27" s="289" t="str">
        <f>Roster!E24</f>
        <v>blainedondi.lapitan@gmail.com</v>
      </c>
      <c r="E27" s="30" t="str">
        <f>Roster!F24</f>
        <v>Student</v>
      </c>
      <c r="F27" s="50"/>
      <c r="G27" s="100"/>
      <c r="H27" s="101">
        <f>'Summary-Visits'!T24</f>
        <v>0</v>
      </c>
      <c r="I27" s="101">
        <f>'Summary-Forum'!U42</f>
        <v>0</v>
      </c>
      <c r="J27" s="101">
        <f>'Data-Assigns'!O27</f>
        <v>0</v>
      </c>
      <c r="K27" s="160" t="e">
        <f>'Data-Assigns'!P27</f>
        <v>#DIV/0!</v>
      </c>
      <c r="L27" s="161">
        <f>'Data-Assigns'!N27</f>
        <v>4.7619047619047616E-2</v>
      </c>
      <c r="M27" s="100"/>
      <c r="N27" s="101">
        <f>'Summary-Visits'!U24</f>
        <v>0</v>
      </c>
      <c r="O27" s="101">
        <f>'Summary-Forum'!V42</f>
        <v>0</v>
      </c>
      <c r="P27" s="101">
        <f>'Data-Assigns'!Q27</f>
        <v>0</v>
      </c>
      <c r="Q27" s="160" t="e">
        <f>'Data-Assigns'!R27</f>
        <v>#DIV/0!</v>
      </c>
      <c r="R27" s="161"/>
      <c r="S27" s="100"/>
      <c r="T27" s="101">
        <f>'Summary-Visits'!V24</f>
        <v>0</v>
      </c>
      <c r="U27" s="101">
        <f>'Summary-Forum'!W42</f>
        <v>0</v>
      </c>
      <c r="V27" s="101">
        <f>'Data-Assigns'!S27</f>
        <v>0</v>
      </c>
      <c r="W27" s="160" t="e">
        <f>'Data-Assigns'!T27</f>
        <v>#DIV/0!</v>
      </c>
      <c r="X27" s="161"/>
      <c r="Y27" s="100"/>
      <c r="Z27" s="101">
        <f>'Summary-Visits'!W24</f>
        <v>0</v>
      </c>
      <c r="AA27" s="101">
        <f>'Summary-Forum'!X42</f>
        <v>0</v>
      </c>
      <c r="AB27" s="101">
        <f>'Data-Assigns'!U27</f>
        <v>0</v>
      </c>
      <c r="AC27" s="304" t="e">
        <f>'Data-Assigns'!V27</f>
        <v>#DIV/0!</v>
      </c>
      <c r="AD27" s="198"/>
      <c r="AE27" s="328">
        <f t="shared" si="1"/>
        <v>41264</v>
      </c>
      <c r="AF27" s="325">
        <f t="array" ref="AF27">MAX(((27:27 name)=([0]!name 'Data-Forums'!data))*(([0]!Event 'Data-Forums'!data)="new thread")*'Data-Forums'!date 'Data-Forums'!data)</f>
        <v>0</v>
      </c>
      <c r="AG27" s="319">
        <f t="array" ref="AG27">MAX(IF((27:27 name)=([0]!name 'Data-Forums'!data),IF(([0]!Event 'Data-Forums'!data)="response thread",'Data-Forums'!date 'Data-Forums'!data)))</f>
        <v>0</v>
      </c>
      <c r="AH27" s="320">
        <f t="array" ref="AH27">MAX(IF(((27:27 name)=(Submissions!name Submissions!Data))*NOT(ISBLANK(Submissions!subDate Submissions!Data)),DATEVALUE(Submissions!subDate Submissions!Data)))</f>
        <v>41264</v>
      </c>
    </row>
    <row r="28" spans="1:34" x14ac:dyDescent="0.25">
      <c r="A28" s="336">
        <f t="shared" si="0"/>
        <v>18</v>
      </c>
      <c r="B28" s="333" t="str">
        <f>Roster!C25</f>
        <v>Muratov, Sherzod</v>
      </c>
      <c r="C28" s="288"/>
      <c r="D28" s="289" t="str">
        <f>Roster!E25</f>
        <v>sherzod.muratov@gmail.com</v>
      </c>
      <c r="E28" s="30" t="str">
        <f>Roster!F25</f>
        <v>Student</v>
      </c>
      <c r="F28" s="50"/>
      <c r="G28" s="100"/>
      <c r="H28" s="101">
        <f>'Summary-Visits'!T25</f>
        <v>0</v>
      </c>
      <c r="I28" s="101">
        <f>'Summary-Forum'!U43</f>
        <v>0</v>
      </c>
      <c r="J28" s="101">
        <f>'Data-Assigns'!O28</f>
        <v>0</v>
      </c>
      <c r="K28" s="160" t="e">
        <f>'Data-Assigns'!P28</f>
        <v>#DIV/0!</v>
      </c>
      <c r="L28" s="161">
        <f>'Data-Assigns'!N28</f>
        <v>4.7619047619047616E-2</v>
      </c>
      <c r="M28" s="100"/>
      <c r="N28" s="101">
        <f>'Summary-Visits'!U25</f>
        <v>0</v>
      </c>
      <c r="O28" s="101">
        <f>'Summary-Forum'!V43</f>
        <v>0</v>
      </c>
      <c r="P28" s="101">
        <f>'Data-Assigns'!Q28</f>
        <v>0</v>
      </c>
      <c r="Q28" s="160" t="e">
        <f>'Data-Assigns'!R28</f>
        <v>#DIV/0!</v>
      </c>
      <c r="R28" s="161"/>
      <c r="S28" s="100"/>
      <c r="T28" s="101">
        <f>'Summary-Visits'!V25</f>
        <v>0</v>
      </c>
      <c r="U28" s="101">
        <f>'Summary-Forum'!W43</f>
        <v>0</v>
      </c>
      <c r="V28" s="101">
        <f>'Data-Assigns'!S28</f>
        <v>0</v>
      </c>
      <c r="W28" s="160" t="e">
        <f>'Data-Assigns'!T28</f>
        <v>#DIV/0!</v>
      </c>
      <c r="X28" s="161"/>
      <c r="Y28" s="100"/>
      <c r="Z28" s="101">
        <f>'Summary-Visits'!W25</f>
        <v>0</v>
      </c>
      <c r="AA28" s="101">
        <f>'Summary-Forum'!X43</f>
        <v>0</v>
      </c>
      <c r="AB28" s="101">
        <f>'Data-Assigns'!U28</f>
        <v>0</v>
      </c>
      <c r="AC28" s="304" t="e">
        <f>'Data-Assigns'!V28</f>
        <v>#DIV/0!</v>
      </c>
      <c r="AD28" s="198"/>
      <c r="AE28" s="328">
        <f t="shared" ref="AE28:AE37" si="2">MAX(AF28:AH28)</f>
        <v>41264</v>
      </c>
      <c r="AF28" s="325">
        <f t="array" ref="AF28">MAX(((28:28 name)=([0]!name 'Data-Forums'!data))*(([0]!Event 'Data-Forums'!data)="new thread")*'Data-Forums'!date 'Data-Forums'!data)</f>
        <v>0</v>
      </c>
      <c r="AG28" s="319">
        <f t="array" ref="AG28">MAX(IF((28:28 name)=([0]!name 'Data-Forums'!data),IF(([0]!Event 'Data-Forums'!data)="response thread",'Data-Forums'!date 'Data-Forums'!data)))</f>
        <v>0</v>
      </c>
      <c r="AH28" s="320">
        <f t="array" ref="AH28">MAX(IF(((28:28 name)=(Submissions!name Submissions!Data))*NOT(ISBLANK(Submissions!subDate Submissions!Data)),DATEVALUE(Submissions!subDate Submissions!Data)))</f>
        <v>41264</v>
      </c>
    </row>
    <row r="29" spans="1:34" x14ac:dyDescent="0.25">
      <c r="A29" s="336">
        <f t="shared" si="0"/>
        <v>19</v>
      </c>
      <c r="B29" s="333" t="str">
        <f>Roster!C26</f>
        <v>Nazarov, Nodir</v>
      </c>
      <c r="C29" s="288"/>
      <c r="D29" s="289" t="str">
        <f>Roster!E26</f>
        <v>nazarov.nodir@gmail.com</v>
      </c>
      <c r="E29" s="30" t="str">
        <f>Roster!F26</f>
        <v>Student</v>
      </c>
      <c r="F29" s="50"/>
      <c r="G29" s="100"/>
      <c r="H29" s="101">
        <f>'Summary-Visits'!T26</f>
        <v>0</v>
      </c>
      <c r="I29" s="101">
        <f>'Summary-Forum'!U44</f>
        <v>0</v>
      </c>
      <c r="J29" s="101">
        <f>'Data-Assigns'!O29</f>
        <v>0</v>
      </c>
      <c r="K29" s="160" t="e">
        <f>'Data-Assigns'!P29</f>
        <v>#DIV/0!</v>
      </c>
      <c r="L29" s="161">
        <f>'Data-Assigns'!N29</f>
        <v>4.7619047619047616E-2</v>
      </c>
      <c r="M29" s="100"/>
      <c r="N29" s="101">
        <f>'Summary-Visits'!U26</f>
        <v>0</v>
      </c>
      <c r="O29" s="101">
        <f>'Summary-Forum'!V44</f>
        <v>0</v>
      </c>
      <c r="P29" s="101">
        <f>'Data-Assigns'!Q29</f>
        <v>0</v>
      </c>
      <c r="Q29" s="160" t="e">
        <f>'Data-Assigns'!R29</f>
        <v>#DIV/0!</v>
      </c>
      <c r="R29" s="161"/>
      <c r="S29" s="100"/>
      <c r="T29" s="101">
        <f>'Summary-Visits'!V26</f>
        <v>0</v>
      </c>
      <c r="U29" s="101">
        <f>'Summary-Forum'!W44</f>
        <v>0</v>
      </c>
      <c r="V29" s="101">
        <f>'Data-Assigns'!S29</f>
        <v>0</v>
      </c>
      <c r="W29" s="160" t="e">
        <f>'Data-Assigns'!T29</f>
        <v>#DIV/0!</v>
      </c>
      <c r="X29" s="161"/>
      <c r="Y29" s="100"/>
      <c r="Z29" s="101">
        <f>'Summary-Visits'!W26</f>
        <v>0</v>
      </c>
      <c r="AA29" s="101">
        <f>'Summary-Forum'!X44</f>
        <v>0</v>
      </c>
      <c r="AB29" s="101">
        <f>'Data-Assigns'!U29</f>
        <v>0</v>
      </c>
      <c r="AC29" s="304" t="e">
        <f>'Data-Assigns'!V29</f>
        <v>#DIV/0!</v>
      </c>
      <c r="AD29" s="198"/>
      <c r="AE29" s="328">
        <f t="shared" si="2"/>
        <v>41261</v>
      </c>
      <c r="AF29" s="325">
        <f t="array" ref="AF29">MAX(((29:29 name)=([0]!name 'Data-Forums'!data))*(([0]!Event 'Data-Forums'!data)="new thread")*'Data-Forums'!date 'Data-Forums'!data)</f>
        <v>0</v>
      </c>
      <c r="AG29" s="319">
        <f t="array" ref="AG29">MAX(IF((29:29 name)=([0]!name 'Data-Forums'!data),IF(([0]!Event 'Data-Forums'!data)="response thread",'Data-Forums'!date 'Data-Forums'!data)))</f>
        <v>0</v>
      </c>
      <c r="AH29" s="320">
        <f t="array" ref="AH29">MAX(IF(((29:29 name)=(Submissions!name Submissions!Data))*NOT(ISBLANK(Submissions!subDate Submissions!Data)),DATEVALUE(Submissions!subDate Submissions!Data)))</f>
        <v>41261</v>
      </c>
    </row>
    <row r="30" spans="1:34" x14ac:dyDescent="0.25">
      <c r="A30" s="336">
        <f t="shared" si="0"/>
        <v>20</v>
      </c>
      <c r="B30" s="333" t="str">
        <f>Roster!C27</f>
        <v>Negeri, Wagari Temesgen</v>
      </c>
      <c r="C30" s="288"/>
      <c r="D30" s="289" t="str">
        <f>Roster!E27</f>
        <v>wagari.negeri@gmail.com</v>
      </c>
      <c r="E30" s="30" t="str">
        <f>Roster!F27</f>
        <v>Student</v>
      </c>
      <c r="F30" s="50"/>
      <c r="G30" s="100"/>
      <c r="H30" s="101">
        <f>'Summary-Visits'!T27</f>
        <v>0</v>
      </c>
      <c r="I30" s="101">
        <f>'Summary-Forum'!U45</f>
        <v>0</v>
      </c>
      <c r="J30" s="101">
        <f>'Data-Assigns'!O30</f>
        <v>0</v>
      </c>
      <c r="K30" s="160" t="e">
        <f>'Data-Assigns'!P30</f>
        <v>#DIV/0!</v>
      </c>
      <c r="L30" s="161">
        <f>'Data-Assigns'!N30</f>
        <v>5.7142857142857141E-2</v>
      </c>
      <c r="M30" s="100"/>
      <c r="N30" s="101">
        <f>'Summary-Visits'!U27</f>
        <v>0</v>
      </c>
      <c r="O30" s="101">
        <f>'Summary-Forum'!V45</f>
        <v>0</v>
      </c>
      <c r="P30" s="101">
        <f>'Data-Assigns'!Q30</f>
        <v>0</v>
      </c>
      <c r="Q30" s="160" t="e">
        <f>'Data-Assigns'!R30</f>
        <v>#DIV/0!</v>
      </c>
      <c r="R30" s="161"/>
      <c r="S30" s="100"/>
      <c r="T30" s="101">
        <f>'Summary-Visits'!V27</f>
        <v>0</v>
      </c>
      <c r="U30" s="101">
        <f>'Summary-Forum'!W45</f>
        <v>0</v>
      </c>
      <c r="V30" s="101">
        <f>'Data-Assigns'!S30</f>
        <v>0</v>
      </c>
      <c r="W30" s="160" t="e">
        <f>'Data-Assigns'!T30</f>
        <v>#DIV/0!</v>
      </c>
      <c r="X30" s="161"/>
      <c r="Y30" s="100"/>
      <c r="Z30" s="101">
        <f>'Summary-Visits'!W27</f>
        <v>0</v>
      </c>
      <c r="AA30" s="101">
        <f>'Summary-Forum'!X45</f>
        <v>0</v>
      </c>
      <c r="AB30" s="101">
        <f>'Data-Assigns'!U30</f>
        <v>0</v>
      </c>
      <c r="AC30" s="304" t="e">
        <f>'Data-Assigns'!V30</f>
        <v>#DIV/0!</v>
      </c>
      <c r="AD30" s="198"/>
      <c r="AE30" s="328">
        <f t="shared" si="2"/>
        <v>41264</v>
      </c>
      <c r="AF30" s="325">
        <f t="array" ref="AF30">MAX(((30:30 name)=([0]!name 'Data-Forums'!data))*(([0]!Event 'Data-Forums'!data)="new thread")*'Data-Forums'!date 'Data-Forums'!data)</f>
        <v>0</v>
      </c>
      <c r="AG30" s="319">
        <f t="array" ref="AG30">MAX(IF((30:30 name)=([0]!name 'Data-Forums'!data),IF(([0]!Event 'Data-Forums'!data)="response thread",'Data-Forums'!date 'Data-Forums'!data)))</f>
        <v>0</v>
      </c>
      <c r="AH30" s="320">
        <f t="array" ref="AH30">MAX(IF(((30:30 name)=(Submissions!name Submissions!Data))*NOT(ISBLANK(Submissions!subDate Submissions!Data)),DATEVALUE(Submissions!subDate Submissions!Data)))</f>
        <v>41264</v>
      </c>
    </row>
    <row r="31" spans="1:34" x14ac:dyDescent="0.25">
      <c r="A31" s="336">
        <f t="shared" si="0"/>
        <v>21</v>
      </c>
      <c r="B31" s="333" t="str">
        <f>Roster!C28</f>
        <v>Taheri, Homayoon</v>
      </c>
      <c r="C31" s="288"/>
      <c r="D31" s="289" t="str">
        <f>Roster!E28</f>
        <v>h_taheri@yahoo.com</v>
      </c>
      <c r="E31" s="30" t="str">
        <f>Roster!F28</f>
        <v>Student</v>
      </c>
      <c r="F31" s="50"/>
      <c r="G31" s="100"/>
      <c r="H31" s="101">
        <f>'Summary-Visits'!T28</f>
        <v>0</v>
      </c>
      <c r="I31" s="101">
        <f>'Summary-Forum'!U46</f>
        <v>0</v>
      </c>
      <c r="J31" s="101">
        <f>'Data-Assigns'!O31</f>
        <v>0</v>
      </c>
      <c r="K31" s="160" t="e">
        <f>'Data-Assigns'!P31</f>
        <v>#DIV/0!</v>
      </c>
      <c r="L31" s="161">
        <f>'Data-Assigns'!N31</f>
        <v>5.7142857142857141E-2</v>
      </c>
      <c r="M31" s="100"/>
      <c r="N31" s="101">
        <f>'Summary-Visits'!U28</f>
        <v>0</v>
      </c>
      <c r="O31" s="101">
        <f>'Summary-Forum'!V46</f>
        <v>0</v>
      </c>
      <c r="P31" s="101">
        <f>'Data-Assigns'!Q31</f>
        <v>0</v>
      </c>
      <c r="Q31" s="160" t="e">
        <f>'Data-Assigns'!R31</f>
        <v>#DIV/0!</v>
      </c>
      <c r="R31" s="161"/>
      <c r="S31" s="100"/>
      <c r="T31" s="101">
        <f>'Summary-Visits'!V28</f>
        <v>0</v>
      </c>
      <c r="U31" s="101">
        <f>'Summary-Forum'!W46</f>
        <v>0</v>
      </c>
      <c r="V31" s="101">
        <f>'Data-Assigns'!S31</f>
        <v>0</v>
      </c>
      <c r="W31" s="160" t="e">
        <f>'Data-Assigns'!T31</f>
        <v>#DIV/0!</v>
      </c>
      <c r="X31" s="161"/>
      <c r="Y31" s="100"/>
      <c r="Z31" s="101">
        <f>'Summary-Visits'!W28</f>
        <v>0</v>
      </c>
      <c r="AA31" s="101">
        <f>'Summary-Forum'!X46</f>
        <v>0</v>
      </c>
      <c r="AB31" s="101">
        <f>'Data-Assigns'!U31</f>
        <v>0</v>
      </c>
      <c r="AC31" s="304" t="e">
        <f>'Data-Assigns'!V31</f>
        <v>#DIV/0!</v>
      </c>
      <c r="AD31" s="198"/>
      <c r="AE31" s="328">
        <f t="shared" si="2"/>
        <v>41264</v>
      </c>
      <c r="AF31" s="325">
        <f t="array" ref="AF31">MAX(((31:31 name)=([0]!name 'Data-Forums'!data))*(([0]!Event 'Data-Forums'!data)="new thread")*'Data-Forums'!date 'Data-Forums'!data)</f>
        <v>0</v>
      </c>
      <c r="AG31" s="319">
        <f t="array" ref="AG31">MAX(IF((31:31 name)=([0]!name 'Data-Forums'!data),IF(([0]!Event 'Data-Forums'!data)="response thread",'Data-Forums'!date 'Data-Forums'!data)))</f>
        <v>0</v>
      </c>
      <c r="AH31" s="320">
        <f t="array" ref="AH31">MAX(IF(((31:31 name)=(Submissions!name Submissions!Data))*NOT(ISBLANK(Submissions!subDate Submissions!Data)),DATEVALUE(Submissions!subDate Submissions!Data)))</f>
        <v>41264</v>
      </c>
    </row>
    <row r="32" spans="1:34" x14ac:dyDescent="0.25">
      <c r="A32" s="336">
        <f t="shared" si="0"/>
        <v>22</v>
      </c>
      <c r="B32" s="333" t="str">
        <f>Roster!C29</f>
        <v>Tsagaach, Enkhbold</v>
      </c>
      <c r="C32" s="288"/>
      <c r="D32" s="289" t="str">
        <f>Roster!E29</f>
        <v>enkhbold.tsagaach@gmail.com</v>
      </c>
      <c r="E32" s="30" t="str">
        <f>Roster!F29</f>
        <v>Student</v>
      </c>
      <c r="F32" s="50"/>
      <c r="G32" s="100"/>
      <c r="H32" s="101">
        <f>'Summary-Visits'!T29</f>
        <v>0</v>
      </c>
      <c r="I32" s="101">
        <f>'Summary-Forum'!U47</f>
        <v>0</v>
      </c>
      <c r="J32" s="101">
        <f>'Data-Assigns'!O32</f>
        <v>0</v>
      </c>
      <c r="K32" s="160" t="e">
        <f>'Data-Assigns'!P32</f>
        <v>#DIV/0!</v>
      </c>
      <c r="L32" s="161">
        <f>'Data-Assigns'!N32</f>
        <v>5.7142857142857141E-2</v>
      </c>
      <c r="M32" s="100"/>
      <c r="N32" s="101">
        <f>'Summary-Visits'!U29</f>
        <v>0</v>
      </c>
      <c r="O32" s="101">
        <f>'Summary-Forum'!V47</f>
        <v>0</v>
      </c>
      <c r="P32" s="101">
        <f>'Data-Assigns'!Q32</f>
        <v>0</v>
      </c>
      <c r="Q32" s="160" t="e">
        <f>'Data-Assigns'!R32</f>
        <v>#DIV/0!</v>
      </c>
      <c r="R32" s="161"/>
      <c r="S32" s="100"/>
      <c r="T32" s="101">
        <f>'Summary-Visits'!V29</f>
        <v>0</v>
      </c>
      <c r="U32" s="101">
        <f>'Summary-Forum'!W47</f>
        <v>0</v>
      </c>
      <c r="V32" s="101">
        <f>'Data-Assigns'!S32</f>
        <v>0</v>
      </c>
      <c r="W32" s="160" t="e">
        <f>'Data-Assigns'!T32</f>
        <v>#DIV/0!</v>
      </c>
      <c r="X32" s="161"/>
      <c r="Y32" s="100"/>
      <c r="Z32" s="101">
        <f>'Summary-Visits'!W29</f>
        <v>0</v>
      </c>
      <c r="AA32" s="101">
        <f>'Summary-Forum'!X47</f>
        <v>0</v>
      </c>
      <c r="AB32" s="101">
        <f>'Data-Assigns'!U32</f>
        <v>0</v>
      </c>
      <c r="AC32" s="304" t="e">
        <f>'Data-Assigns'!V32</f>
        <v>#DIV/0!</v>
      </c>
      <c r="AD32" s="198"/>
      <c r="AE32" s="328">
        <f t="shared" si="2"/>
        <v>41264</v>
      </c>
      <c r="AF32" s="325">
        <f t="array" ref="AF32">MAX(((32:32 name)=([0]!name 'Data-Forums'!data))*(([0]!Event 'Data-Forums'!data)="new thread")*'Data-Forums'!date 'Data-Forums'!data)</f>
        <v>0</v>
      </c>
      <c r="AG32" s="319">
        <f t="array" ref="AG32">MAX(IF((32:32 name)=([0]!name 'Data-Forums'!data),IF(([0]!Event 'Data-Forums'!data)="response thread",'Data-Forums'!date 'Data-Forums'!data)))</f>
        <v>0</v>
      </c>
      <c r="AH32" s="320">
        <f t="array" ref="AH32">MAX(IF(((32:32 name)=(Submissions!name Submissions!Data))*NOT(ISBLANK(Submissions!subDate Submissions!Data)),DATEVALUE(Submissions!subDate Submissions!Data)))</f>
        <v>41264</v>
      </c>
    </row>
    <row r="33" spans="1:34" x14ac:dyDescent="0.25">
      <c r="A33" s="336">
        <f t="shared" si="0"/>
        <v>23</v>
      </c>
      <c r="B33" s="333" t="str">
        <f>Roster!C30</f>
        <v>Turabaev, Orifjon</v>
      </c>
      <c r="C33" s="288"/>
      <c r="D33" s="289" t="str">
        <f>Roster!E30</f>
        <v>orifn62@gmail.com</v>
      </c>
      <c r="E33" s="30" t="str">
        <f>Roster!F30</f>
        <v>Student</v>
      </c>
      <c r="F33" s="50"/>
      <c r="G33" s="100"/>
      <c r="H33" s="101">
        <f>'Summary-Visits'!T30</f>
        <v>0</v>
      </c>
      <c r="I33" s="101">
        <f>'Summary-Forum'!U48</f>
        <v>0</v>
      </c>
      <c r="J33" s="101">
        <f>'Data-Assigns'!O33</f>
        <v>0</v>
      </c>
      <c r="K33" s="160" t="e">
        <f>'Data-Assigns'!P33</f>
        <v>#DIV/0!</v>
      </c>
      <c r="L33" s="161">
        <f>'Data-Assigns'!N33</f>
        <v>3.8095238095238099E-2</v>
      </c>
      <c r="M33" s="100"/>
      <c r="N33" s="101">
        <f>'Summary-Visits'!U30</f>
        <v>0</v>
      </c>
      <c r="O33" s="101">
        <f>'Summary-Forum'!V48</f>
        <v>0</v>
      </c>
      <c r="P33" s="101">
        <f>'Data-Assigns'!Q33</f>
        <v>0</v>
      </c>
      <c r="Q33" s="160" t="e">
        <f>'Data-Assigns'!R33</f>
        <v>#DIV/0!</v>
      </c>
      <c r="R33" s="161"/>
      <c r="S33" s="100"/>
      <c r="T33" s="101">
        <f>'Summary-Visits'!V30</f>
        <v>0</v>
      </c>
      <c r="U33" s="101">
        <f>'Summary-Forum'!W48</f>
        <v>0</v>
      </c>
      <c r="V33" s="101">
        <f>'Data-Assigns'!S33</f>
        <v>0</v>
      </c>
      <c r="W33" s="160" t="e">
        <f>'Data-Assigns'!T33</f>
        <v>#DIV/0!</v>
      </c>
      <c r="X33" s="161"/>
      <c r="Y33" s="100"/>
      <c r="Z33" s="101">
        <f>'Summary-Visits'!W30</f>
        <v>0</v>
      </c>
      <c r="AA33" s="101">
        <f>'Summary-Forum'!X48</f>
        <v>0</v>
      </c>
      <c r="AB33" s="101">
        <f>'Data-Assigns'!U33</f>
        <v>0</v>
      </c>
      <c r="AC33" s="304" t="e">
        <f>'Data-Assigns'!V33</f>
        <v>#DIV/0!</v>
      </c>
      <c r="AD33" s="198"/>
      <c r="AE33" s="328">
        <f t="shared" si="2"/>
        <v>41256</v>
      </c>
      <c r="AF33" s="325">
        <f t="array" ref="AF33">MAX(((33:33 name)=([0]!name 'Data-Forums'!data))*(([0]!Event 'Data-Forums'!data)="new thread")*'Data-Forums'!date 'Data-Forums'!data)</f>
        <v>0</v>
      </c>
      <c r="AG33" s="319">
        <f t="array" ref="AG33">MAX(IF((33:33 name)=([0]!name 'Data-Forums'!data),IF(([0]!Event 'Data-Forums'!data)="response thread",'Data-Forums'!date 'Data-Forums'!data)))</f>
        <v>0</v>
      </c>
      <c r="AH33" s="320">
        <f t="array" ref="AH33">MAX(IF(((33:33 name)=(Submissions!name Submissions!Data))*NOT(ISBLANK(Submissions!subDate Submissions!Data)),DATEVALUE(Submissions!subDate Submissions!Data)))</f>
        <v>41256</v>
      </c>
    </row>
    <row r="34" spans="1:34" x14ac:dyDescent="0.25">
      <c r="A34" s="336">
        <f t="shared" si="0"/>
        <v>24</v>
      </c>
      <c r="B34" s="333" t="str">
        <f>Roster!C31</f>
        <v>Wang, Huanjie</v>
      </c>
      <c r="C34" s="288"/>
      <c r="D34" s="289" t="str">
        <f>Roster!E31</f>
        <v>jetwangcn@gmail.com</v>
      </c>
      <c r="E34" s="30" t="str">
        <f>Roster!F31</f>
        <v>Student</v>
      </c>
      <c r="F34" s="50"/>
      <c r="G34" s="100"/>
      <c r="H34" s="101">
        <f>'Summary-Visits'!T31</f>
        <v>0</v>
      </c>
      <c r="I34" s="101">
        <f>'Summary-Forum'!U49</f>
        <v>0</v>
      </c>
      <c r="J34" s="101">
        <f>'Data-Assigns'!O34</f>
        <v>0</v>
      </c>
      <c r="K34" s="160" t="e">
        <f>'Data-Assigns'!P34</f>
        <v>#DIV/0!</v>
      </c>
      <c r="L34" s="161">
        <f>'Data-Assigns'!N34</f>
        <v>9.5238095238095247E-3</v>
      </c>
      <c r="M34" s="100"/>
      <c r="N34" s="101">
        <f>'Summary-Visits'!U31</f>
        <v>0</v>
      </c>
      <c r="O34" s="101">
        <f>'Summary-Forum'!V49</f>
        <v>0</v>
      </c>
      <c r="P34" s="101">
        <f>'Data-Assigns'!Q34</f>
        <v>0</v>
      </c>
      <c r="Q34" s="160" t="e">
        <f>'Data-Assigns'!R34</f>
        <v>#DIV/0!</v>
      </c>
      <c r="R34" s="161"/>
      <c r="S34" s="100"/>
      <c r="T34" s="101">
        <f>'Summary-Visits'!V31</f>
        <v>0</v>
      </c>
      <c r="U34" s="101">
        <f>'Summary-Forum'!W49</f>
        <v>0</v>
      </c>
      <c r="V34" s="101">
        <f>'Data-Assigns'!S34</f>
        <v>0</v>
      </c>
      <c r="W34" s="160" t="e">
        <f>'Data-Assigns'!T34</f>
        <v>#DIV/0!</v>
      </c>
      <c r="X34" s="161"/>
      <c r="Y34" s="100"/>
      <c r="Z34" s="101">
        <f>'Summary-Visits'!W31</f>
        <v>0</v>
      </c>
      <c r="AA34" s="101">
        <f>'Summary-Forum'!X49</f>
        <v>0</v>
      </c>
      <c r="AB34" s="101">
        <f>'Data-Assigns'!U34</f>
        <v>0</v>
      </c>
      <c r="AC34" s="304" t="e">
        <f>'Data-Assigns'!V34</f>
        <v>#DIV/0!</v>
      </c>
      <c r="AD34" s="198"/>
      <c r="AE34" s="328">
        <f t="shared" si="2"/>
        <v>41246</v>
      </c>
      <c r="AF34" s="325">
        <f t="array" ref="AF34">MAX(((34:34 name)=([0]!name 'Data-Forums'!data))*(([0]!Event 'Data-Forums'!data)="new thread")*'Data-Forums'!date 'Data-Forums'!data)</f>
        <v>0</v>
      </c>
      <c r="AG34" s="319">
        <f t="array" ref="AG34">MAX(IF((34:34 name)=([0]!name 'Data-Forums'!data),IF(([0]!Event 'Data-Forums'!data)="response thread",'Data-Forums'!date 'Data-Forums'!data)))</f>
        <v>0</v>
      </c>
      <c r="AH34" s="320">
        <f t="array" ref="AH34">MAX(IF(((34:34 name)=(Submissions!name Submissions!Data))*NOT(ISBLANK(Submissions!subDate Submissions!Data)),DATEVALUE(Submissions!subDate Submissions!Data)))</f>
        <v>41246</v>
      </c>
    </row>
    <row r="35" spans="1:34" x14ac:dyDescent="0.25">
      <c r="A35" s="336">
        <f t="shared" si="0"/>
        <v>25</v>
      </c>
      <c r="B35" s="333" t="str">
        <f>Roster!C32</f>
        <v>Wang, Zhenguo</v>
      </c>
      <c r="C35" s="288"/>
      <c r="D35" s="289" t="str">
        <f>Roster!E32</f>
        <v>wangzhenguo87@hotmail.com</v>
      </c>
      <c r="E35" s="30" t="str">
        <f>Roster!F32</f>
        <v>Student</v>
      </c>
      <c r="F35" s="50"/>
      <c r="G35" s="100"/>
      <c r="H35" s="101">
        <f>'Summary-Visits'!T32</f>
        <v>0</v>
      </c>
      <c r="I35" s="101">
        <f>'Summary-Forum'!U50</f>
        <v>0</v>
      </c>
      <c r="J35" s="101">
        <f>'Data-Assigns'!O35</f>
        <v>0</v>
      </c>
      <c r="K35" s="160" t="e">
        <f>'Data-Assigns'!P35</f>
        <v>#DIV/0!</v>
      </c>
      <c r="L35" s="161">
        <f>'Data-Assigns'!N35</f>
        <v>9.5238095238095247E-3</v>
      </c>
      <c r="M35" s="100"/>
      <c r="N35" s="101">
        <f>'Summary-Visits'!U32</f>
        <v>0</v>
      </c>
      <c r="O35" s="101">
        <f>'Summary-Forum'!V50</f>
        <v>0</v>
      </c>
      <c r="P35" s="101">
        <f>'Data-Assigns'!Q35</f>
        <v>0</v>
      </c>
      <c r="Q35" s="160" t="e">
        <f>'Data-Assigns'!R35</f>
        <v>#DIV/0!</v>
      </c>
      <c r="R35" s="161"/>
      <c r="S35" s="100"/>
      <c r="T35" s="101">
        <f>'Summary-Visits'!V32</f>
        <v>0</v>
      </c>
      <c r="U35" s="101">
        <f>'Summary-Forum'!W50</f>
        <v>0</v>
      </c>
      <c r="V35" s="101">
        <f>'Data-Assigns'!S35</f>
        <v>0</v>
      </c>
      <c r="W35" s="160" t="e">
        <f>'Data-Assigns'!T35</f>
        <v>#DIV/0!</v>
      </c>
      <c r="X35" s="161"/>
      <c r="Y35" s="100"/>
      <c r="Z35" s="101">
        <f>'Summary-Visits'!W32</f>
        <v>0</v>
      </c>
      <c r="AA35" s="101">
        <f>'Summary-Forum'!X50</f>
        <v>0</v>
      </c>
      <c r="AB35" s="101">
        <f>'Data-Assigns'!U35</f>
        <v>0</v>
      </c>
      <c r="AC35" s="304" t="e">
        <f>'Data-Assigns'!V35</f>
        <v>#DIV/0!</v>
      </c>
      <c r="AD35" s="198"/>
      <c r="AE35" s="328">
        <f t="shared" si="2"/>
        <v>41261</v>
      </c>
      <c r="AF35" s="325">
        <f t="array" ref="AF35">MAX(((35:35 name)=([0]!name 'Data-Forums'!data))*(([0]!Event 'Data-Forums'!data)="new thread")*'Data-Forums'!date 'Data-Forums'!data)</f>
        <v>0</v>
      </c>
      <c r="AG35" s="319">
        <f t="array" ref="AG35">MAX(IF((35:35 name)=([0]!name 'Data-Forums'!data),IF(([0]!Event 'Data-Forums'!data)="response thread",'Data-Forums'!date 'Data-Forums'!data)))</f>
        <v>0</v>
      </c>
      <c r="AH35" s="320">
        <f t="array" ref="AH35">MAX(IF(((35:35 name)=(Submissions!name Submissions!Data))*NOT(ISBLANK(Submissions!subDate Submissions!Data)),DATEVALUE(Submissions!subDate Submissions!Data)))</f>
        <v>41261</v>
      </c>
    </row>
    <row r="36" spans="1:34" x14ac:dyDescent="0.25">
      <c r="A36" s="336">
        <f t="shared" si="0"/>
        <v>26</v>
      </c>
      <c r="B36" s="333" t="str">
        <f>Roster!C33</f>
        <v>Yousuf, Sundus</v>
      </c>
      <c r="C36" s="288"/>
      <c r="D36" s="289" t="str">
        <f>Roster!E33</f>
        <v>sundus.ahmed.yousuf@gmail.com</v>
      </c>
      <c r="E36" s="30" t="str">
        <f>Roster!F33</f>
        <v>Student</v>
      </c>
      <c r="F36" s="50"/>
      <c r="G36" s="100"/>
      <c r="H36" s="101">
        <f>'Summary-Visits'!T33</f>
        <v>0</v>
      </c>
      <c r="I36" s="101">
        <f>'Summary-Forum'!U51</f>
        <v>0</v>
      </c>
      <c r="J36" s="101">
        <f>'Data-Assigns'!O36</f>
        <v>0</v>
      </c>
      <c r="K36" s="160" t="e">
        <f>'Data-Assigns'!P36</f>
        <v>#DIV/0!</v>
      </c>
      <c r="L36" s="161">
        <f>'Data-Assigns'!N36</f>
        <v>5.7142857142857141E-2</v>
      </c>
      <c r="M36" s="100"/>
      <c r="N36" s="101">
        <f>'Summary-Visits'!U33</f>
        <v>0</v>
      </c>
      <c r="O36" s="101">
        <f>'Summary-Forum'!V51</f>
        <v>0</v>
      </c>
      <c r="P36" s="101">
        <f>'Data-Assigns'!Q36</f>
        <v>0</v>
      </c>
      <c r="Q36" s="160" t="e">
        <f>'Data-Assigns'!R36</f>
        <v>#DIV/0!</v>
      </c>
      <c r="R36" s="161"/>
      <c r="S36" s="100"/>
      <c r="T36" s="101">
        <f>'Summary-Visits'!V33</f>
        <v>0</v>
      </c>
      <c r="U36" s="101">
        <f>'Summary-Forum'!W51</f>
        <v>0</v>
      </c>
      <c r="V36" s="101">
        <f>'Data-Assigns'!S36</f>
        <v>0</v>
      </c>
      <c r="W36" s="160" t="e">
        <f>'Data-Assigns'!T36</f>
        <v>#DIV/0!</v>
      </c>
      <c r="X36" s="161"/>
      <c r="Y36" s="100"/>
      <c r="Z36" s="101">
        <f>'Summary-Visits'!W33</f>
        <v>0</v>
      </c>
      <c r="AA36" s="101">
        <f>'Summary-Forum'!X51</f>
        <v>0</v>
      </c>
      <c r="AB36" s="101">
        <f>'Data-Assigns'!U36</f>
        <v>0</v>
      </c>
      <c r="AC36" s="304" t="e">
        <f>'Data-Assigns'!V36</f>
        <v>#DIV/0!</v>
      </c>
      <c r="AD36" s="198"/>
      <c r="AE36" s="328">
        <f t="shared" si="2"/>
        <v>41264</v>
      </c>
      <c r="AF36" s="325">
        <f t="array" ref="AF36">MAX(((36:36 name)=([0]!name 'Data-Forums'!data))*(([0]!Event 'Data-Forums'!data)="new thread")*'Data-Forums'!date 'Data-Forums'!data)</f>
        <v>0</v>
      </c>
      <c r="AG36" s="319">
        <f t="array" ref="AG36">MAX(IF((36:36 name)=([0]!name 'Data-Forums'!data),IF(([0]!Event 'Data-Forums'!data)="response thread",'Data-Forums'!date 'Data-Forums'!data)))</f>
        <v>0</v>
      </c>
      <c r="AH36" s="320">
        <f t="array" ref="AH36">MAX(IF(((36:36 name)=(Submissions!name Submissions!Data))*NOT(ISBLANK(Submissions!subDate Submissions!Data)),DATEVALUE(Submissions!subDate Submissions!Data)))</f>
        <v>41264</v>
      </c>
    </row>
    <row r="37" spans="1:34" x14ac:dyDescent="0.25">
      <c r="A37" s="336">
        <f t="shared" si="0"/>
        <v>27</v>
      </c>
      <c r="B37" s="333" t="str">
        <f>Roster!C34</f>
        <v>Zakaria, Danial</v>
      </c>
      <c r="C37" s="288"/>
      <c r="D37" s="289" t="str">
        <f>Roster!E34</f>
        <v>danial.zakaria7@gmail.com</v>
      </c>
      <c r="E37" s="30" t="str">
        <f>Roster!F34</f>
        <v>Student</v>
      </c>
      <c r="F37" s="50"/>
      <c r="G37" s="100"/>
      <c r="H37" s="101">
        <f>'Summary-Visits'!T34</f>
        <v>0</v>
      </c>
      <c r="I37" s="101">
        <f>'Summary-Forum'!U52</f>
        <v>0</v>
      </c>
      <c r="J37" s="101">
        <f>'Data-Assigns'!O37</f>
        <v>0</v>
      </c>
      <c r="K37" s="160" t="e">
        <f>'Data-Assigns'!P37</f>
        <v>#DIV/0!</v>
      </c>
      <c r="L37" s="161">
        <f>'Data-Assigns'!N37</f>
        <v>4.7619047619047616E-2</v>
      </c>
      <c r="M37" s="100"/>
      <c r="N37" s="101">
        <f>'Summary-Visits'!U34</f>
        <v>0</v>
      </c>
      <c r="O37" s="101">
        <f>'Summary-Forum'!V52</f>
        <v>0</v>
      </c>
      <c r="P37" s="101">
        <f>'Data-Assigns'!Q37</f>
        <v>0</v>
      </c>
      <c r="Q37" s="160" t="e">
        <f>'Data-Assigns'!R37</f>
        <v>#DIV/0!</v>
      </c>
      <c r="R37" s="161"/>
      <c r="S37" s="100"/>
      <c r="T37" s="101">
        <f>'Summary-Visits'!V34</f>
        <v>0</v>
      </c>
      <c r="U37" s="101">
        <f>'Summary-Forum'!W52</f>
        <v>0</v>
      </c>
      <c r="V37" s="101">
        <f>'Data-Assigns'!S37</f>
        <v>0</v>
      </c>
      <c r="W37" s="160" t="e">
        <f>'Data-Assigns'!T37</f>
        <v>#DIV/0!</v>
      </c>
      <c r="X37" s="161"/>
      <c r="Y37" s="100"/>
      <c r="Z37" s="101">
        <f>'Summary-Visits'!W34</f>
        <v>0</v>
      </c>
      <c r="AA37" s="101">
        <f>'Summary-Forum'!X52</f>
        <v>0</v>
      </c>
      <c r="AB37" s="101">
        <f>'Data-Assigns'!U37</f>
        <v>0</v>
      </c>
      <c r="AC37" s="304" t="e">
        <f>'Data-Assigns'!V37</f>
        <v>#DIV/0!</v>
      </c>
      <c r="AD37" s="198"/>
      <c r="AE37" s="328">
        <f t="shared" si="2"/>
        <v>41499</v>
      </c>
      <c r="AF37" s="325">
        <f t="array" ref="AF37">MAX(((37:37 name)=([0]!name 'Data-Forums'!data))*(([0]!Event 'Data-Forums'!data)="new thread")*'Data-Forums'!date 'Data-Forums'!data)</f>
        <v>41499</v>
      </c>
      <c r="AG37" s="319">
        <f t="array" ref="AG37">MAX(IF((37:37 name)=([0]!name 'Data-Forums'!data),IF(([0]!Event 'Data-Forums'!data)="response thread",'Data-Forums'!date 'Data-Forums'!data)))</f>
        <v>41499</v>
      </c>
      <c r="AH37" s="320">
        <f t="array" ref="AH37">MAX(IF(((37:37 name)=(Submissions!name Submissions!Data))*NOT(ISBLANK(Submissions!subDate Submissions!Data)),DATEVALUE(Submissions!subDate Submissions!Data)))</f>
        <v>41264</v>
      </c>
    </row>
    <row r="38" spans="1:34" ht="6.75" customHeight="1" x14ac:dyDescent="0.25">
      <c r="B38" s="334"/>
      <c r="C38" s="4"/>
      <c r="D38" s="4"/>
      <c r="E38" s="4"/>
      <c r="F38" s="4"/>
      <c r="G38" s="111"/>
      <c r="H38" s="112"/>
      <c r="I38" s="112"/>
      <c r="J38" s="112"/>
      <c r="K38" s="112"/>
      <c r="L38" s="148"/>
      <c r="M38" s="111"/>
      <c r="N38" s="112"/>
      <c r="O38" s="112"/>
      <c r="P38" s="112"/>
      <c r="Q38" s="112"/>
      <c r="R38" s="148"/>
      <c r="S38" s="111"/>
      <c r="T38" s="112"/>
      <c r="U38" s="112"/>
      <c r="V38" s="112"/>
      <c r="W38" s="112"/>
      <c r="X38" s="148"/>
      <c r="Y38" s="111"/>
      <c r="Z38" s="112"/>
      <c r="AA38" s="112"/>
      <c r="AB38" s="112"/>
      <c r="AC38" s="305"/>
      <c r="AD38" s="199"/>
      <c r="AE38" s="312"/>
      <c r="AF38" s="312"/>
      <c r="AG38" s="312"/>
      <c r="AH38" s="312"/>
    </row>
    <row r="39" spans="1:34" x14ac:dyDescent="0.25">
      <c r="B39" s="97">
        <f>COUNTA(B:B statusData)</f>
        <v>27</v>
      </c>
      <c r="D39" s="163"/>
      <c r="F39" s="163" t="s">
        <v>133</v>
      </c>
      <c r="G39" s="170">
        <f>StatCount-G40</f>
        <v>27</v>
      </c>
      <c r="H39" s="171">
        <f>COUNTIF(H:H statusData,"&gt;0")</f>
        <v>0</v>
      </c>
      <c r="I39" s="171">
        <f>COUNTIF(I:I statusData,"&gt;0")</f>
        <v>0</v>
      </c>
      <c r="J39" s="171">
        <f>COUNTIF(J:J statusData,"&gt;0")</f>
        <v>0</v>
      </c>
      <c r="K39" s="171">
        <f>COUNTIF(K:K statusData,"&gt;0")</f>
        <v>0</v>
      </c>
      <c r="L39" s="172">
        <f>COUNTIF(L:L statusData,"&gt;0")</f>
        <v>26</v>
      </c>
      <c r="M39" s="170">
        <f>StatCount-M40</f>
        <v>27</v>
      </c>
      <c r="N39" s="171">
        <f>COUNTIF(N:N statusData,"&gt;0")</f>
        <v>0</v>
      </c>
      <c r="O39" s="171">
        <f>COUNTIF(O:O statusData,"&gt;0")</f>
        <v>0</v>
      </c>
      <c r="P39" s="171">
        <f>COUNTIF(P:P statusData,"&gt;0")</f>
        <v>0</v>
      </c>
      <c r="Q39" s="171">
        <f>COUNTIF(Q:Q statusData,"&gt;0")</f>
        <v>0</v>
      </c>
      <c r="R39" s="172">
        <f>COUNTIF(R:R statusData,"&gt;0")</f>
        <v>0</v>
      </c>
      <c r="S39" s="170">
        <f>StatCount-S40</f>
        <v>27</v>
      </c>
      <c r="T39" s="171">
        <f>COUNTIF(T:T statusData,"&gt;0")</f>
        <v>0</v>
      </c>
      <c r="U39" s="171">
        <f>COUNTIF(U:U statusData,"&gt;0")</f>
        <v>0</v>
      </c>
      <c r="V39" s="171">
        <f>COUNTIF(V:V statusData,"&gt;0")</f>
        <v>0</v>
      </c>
      <c r="W39" s="171">
        <f>COUNTIF(W:W statusData,"&gt;0")</f>
        <v>0</v>
      </c>
      <c r="X39" s="172">
        <f>COUNTIF(X:X statusData,"&gt;0")</f>
        <v>0</v>
      </c>
      <c r="Y39" s="170">
        <f>StatCount-Y40</f>
        <v>27</v>
      </c>
      <c r="Z39" s="171">
        <f>COUNTIF(Z:Z statusData,"&gt;0")</f>
        <v>0</v>
      </c>
      <c r="AA39" s="171">
        <f>COUNTIF(AA:AA statusData,"&gt;0")</f>
        <v>0</v>
      </c>
      <c r="AB39" s="171">
        <f>COUNTIF(AB:AB statusData,"&gt;0")</f>
        <v>0</v>
      </c>
      <c r="AC39" s="306">
        <f>COUNTIF(AC:AC statusData,"&gt;0")</f>
        <v>0</v>
      </c>
      <c r="AD39" s="200">
        <f>COUNTIF(AD:AD statusData,"&gt;0")</f>
        <v>0</v>
      </c>
      <c r="AE39" s="313"/>
    </row>
    <row r="40" spans="1:34" x14ac:dyDescent="0.25">
      <c r="B40" s="110" t="str">
        <f>IF(StatCount=rCount,"","Names Missing?!")</f>
        <v/>
      </c>
      <c r="D40" s="163"/>
      <c r="F40" s="163" t="s">
        <v>134</v>
      </c>
      <c r="G40" s="173">
        <f>COUNTIF(G:G statusData,"=No")</f>
        <v>0</v>
      </c>
      <c r="H40" s="174">
        <f>StatCount-H39</f>
        <v>27</v>
      </c>
      <c r="I40" s="174">
        <f>StatCount-I39</f>
        <v>27</v>
      </c>
      <c r="J40" s="174">
        <f>StatCount-J39</f>
        <v>27</v>
      </c>
      <c r="K40" s="174">
        <f>StatCount-K39</f>
        <v>27</v>
      </c>
      <c r="L40" s="175">
        <f>StatCount-L39</f>
        <v>1</v>
      </c>
      <c r="M40" s="173">
        <f>COUNTIF(M:M statusData,"=No")</f>
        <v>0</v>
      </c>
      <c r="N40" s="174">
        <f>StatCount-N39</f>
        <v>27</v>
      </c>
      <c r="O40" s="174">
        <f>StatCount-O39</f>
        <v>27</v>
      </c>
      <c r="P40" s="174">
        <f>StatCount-P39</f>
        <v>27</v>
      </c>
      <c r="Q40" s="174">
        <f>StatCount-Q39</f>
        <v>27</v>
      </c>
      <c r="R40" s="175">
        <f>StatCount-R39</f>
        <v>27</v>
      </c>
      <c r="S40" s="173">
        <f>COUNTIF(S:S statusData,"=No")</f>
        <v>0</v>
      </c>
      <c r="T40" s="174">
        <f>StatCount-T39</f>
        <v>27</v>
      </c>
      <c r="U40" s="174">
        <f>StatCount-U39</f>
        <v>27</v>
      </c>
      <c r="V40" s="174">
        <f>StatCount-V39</f>
        <v>27</v>
      </c>
      <c r="W40" s="174">
        <f>StatCount-W39</f>
        <v>27</v>
      </c>
      <c r="X40" s="175">
        <f>StatCount-X39</f>
        <v>27</v>
      </c>
      <c r="Y40" s="173">
        <f>COUNTIF(Y:Y statusData,"=No")</f>
        <v>0</v>
      </c>
      <c r="Z40" s="174">
        <f>StatCount-Z39</f>
        <v>27</v>
      </c>
      <c r="AA40" s="174">
        <f>StatCount-AA39</f>
        <v>27</v>
      </c>
      <c r="AB40" s="174">
        <f>StatCount-AB39</f>
        <v>27</v>
      </c>
      <c r="AC40" s="307">
        <f>StatCount-AC39</f>
        <v>27</v>
      </c>
      <c r="AD40" s="201">
        <f>StatCount-AD39</f>
        <v>27</v>
      </c>
      <c r="AE40" s="331" t="s">
        <v>241</v>
      </c>
    </row>
    <row r="41" spans="1:34" x14ac:dyDescent="0.25">
      <c r="I41" s="39" t="s">
        <v>87</v>
      </c>
      <c r="J41" s="214">
        <f>cTotal</f>
        <v>0</v>
      </c>
      <c r="O41" s="39" t="s">
        <v>87</v>
      </c>
      <c r="P41" s="214">
        <f>'Data-Assigns'!Q10</f>
        <v>0</v>
      </c>
      <c r="U41" s="39" t="s">
        <v>87</v>
      </c>
      <c r="V41" s="214">
        <f>'Data-Assigns'!S10</f>
        <v>0</v>
      </c>
      <c r="Y41" s="133"/>
      <c r="Z41" s="133"/>
      <c r="AA41" s="308" t="s">
        <v>87</v>
      </c>
      <c r="AB41" s="214">
        <f>'Data-Assigns'!U10</f>
        <v>0</v>
      </c>
      <c r="AC41" s="309"/>
    </row>
    <row r="42" spans="1:34" x14ac:dyDescent="0.25">
      <c r="E42" s="123"/>
      <c r="F42" s="164" t="s">
        <v>135</v>
      </c>
      <c r="G42" s="165"/>
      <c r="H42" s="166"/>
      <c r="I42" s="167">
        <v>3</v>
      </c>
      <c r="J42" s="166"/>
      <c r="K42" s="168">
        <v>0.7</v>
      </c>
      <c r="L42" s="169">
        <v>0.7</v>
      </c>
      <c r="M42" s="165"/>
      <c r="N42" s="166"/>
      <c r="O42" s="167">
        <v>8</v>
      </c>
      <c r="P42" s="166"/>
      <c r="Q42" s="168">
        <v>0.7</v>
      </c>
      <c r="R42" s="169">
        <v>0.7</v>
      </c>
      <c r="S42" s="165"/>
      <c r="T42" s="166"/>
      <c r="U42" s="167">
        <v>12</v>
      </c>
      <c r="V42" s="166"/>
      <c r="W42" s="168">
        <v>0.7</v>
      </c>
      <c r="X42" s="169">
        <v>0.7</v>
      </c>
      <c r="Y42" s="165"/>
      <c r="Z42" s="166"/>
      <c r="AA42" s="167">
        <v>14</v>
      </c>
      <c r="AB42" s="166"/>
      <c r="AC42" s="310">
        <v>0.7</v>
      </c>
      <c r="AD42" s="202">
        <v>0.7</v>
      </c>
      <c r="AE42" s="314"/>
    </row>
    <row r="43" spans="1:34" ht="8.25" customHeight="1" x14ac:dyDescent="0.25">
      <c r="D43" s="163"/>
      <c r="L43" s="162"/>
    </row>
  </sheetData>
  <mergeCells count="5">
    <mergeCell ref="G8:K8"/>
    <mergeCell ref="M8:Q8"/>
    <mergeCell ref="S8:W8"/>
    <mergeCell ref="Y8:AC8"/>
    <mergeCell ref="AE8:AH8"/>
  </mergeCells>
  <conditionalFormatting sqref="K11:K19">
    <cfRule type="cellIs" dxfId="69" priority="102" operator="lessThan">
      <formula>$K$42</formula>
    </cfRule>
  </conditionalFormatting>
  <conditionalFormatting sqref="L11:L19">
    <cfRule type="cellIs" dxfId="68" priority="101" operator="lessThan">
      <formula>$L$42</formula>
    </cfRule>
  </conditionalFormatting>
  <conditionalFormatting sqref="I11:I19">
    <cfRule type="cellIs" dxfId="67" priority="100" operator="lessThan">
      <formula>$I$42</formula>
    </cfRule>
  </conditionalFormatting>
  <conditionalFormatting sqref="R11:R19">
    <cfRule type="cellIs" dxfId="66" priority="98" operator="lessThan">
      <formula>$L$42</formula>
    </cfRule>
  </conditionalFormatting>
  <conditionalFormatting sqref="X11:X19">
    <cfRule type="cellIs" dxfId="65" priority="95" operator="lessThan">
      <formula>$L$42</formula>
    </cfRule>
  </conditionalFormatting>
  <conditionalFormatting sqref="AD11:AD19">
    <cfRule type="cellIs" dxfId="64" priority="92" operator="lessThan">
      <formula>$L$42</formula>
    </cfRule>
  </conditionalFormatting>
  <conditionalFormatting sqref="K20:K27">
    <cfRule type="cellIs" dxfId="63" priority="66" operator="lessThan">
      <formula>$K$42</formula>
    </cfRule>
  </conditionalFormatting>
  <conditionalFormatting sqref="L20:L27">
    <cfRule type="cellIs" dxfId="62" priority="65" operator="lessThan">
      <formula>$L$42</formula>
    </cfRule>
  </conditionalFormatting>
  <conditionalFormatting sqref="I20:I27">
    <cfRule type="cellIs" dxfId="61" priority="64" operator="lessThan">
      <formula>$I$42</formula>
    </cfRule>
  </conditionalFormatting>
  <conditionalFormatting sqref="R20:R27">
    <cfRule type="cellIs" dxfId="60" priority="62" operator="lessThan">
      <formula>$L$42</formula>
    </cfRule>
  </conditionalFormatting>
  <conditionalFormatting sqref="X20:X27">
    <cfRule type="cellIs" dxfId="59" priority="59" operator="lessThan">
      <formula>$L$42</formula>
    </cfRule>
  </conditionalFormatting>
  <conditionalFormatting sqref="AD20:AD27">
    <cfRule type="cellIs" dxfId="58" priority="56" operator="lessThan">
      <formula>$L$42</formula>
    </cfRule>
  </conditionalFormatting>
  <conditionalFormatting sqref="W11:W19">
    <cfRule type="cellIs" dxfId="57" priority="24" operator="lessThan">
      <formula>$K$42</formula>
    </cfRule>
  </conditionalFormatting>
  <conditionalFormatting sqref="Q11:Q19">
    <cfRule type="cellIs" dxfId="56" priority="30" operator="lessThan">
      <formula>$K$42</formula>
    </cfRule>
  </conditionalFormatting>
  <conditionalFormatting sqref="O11:O19">
    <cfRule type="cellIs" dxfId="55" priority="29" operator="lessThan">
      <formula>$I$42</formula>
    </cfRule>
  </conditionalFormatting>
  <conditionalFormatting sqref="Q20:Q27">
    <cfRule type="cellIs" dxfId="54" priority="28" operator="lessThan">
      <formula>$K$42</formula>
    </cfRule>
  </conditionalFormatting>
  <conditionalFormatting sqref="O20:O27">
    <cfRule type="cellIs" dxfId="53" priority="27" operator="lessThan">
      <formula>$I$42</formula>
    </cfRule>
  </conditionalFormatting>
  <conditionalFormatting sqref="U11:U19">
    <cfRule type="cellIs" dxfId="52" priority="23" operator="lessThan">
      <formula>$I$42</formula>
    </cfRule>
  </conditionalFormatting>
  <conditionalFormatting sqref="W20:W27">
    <cfRule type="cellIs" dxfId="51" priority="22" operator="lessThan">
      <formula>$K$42</formula>
    </cfRule>
  </conditionalFormatting>
  <conditionalFormatting sqref="U20:U27">
    <cfRule type="cellIs" dxfId="50" priority="21" operator="lessThan">
      <formula>$I$42</formula>
    </cfRule>
  </conditionalFormatting>
  <conditionalFormatting sqref="AC11:AC19">
    <cfRule type="cellIs" dxfId="49" priority="18" operator="lessThan">
      <formula>$K$42</formula>
    </cfRule>
  </conditionalFormatting>
  <conditionalFormatting sqref="AA11:AA19">
    <cfRule type="cellIs" dxfId="48" priority="17" operator="lessThan">
      <formula>$I$42</formula>
    </cfRule>
  </conditionalFormatting>
  <conditionalFormatting sqref="AC20:AC27">
    <cfRule type="cellIs" dxfId="47" priority="16" operator="lessThan">
      <formula>$K$42</formula>
    </cfRule>
  </conditionalFormatting>
  <conditionalFormatting sqref="AA20:AA27">
    <cfRule type="cellIs" dxfId="46" priority="15" operator="lessThan">
      <formula>$I$42</formula>
    </cfRule>
  </conditionalFormatting>
  <conditionalFormatting sqref="K28:K37">
    <cfRule type="cellIs" dxfId="45" priority="12" operator="lessThan">
      <formula>$K$42</formula>
    </cfRule>
  </conditionalFormatting>
  <conditionalFormatting sqref="L28:L37">
    <cfRule type="cellIs" dxfId="44" priority="11" operator="lessThan">
      <formula>$L$42</formula>
    </cfRule>
  </conditionalFormatting>
  <conditionalFormatting sqref="I28:I37">
    <cfRule type="cellIs" dxfId="43" priority="10" operator="lessThan">
      <formula>$I$42</formula>
    </cfRule>
  </conditionalFormatting>
  <conditionalFormatting sqref="R28:R37">
    <cfRule type="cellIs" dxfId="42" priority="9" operator="lessThan">
      <formula>$L$42</formula>
    </cfRule>
  </conditionalFormatting>
  <conditionalFormatting sqref="X28:X37">
    <cfRule type="cellIs" dxfId="41" priority="8" operator="lessThan">
      <formula>$L$42</formula>
    </cfRule>
  </conditionalFormatting>
  <conditionalFormatting sqref="AD28:AD37">
    <cfRule type="cellIs" dxfId="40" priority="7" operator="lessThan">
      <formula>$L$42</formula>
    </cfRule>
  </conditionalFormatting>
  <conditionalFormatting sqref="Q28:Q37">
    <cfRule type="cellIs" dxfId="39" priority="6" operator="lessThan">
      <formula>$K$42</formula>
    </cfRule>
  </conditionalFormatting>
  <conditionalFormatting sqref="O28:O37">
    <cfRule type="cellIs" dxfId="38" priority="5" operator="lessThan">
      <formula>$I$42</formula>
    </cfRule>
  </conditionalFormatting>
  <conditionalFormatting sqref="W28:W37">
    <cfRule type="cellIs" dxfId="37" priority="4" operator="lessThan">
      <formula>$K$42</formula>
    </cfRule>
  </conditionalFormatting>
  <conditionalFormatting sqref="U28:U37">
    <cfRule type="cellIs" dxfId="36" priority="3" operator="lessThan">
      <formula>$I$42</formula>
    </cfRule>
  </conditionalFormatting>
  <conditionalFormatting sqref="AC28:AC37">
    <cfRule type="cellIs" dxfId="35" priority="2" operator="lessThan">
      <formula>$K$42</formula>
    </cfRule>
  </conditionalFormatting>
  <conditionalFormatting sqref="AA28:AA37">
    <cfRule type="cellIs" dxfId="34" priority="1" operator="lessThan">
      <formula>$I$42</formula>
    </cfRule>
  </conditionalFormatting>
  <pageMargins left="0.7" right="0.7" top="0.75" bottom="0.75" header="0.3" footer="0.3"/>
  <pageSetup scale="64" fitToWidth="2"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X60"/>
  <sheetViews>
    <sheetView zoomScale="80" zoomScaleNormal="80" workbookViewId="0">
      <pane ySplit="2" topLeftCell="A3" activePane="bottomLeft" state="frozen"/>
      <selection activeCell="E9" sqref="E9"/>
      <selection pane="bottomLeft" activeCell="F1" sqref="F1"/>
    </sheetView>
  </sheetViews>
  <sheetFormatPr defaultRowHeight="15" x14ac:dyDescent="0.25"/>
  <cols>
    <col min="1" max="1" width="7.42578125" customWidth="1"/>
    <col min="2" max="2" width="13.5703125" customWidth="1"/>
    <col min="3" max="3" width="7.42578125" style="1" customWidth="1"/>
    <col min="4" max="4" width="7.140625" customWidth="1"/>
    <col min="5" max="5" width="9" customWidth="1"/>
    <col min="6" max="6" width="6.7109375" customWidth="1"/>
    <col min="7" max="7" width="7" style="1" customWidth="1"/>
    <col min="8" max="8" width="6.85546875" customWidth="1"/>
    <col min="9" max="9" width="8.5703125" customWidth="1"/>
    <col min="10" max="10" width="8" customWidth="1"/>
    <col min="11" max="11" width="6.85546875" customWidth="1"/>
    <col min="12" max="12" width="6.42578125" customWidth="1"/>
    <col min="13" max="18" width="5.5703125" customWidth="1"/>
    <col min="19" max="19" width="6.85546875" customWidth="1"/>
    <col min="20" max="20" width="7.42578125" customWidth="1"/>
  </cols>
  <sheetData>
    <row r="1" spans="1:24" ht="21" x14ac:dyDescent="0.35">
      <c r="A1" s="136"/>
      <c r="B1" s="137" t="s">
        <v>21</v>
      </c>
      <c r="D1" s="10"/>
      <c r="E1" s="10"/>
      <c r="F1" s="9" t="str">
        <f>CourseName</f>
        <v>Cs525 ASD - Fall 2012</v>
      </c>
      <c r="G1" s="12"/>
      <c r="H1" s="10"/>
      <c r="I1" s="10"/>
      <c r="J1" s="10"/>
      <c r="K1" s="10"/>
      <c r="L1" s="10"/>
      <c r="M1" s="10"/>
      <c r="N1" s="10"/>
      <c r="O1" s="10"/>
      <c r="P1" s="10"/>
      <c r="Q1" s="10"/>
      <c r="R1" s="10"/>
      <c r="S1" s="10"/>
      <c r="T1" s="10"/>
    </row>
    <row r="2" spans="1:24" x14ac:dyDescent="0.25">
      <c r="B2" s="176">
        <f>start</f>
        <v>40817</v>
      </c>
      <c r="C2" s="12"/>
      <c r="D2" s="10"/>
      <c r="E2" s="10"/>
      <c r="F2" s="10"/>
      <c r="G2" s="12"/>
      <c r="H2" s="10"/>
      <c r="I2" s="10"/>
      <c r="J2" s="10"/>
      <c r="K2" s="10"/>
      <c r="L2" s="10"/>
      <c r="M2" s="10"/>
      <c r="N2" s="10"/>
      <c r="O2" s="10"/>
      <c r="P2" s="10"/>
      <c r="Q2" s="10"/>
      <c r="R2" s="10"/>
      <c r="S2" s="10"/>
      <c r="T2" s="10"/>
    </row>
    <row r="3" spans="1:24" ht="23.25" customHeight="1" x14ac:dyDescent="0.3">
      <c r="A3" s="10"/>
      <c r="B3" s="10"/>
      <c r="C3" s="381" t="s">
        <v>15</v>
      </c>
      <c r="D3" s="382"/>
      <c r="E3" s="383"/>
      <c r="F3" s="10"/>
      <c r="G3" s="381" t="s">
        <v>16</v>
      </c>
      <c r="H3" s="382"/>
      <c r="I3" s="382"/>
      <c r="J3" s="382"/>
      <c r="K3" s="382"/>
      <c r="L3" s="382"/>
      <c r="M3" s="153"/>
      <c r="N3" s="10"/>
      <c r="O3" s="10"/>
      <c r="P3" s="10"/>
      <c r="Q3" s="10"/>
      <c r="R3" s="10"/>
      <c r="S3" s="10"/>
      <c r="T3" s="157" t="s">
        <v>129</v>
      </c>
      <c r="U3" s="10"/>
      <c r="V3" s="10"/>
      <c r="W3" s="10"/>
      <c r="X3" s="10"/>
    </row>
    <row r="4" spans="1:24" ht="27.75" customHeight="1" thickBot="1" x14ac:dyDescent="0.3">
      <c r="A4" s="10"/>
      <c r="B4" s="14" t="s">
        <v>9</v>
      </c>
      <c r="C4" s="121" t="s">
        <v>199</v>
      </c>
      <c r="D4" s="122" t="s">
        <v>200</v>
      </c>
      <c r="E4" s="120" t="s">
        <v>201</v>
      </c>
      <c r="F4" s="2" t="s">
        <v>4</v>
      </c>
      <c r="G4" s="154" t="s">
        <v>107</v>
      </c>
      <c r="H4" s="155" t="s">
        <v>229</v>
      </c>
      <c r="I4" s="155" t="s">
        <v>228</v>
      </c>
      <c r="J4" s="155" t="s">
        <v>230</v>
      </c>
      <c r="K4" s="155" t="s">
        <v>106</v>
      </c>
      <c r="L4" s="156" t="s">
        <v>126</v>
      </c>
      <c r="M4" s="152" t="s">
        <v>4</v>
      </c>
      <c r="N4" s="10"/>
      <c r="O4" s="15"/>
      <c r="Q4" s="10"/>
      <c r="R4" s="10"/>
      <c r="S4" s="10"/>
      <c r="T4" s="158" t="s">
        <v>127</v>
      </c>
      <c r="U4" s="376" t="s">
        <v>142</v>
      </c>
      <c r="V4" s="377"/>
      <c r="W4" s="377"/>
      <c r="X4" s="378"/>
    </row>
    <row r="5" spans="1:24" ht="24" thickTop="1" thickBot="1" x14ac:dyDescent="0.3">
      <c r="A5" s="10"/>
      <c r="B5" s="43">
        <v>1</v>
      </c>
      <c r="C5" s="40">
        <f>SUMIFS((count data),(data week),"="&amp;(5:5 when),(data Event),"="&amp;(C:C type))</f>
        <v>0</v>
      </c>
      <c r="D5" s="41">
        <f>SUMIFS((count data),(data week),"="&amp;(5:5 when),(data Event),"="&amp;(D:D type))</f>
        <v>0</v>
      </c>
      <c r="E5" s="42">
        <f>SUMIFS((count data),(data week),"="&amp;(5:5 when),(data Event),"="&amp;(E:E type))-D5</f>
        <v>0</v>
      </c>
      <c r="F5" s="43">
        <f>SUMIF(data week,"="&amp;B5,count data)</f>
        <v>0</v>
      </c>
      <c r="G5" s="40">
        <f>SUMIFS((facCount facData),(facData facWeek),"="&amp;(5:5 when),(facData facEvent),"="&amp;(G:G type))</f>
        <v>0</v>
      </c>
      <c r="H5" s="41">
        <f>SUMIFS((facCount facData),(facData facWeek),"="&amp;(5:5 when),(facData facEvent),"="&amp;(H:H type))</f>
        <v>0</v>
      </c>
      <c r="I5" s="42">
        <f>SUMIFS((facCount facData),(facData facWeek),"="&amp;(5:5 when),(facData facEvent),"="&amp;(I:I type))-H5</f>
        <v>0</v>
      </c>
      <c r="J5" s="42">
        <f>SUMIFS((facCount facData),(facData facWeek),"="&amp;(5:5 when),(facData facEvent),"="&amp;(J:J type))</f>
        <v>0</v>
      </c>
      <c r="K5" s="42">
        <f>SUMIFS((facCount facData),(facData facWeek),"="&amp;(5:5 when),(facData facEvent),"="&amp;(K:K type))</f>
        <v>0</v>
      </c>
      <c r="L5" s="42">
        <f>SUMIFS((facCount facData),(facData facWeek),"="&amp;(5:5 when),(facData facEvent),"="&amp;(L:L type))</f>
        <v>0</v>
      </c>
      <c r="M5" s="43">
        <f>SUMIF(facData facWeek,"="&amp;B5,facCount facData)</f>
        <v>0</v>
      </c>
      <c r="N5" s="3" t="str">
        <f t="shared" ref="N5:N21" si="0">IF(SUM(C5:E5)=F5,"","Audit:"&amp;(SUM(C5:E5))&amp;"="&amp;F5)</f>
        <v/>
      </c>
      <c r="P5" s="10"/>
      <c r="Q5" s="3" t="str">
        <f t="shared" ref="Q5:Q21" si="1">IF(SUM(G5:L5)=M5,"","Audit:"&amp;(SUM(G5:L5))&amp;"="&amp;M5)</f>
        <v/>
      </c>
      <c r="R5" s="10"/>
      <c r="S5" s="10"/>
      <c r="T5" s="14" t="s">
        <v>9</v>
      </c>
      <c r="U5" s="293" t="s">
        <v>5</v>
      </c>
      <c r="V5" s="294" t="s">
        <v>6</v>
      </c>
      <c r="W5" s="295" t="s">
        <v>7</v>
      </c>
      <c r="X5" s="296" t="s">
        <v>4</v>
      </c>
    </row>
    <row r="6" spans="1:24" ht="15.75" thickTop="1" x14ac:dyDescent="0.25">
      <c r="A6" s="10"/>
      <c r="B6" s="336">
        <v>2</v>
      </c>
      <c r="C6" s="337">
        <f>SUMIFS((count data),(data week),"="&amp;(6:6 when),(data Event),"="&amp;(C:C type))</f>
        <v>0</v>
      </c>
      <c r="D6" s="338">
        <f>SUMIFS((count data),(data week),"="&amp;(6:6 when),(data Event),"="&amp;(D:D type))</f>
        <v>0</v>
      </c>
      <c r="E6" s="339">
        <f>SUMIFS((count data),(data week),"="&amp;(6:6 when),(data Event),"="&amp;(E:E type))-D6</f>
        <v>0</v>
      </c>
      <c r="F6" s="336">
        <f>SUMIF(data week,"="&amp;B6,count data)</f>
        <v>0</v>
      </c>
      <c r="G6" s="337">
        <f>SUMIFS((facCount facData),(facData facWeek),"="&amp;(6:6 when),(facData facEvent),"="&amp;(G:G type))</f>
        <v>0</v>
      </c>
      <c r="H6" s="338">
        <f>SUMIFS((facCount facData),(facData facWeek),"="&amp;(6:6 when),(facData facEvent),"="&amp;(H:H type))</f>
        <v>0</v>
      </c>
      <c r="I6" s="339">
        <f>SUMIFS((facCount facData),(facData facWeek),"="&amp;(6:6 when),(facData facEvent),"="&amp;(I:I type))-H6</f>
        <v>0</v>
      </c>
      <c r="J6" s="339">
        <f>SUMIFS((facCount facData),(facData facWeek),"="&amp;(6:6 when),(facData facEvent),"="&amp;(J:J type))</f>
        <v>0</v>
      </c>
      <c r="K6" s="339">
        <f>SUMIFS((facCount facData),(facData facWeek),"="&amp;(6:6 when),(facData facEvent),"="&amp;(K:K type))</f>
        <v>0</v>
      </c>
      <c r="L6" s="339">
        <f>SUMIFS((facCount facData),(facData facWeek),"="&amp;(6:6 when),(facData facEvent),"="&amp;(L:L type))</f>
        <v>0</v>
      </c>
      <c r="M6" s="336">
        <f>SUMIF(facData facWeek,"="&amp;B6,facCount facData)</f>
        <v>0</v>
      </c>
      <c r="N6" s="3" t="str">
        <f t="shared" si="0"/>
        <v/>
      </c>
      <c r="P6" s="10"/>
      <c r="Q6" s="3" t="str">
        <f t="shared" si="1"/>
        <v/>
      </c>
      <c r="R6" s="10"/>
      <c r="S6" s="10"/>
      <c r="T6" s="43">
        <v>1</v>
      </c>
      <c r="U6" s="40">
        <f>SUMIFS((count data),(data week),"="&amp;(61:61 when),(data Event),"="&amp;(C:C type),(data name),"="&amp;qName)</f>
        <v>0</v>
      </c>
      <c r="V6" s="41">
        <f>SUMIFS((count data),(data week),"="&amp;(61:61 when),(data Event),"="&amp;(D:D type),(data name),"="&amp;qName)</f>
        <v>0</v>
      </c>
      <c r="W6" s="42">
        <f>SUMIFS((count data),(data week),"="&amp;(61:61 when),(data Event),"="&amp;(E:E type),(data name),"="&amp;qName)</f>
        <v>0</v>
      </c>
      <c r="X6" s="43">
        <f>SUMIFS(count data,data week,"="&amp;T6,data name,"="&amp;qName)</f>
        <v>0</v>
      </c>
    </row>
    <row r="7" spans="1:24" x14ac:dyDescent="0.25">
      <c r="A7" s="10"/>
      <c r="B7" s="336">
        <v>3</v>
      </c>
      <c r="C7" s="337">
        <f>SUMIFS((count data),(data week),"="&amp;(7:7 when),(data Event),"="&amp;(C:C type))</f>
        <v>0</v>
      </c>
      <c r="D7" s="338">
        <f>SUMIFS((count data),(data week),"="&amp;(7:7 when),(data Event),"="&amp;(D:D type))</f>
        <v>0</v>
      </c>
      <c r="E7" s="339">
        <f>SUMIFS((count data),(data week),"="&amp;(7:7 when),(data Event),"="&amp;(E:E type))-D7</f>
        <v>0</v>
      </c>
      <c r="F7" s="336">
        <f>SUMIF(data week,"="&amp;B7,count data)</f>
        <v>0</v>
      </c>
      <c r="G7" s="337">
        <f>SUMIFS((facCount facData),(facData facWeek),"="&amp;(7:7 when),(facData facEvent),"="&amp;(G:G type))</f>
        <v>0</v>
      </c>
      <c r="H7" s="338">
        <f>SUMIFS((facCount facData),(facData facWeek),"="&amp;(7:7 when),(facData facEvent),"="&amp;(H:H type))</f>
        <v>0</v>
      </c>
      <c r="I7" s="339">
        <f>SUMIFS((facCount facData),(facData facWeek),"="&amp;(7:7 when),(facData facEvent),"="&amp;(I:I type))-H7</f>
        <v>0</v>
      </c>
      <c r="J7" s="339">
        <f>SUMIFS((facCount facData),(facData facWeek),"="&amp;(7:7 when),(facData facEvent),"="&amp;(J:J type))</f>
        <v>0</v>
      </c>
      <c r="K7" s="339">
        <f>SUMIFS((facCount facData),(facData facWeek),"="&amp;(7:7 when),(facData facEvent),"="&amp;(K:K type))</f>
        <v>0</v>
      </c>
      <c r="L7" s="339">
        <f>SUMIFS((facCount facData),(facData facWeek),"="&amp;(7:7 when),(facData facEvent),"="&amp;(L:L type))</f>
        <v>0</v>
      </c>
      <c r="M7" s="336">
        <f>SUMIF(facData facWeek,"="&amp;B7,facCount facData)</f>
        <v>0</v>
      </c>
      <c r="N7" s="3" t="str">
        <f t="shared" si="0"/>
        <v/>
      </c>
      <c r="P7" s="10"/>
      <c r="Q7" s="3" t="str">
        <f t="shared" si="1"/>
        <v/>
      </c>
      <c r="R7" s="10"/>
      <c r="S7" s="10"/>
      <c r="T7" s="336">
        <v>2</v>
      </c>
      <c r="U7" s="337">
        <f>SUMIFS((count data),(data week),"="&amp;(62:62 when),(data Event),"="&amp;(C:C type),(data name),"="&amp;qName)</f>
        <v>0</v>
      </c>
      <c r="V7" s="338">
        <f>SUMIFS((count data),(data week),"="&amp;(62:62 when),(data Event),"="&amp;(D:D type),(data name),"="&amp;qName)</f>
        <v>0</v>
      </c>
      <c r="W7" s="339">
        <f>SUMIFS((count data),(data week),"="&amp;(62:62 when),(data Event),"="&amp;(E:E type),(data name),"="&amp;qName)</f>
        <v>0</v>
      </c>
      <c r="X7" s="336">
        <f>SUMIFS(count data,data week,"="&amp;T7,data name,"="&amp;qName)</f>
        <v>0</v>
      </c>
    </row>
    <row r="8" spans="1:24" x14ac:dyDescent="0.25">
      <c r="A8" s="10"/>
      <c r="B8" s="336">
        <v>4</v>
      </c>
      <c r="C8" s="337">
        <f>SUMIFS((count data),(data week),"="&amp;(8:8 when),(data Event),"="&amp;(C:C type))</f>
        <v>0</v>
      </c>
      <c r="D8" s="338">
        <f>SUMIFS((count data),(data week),"="&amp;(8:8 when),(data Event),"="&amp;(D:D type))</f>
        <v>0</v>
      </c>
      <c r="E8" s="339">
        <f>SUMIFS((count data),(data week),"="&amp;(8:8 when),(data Event),"="&amp;(E:E type))-D8</f>
        <v>0</v>
      </c>
      <c r="F8" s="336">
        <f>SUMIF(data week,"="&amp;B8,count data)</f>
        <v>0</v>
      </c>
      <c r="G8" s="337">
        <f>SUMIFS((facCount facData),(facData facWeek),"="&amp;(8:8 when),(facData facEvent),"="&amp;(G:G type))</f>
        <v>0</v>
      </c>
      <c r="H8" s="338">
        <f>SUMIFS((facCount facData),(facData facWeek),"="&amp;(8:8 when),(facData facEvent),"="&amp;(H:H type))</f>
        <v>0</v>
      </c>
      <c r="I8" s="339">
        <f>SUMIFS((facCount facData),(facData facWeek),"="&amp;(8:8 when),(facData facEvent),"="&amp;(I:I type))-H8</f>
        <v>0</v>
      </c>
      <c r="J8" s="339">
        <f>SUMIFS((facCount facData),(facData facWeek),"="&amp;(8:8 when),(facData facEvent),"="&amp;(J:J type))</f>
        <v>0</v>
      </c>
      <c r="K8" s="339">
        <f>SUMIFS((facCount facData),(facData facWeek),"="&amp;(8:8 when),(facData facEvent),"="&amp;(K:K type))</f>
        <v>0</v>
      </c>
      <c r="L8" s="339">
        <f>SUMIFS((facCount facData),(facData facWeek),"="&amp;(8:8 when),(facData facEvent),"="&amp;(L:L type))</f>
        <v>0</v>
      </c>
      <c r="M8" s="336">
        <f>SUMIF(facData facWeek,"="&amp;B8,facCount facData)</f>
        <v>0</v>
      </c>
      <c r="N8" s="3" t="str">
        <f t="shared" si="0"/>
        <v/>
      </c>
      <c r="P8" s="10"/>
      <c r="Q8" s="3" t="str">
        <f t="shared" si="1"/>
        <v/>
      </c>
      <c r="R8" s="10"/>
      <c r="S8" s="10"/>
      <c r="T8" s="336">
        <v>3</v>
      </c>
      <c r="U8" s="337">
        <f>SUMIFS((count data),(data week),"="&amp;(63:63 when),(data Event),"="&amp;(C:C type),(data name),"="&amp;qName)</f>
        <v>0</v>
      </c>
      <c r="V8" s="338">
        <f>SUMIFS((count data),(data week),"="&amp;(63:63 when),(data Event),"="&amp;(D:D type),(data name),"="&amp;qName)</f>
        <v>0</v>
      </c>
      <c r="W8" s="339">
        <f>SUMIFS((count data),(data week),"="&amp;(63:63 when),(data Event),"="&amp;(E:E type),(data name),"="&amp;qName)</f>
        <v>0</v>
      </c>
      <c r="X8" s="336">
        <f>SUMIFS(count data,data week,"="&amp;T8,data name,"="&amp;qName)</f>
        <v>0</v>
      </c>
    </row>
    <row r="9" spans="1:24" x14ac:dyDescent="0.25">
      <c r="A9" s="10"/>
      <c r="B9" s="336">
        <v>5</v>
      </c>
      <c r="C9" s="337">
        <f>SUMIFS((count data),(data week),"="&amp;(9:9 when),(data Event),"="&amp;(C:C type))</f>
        <v>0</v>
      </c>
      <c r="D9" s="338">
        <f>SUMIFS((count data),(data week),"="&amp;(9:9 when),(data Event),"="&amp;(D:D type))</f>
        <v>0</v>
      </c>
      <c r="E9" s="339">
        <f>SUMIFS((count data),(data week),"="&amp;(9:9 when),(data Event),"="&amp;(E:E type))-D9</f>
        <v>0</v>
      </c>
      <c r="F9" s="336">
        <f>SUMIF(data week,"="&amp;B9,count data)</f>
        <v>0</v>
      </c>
      <c r="G9" s="337">
        <f>SUMIFS((facCount facData),(facData facWeek),"="&amp;(9:9 when),(facData facEvent),"="&amp;(G:G type))</f>
        <v>0</v>
      </c>
      <c r="H9" s="338">
        <f>SUMIFS((facCount facData),(facData facWeek),"="&amp;(9:9 when),(facData facEvent),"="&amp;(H:H type))</f>
        <v>0</v>
      </c>
      <c r="I9" s="339">
        <f>SUMIFS((facCount facData),(facData facWeek),"="&amp;(9:9 when),(facData facEvent),"="&amp;(I:I type))-H9</f>
        <v>0</v>
      </c>
      <c r="J9" s="339">
        <f>SUMIFS((facCount facData),(facData facWeek),"="&amp;(9:9 when),(facData facEvent),"="&amp;(J:J type))</f>
        <v>0</v>
      </c>
      <c r="K9" s="339">
        <f>SUMIFS((facCount facData),(facData facWeek),"="&amp;(9:9 when),(facData facEvent),"="&amp;(K:K type))</f>
        <v>0</v>
      </c>
      <c r="L9" s="339">
        <f>SUMIFS((facCount facData),(facData facWeek),"="&amp;(9:9 when),(facData facEvent),"="&amp;(L:L type))</f>
        <v>0</v>
      </c>
      <c r="M9" s="336">
        <f>SUMIF(facData facWeek,"="&amp;B9,facCount facData)</f>
        <v>0</v>
      </c>
      <c r="N9" s="3" t="str">
        <f t="shared" si="0"/>
        <v/>
      </c>
      <c r="P9" s="10"/>
      <c r="Q9" s="3" t="str">
        <f t="shared" si="1"/>
        <v/>
      </c>
      <c r="R9" s="10"/>
      <c r="S9" s="10"/>
      <c r="T9" s="336">
        <v>4</v>
      </c>
      <c r="U9" s="337">
        <f>SUMIFS((count data),(data week),"="&amp;(64:64 when),(data Event),"="&amp;(C:C type),(data name),"="&amp;qName)</f>
        <v>0</v>
      </c>
      <c r="V9" s="338">
        <f>SUMIFS((count data),(data week),"="&amp;(64:64 when),(data Event),"="&amp;(D:D type),(data name),"="&amp;qName)</f>
        <v>0</v>
      </c>
      <c r="W9" s="339">
        <f>SUMIFS((count data),(data week),"="&amp;(64:64 when),(data Event),"="&amp;(E:E type),(data name),"="&amp;qName)</f>
        <v>0</v>
      </c>
      <c r="X9" s="336">
        <f>SUMIFS(count data,data week,"="&amp;T9,data name,"="&amp;qName)</f>
        <v>0</v>
      </c>
    </row>
    <row r="10" spans="1:24" x14ac:dyDescent="0.25">
      <c r="A10" s="10"/>
      <c r="B10" s="336">
        <v>6</v>
      </c>
      <c r="C10" s="337">
        <f>SUMIFS((count data),(data week),"="&amp;(10:10 when),(data Event),"="&amp;(C:C type))</f>
        <v>0</v>
      </c>
      <c r="D10" s="338">
        <f>SUMIFS((count data),(data week),"="&amp;(10:10 when),(data Event),"="&amp;(D:D type))</f>
        <v>0</v>
      </c>
      <c r="E10" s="339">
        <f>SUMIFS((count data),(data week),"="&amp;(10:10 when),(data Event),"="&amp;(E:E type))-D10</f>
        <v>0</v>
      </c>
      <c r="F10" s="336">
        <f>SUMIF(data week,"="&amp;B10,count data)</f>
        <v>0</v>
      </c>
      <c r="G10" s="337">
        <f>SUMIFS((facCount facData),(facData facWeek),"="&amp;(10:10 when),(facData facEvent),"="&amp;(G:G type))</f>
        <v>0</v>
      </c>
      <c r="H10" s="338">
        <f>SUMIFS((facCount facData),(facData facWeek),"="&amp;(10:10 when),(facData facEvent),"="&amp;(H:H type))</f>
        <v>0</v>
      </c>
      <c r="I10" s="339">
        <f>SUMIFS((facCount facData),(facData facWeek),"="&amp;(10:10 when),(facData facEvent),"="&amp;(I:I type))-H10</f>
        <v>0</v>
      </c>
      <c r="J10" s="339">
        <f>SUMIFS((facCount facData),(facData facWeek),"="&amp;(10:10 when),(facData facEvent),"="&amp;(J:J type))</f>
        <v>0</v>
      </c>
      <c r="K10" s="339">
        <f>SUMIFS((facCount facData),(facData facWeek),"="&amp;(10:10 when),(facData facEvent),"="&amp;(K:K type))</f>
        <v>0</v>
      </c>
      <c r="L10" s="339">
        <f>SUMIFS((facCount facData),(facData facWeek),"="&amp;(10:10 when),(facData facEvent),"="&amp;(L:L type))</f>
        <v>0</v>
      </c>
      <c r="M10" s="336">
        <f>SUMIF(facData facWeek,"="&amp;B10,facCount facData)</f>
        <v>0</v>
      </c>
      <c r="N10" s="3" t="str">
        <f t="shared" si="0"/>
        <v/>
      </c>
      <c r="P10" s="10"/>
      <c r="Q10" s="3" t="str">
        <f t="shared" si="1"/>
        <v/>
      </c>
      <c r="R10" s="10"/>
      <c r="S10" s="10"/>
      <c r="T10" s="336">
        <v>5</v>
      </c>
      <c r="U10" s="337">
        <f>SUMIFS((count data),(data week),"="&amp;(65:65 when),(data Event),"="&amp;(C:C type),(data name),"="&amp;qName)</f>
        <v>0</v>
      </c>
      <c r="V10" s="338">
        <f>SUMIFS((count data),(data week),"="&amp;(65:65 when),(data Event),"="&amp;(D:D type),(data name),"="&amp;qName)</f>
        <v>0</v>
      </c>
      <c r="W10" s="339">
        <f>SUMIFS((count data),(data week),"="&amp;(65:65 when),(data Event),"="&amp;(E:E type),(data name),"="&amp;qName)</f>
        <v>0</v>
      </c>
      <c r="X10" s="336">
        <f>SUMIFS(count data,data week,"="&amp;T10,data name,"="&amp;qName)</f>
        <v>0</v>
      </c>
    </row>
    <row r="11" spans="1:24" x14ac:dyDescent="0.25">
      <c r="A11" s="10"/>
      <c r="B11" s="336">
        <v>7</v>
      </c>
      <c r="C11" s="337">
        <f>SUMIFS((count data),(data week),"="&amp;(11:11 when),(data Event),"="&amp;(C:C type))</f>
        <v>0</v>
      </c>
      <c r="D11" s="338">
        <f>SUMIFS((count data),(data week),"="&amp;(11:11 when),(data Event),"="&amp;(D:D type))</f>
        <v>0</v>
      </c>
      <c r="E11" s="339">
        <f>SUMIFS((count data),(data week),"="&amp;(11:11 when),(data Event),"="&amp;(E:E type))-D11</f>
        <v>0</v>
      </c>
      <c r="F11" s="336">
        <f>SUMIF(data week,"="&amp;B11,count data)</f>
        <v>0</v>
      </c>
      <c r="G11" s="337">
        <f>SUMIFS((facCount facData),(facData facWeek),"="&amp;(11:11 when),(facData facEvent),"="&amp;(G:G type))</f>
        <v>0</v>
      </c>
      <c r="H11" s="338">
        <f>SUMIFS((facCount facData),(facData facWeek),"="&amp;(11:11 when),(facData facEvent),"="&amp;(H:H type))</f>
        <v>0</v>
      </c>
      <c r="I11" s="339">
        <f>SUMIFS((facCount facData),(facData facWeek),"="&amp;(11:11 when),(facData facEvent),"="&amp;(I:I type))-H11</f>
        <v>0</v>
      </c>
      <c r="J11" s="339">
        <f>SUMIFS((facCount facData),(facData facWeek),"="&amp;(11:11 when),(facData facEvent),"="&amp;(J:J type))</f>
        <v>0</v>
      </c>
      <c r="K11" s="339">
        <f>SUMIFS((facCount facData),(facData facWeek),"="&amp;(11:11 when),(facData facEvent),"="&amp;(K:K type))</f>
        <v>0</v>
      </c>
      <c r="L11" s="339">
        <f>SUMIFS((facCount facData),(facData facWeek),"="&amp;(11:11 when),(facData facEvent),"="&amp;(L:L type))</f>
        <v>0</v>
      </c>
      <c r="M11" s="336">
        <f>SUMIF(facData facWeek,"="&amp;B11,facCount facData)</f>
        <v>0</v>
      </c>
      <c r="N11" s="3" t="str">
        <f t="shared" si="0"/>
        <v/>
      </c>
      <c r="P11" s="10"/>
      <c r="Q11" s="3" t="str">
        <f t="shared" si="1"/>
        <v/>
      </c>
      <c r="R11" s="10"/>
      <c r="S11" s="10"/>
      <c r="T11" s="336">
        <v>6</v>
      </c>
      <c r="U11" s="337">
        <f>SUMIFS((count data),(data week),"="&amp;(66:66 when),(data Event),"="&amp;(C:C type),(data name),"="&amp;qName)</f>
        <v>0</v>
      </c>
      <c r="V11" s="338">
        <f>SUMIFS((count data),(data week),"="&amp;(66:66 when),(data Event),"="&amp;(D:D type),(data name),"="&amp;qName)</f>
        <v>0</v>
      </c>
      <c r="W11" s="339">
        <f>SUMIFS((count data),(data week),"="&amp;(66:66 when),(data Event),"="&amp;(E:E type),(data name),"="&amp;qName)</f>
        <v>0</v>
      </c>
      <c r="X11" s="336">
        <f>SUMIFS(count data,data week,"="&amp;T11,data name,"="&amp;qName)</f>
        <v>0</v>
      </c>
    </row>
    <row r="12" spans="1:24" x14ac:dyDescent="0.25">
      <c r="A12" s="10"/>
      <c r="B12" s="336">
        <v>8</v>
      </c>
      <c r="C12" s="337">
        <f>SUMIFS((count data),(data week),"="&amp;(12:12 when),(data Event),"="&amp;(C:C type))</f>
        <v>0</v>
      </c>
      <c r="D12" s="338">
        <f>SUMIFS((count data),(data week),"="&amp;(12:12 when),(data Event),"="&amp;(D:D type))</f>
        <v>0</v>
      </c>
      <c r="E12" s="339">
        <f>SUMIFS((count data),(data week),"="&amp;(12:12 when),(data Event),"="&amp;(E:E type))-D12</f>
        <v>0</v>
      </c>
      <c r="F12" s="336">
        <f>SUMIF(data week,"="&amp;B12,count data)</f>
        <v>0</v>
      </c>
      <c r="G12" s="337">
        <f>SUMIFS((facCount facData),(facData facWeek),"="&amp;(12:12 when),(facData facEvent),"="&amp;(G:G type))</f>
        <v>0</v>
      </c>
      <c r="H12" s="338">
        <f>SUMIFS((facCount facData),(facData facWeek),"="&amp;(12:12 when),(facData facEvent),"="&amp;(H:H type))</f>
        <v>0</v>
      </c>
      <c r="I12" s="339">
        <f>SUMIFS((facCount facData),(facData facWeek),"="&amp;(12:12 when),(facData facEvent),"="&amp;(I:I type))-H12</f>
        <v>0</v>
      </c>
      <c r="J12" s="339">
        <f>SUMIFS((facCount facData),(facData facWeek),"="&amp;(12:12 when),(facData facEvent),"="&amp;(J:J type))</f>
        <v>0</v>
      </c>
      <c r="K12" s="339">
        <f>SUMIFS((facCount facData),(facData facWeek),"="&amp;(12:12 when),(facData facEvent),"="&amp;(K:K type))</f>
        <v>0</v>
      </c>
      <c r="L12" s="339">
        <f>SUMIFS((facCount facData),(facData facWeek),"="&amp;(12:12 when),(facData facEvent),"="&amp;(L:L type))</f>
        <v>0</v>
      </c>
      <c r="M12" s="336">
        <f>SUMIF(facData facWeek,"="&amp;B12,facCount facData)</f>
        <v>0</v>
      </c>
      <c r="N12" s="3" t="str">
        <f t="shared" si="0"/>
        <v/>
      </c>
      <c r="P12" s="10"/>
      <c r="Q12" s="3" t="str">
        <f t="shared" si="1"/>
        <v/>
      </c>
      <c r="R12" s="10"/>
      <c r="S12" s="10"/>
      <c r="T12" s="336">
        <v>7</v>
      </c>
      <c r="U12" s="337">
        <f>SUMIFS((count data),(data week),"="&amp;(67:67 when),(data Event),"="&amp;(C:C type),(data name),"="&amp;qName)</f>
        <v>0</v>
      </c>
      <c r="V12" s="338">
        <f>SUMIFS((count data),(data week),"="&amp;(67:67 when),(data Event),"="&amp;(D:D type),(data name),"="&amp;qName)</f>
        <v>0</v>
      </c>
      <c r="W12" s="339">
        <f>SUMIFS((count data),(data week),"="&amp;(67:67 when),(data Event),"="&amp;(E:E type),(data name),"="&amp;qName)</f>
        <v>0</v>
      </c>
      <c r="X12" s="336">
        <f>SUMIFS(count data,data week,"="&amp;T12,data name,"="&amp;qName)</f>
        <v>0</v>
      </c>
    </row>
    <row r="13" spans="1:24" x14ac:dyDescent="0.25">
      <c r="A13" s="10"/>
      <c r="B13" s="336">
        <v>9</v>
      </c>
      <c r="C13" s="337">
        <f>SUMIFS((count data),(data week),"="&amp;(13:13 when),(data Event),"="&amp;(C:C type))</f>
        <v>0</v>
      </c>
      <c r="D13" s="338">
        <f>SUMIFS((count data),(data week),"="&amp;(13:13 when),(data Event),"="&amp;(D:D type))</f>
        <v>0</v>
      </c>
      <c r="E13" s="339">
        <f>SUMIFS((count data),(data week),"="&amp;(13:13 when),(data Event),"="&amp;(E:E type))-D13</f>
        <v>0</v>
      </c>
      <c r="F13" s="336">
        <f>SUMIF(data week,"="&amp;B13,count data)</f>
        <v>0</v>
      </c>
      <c r="G13" s="337">
        <f>SUMIFS((facCount facData),(facData facWeek),"="&amp;(13:13 when),(facData facEvent),"="&amp;(G:G type))</f>
        <v>0</v>
      </c>
      <c r="H13" s="338">
        <f>SUMIFS((facCount facData),(facData facWeek),"="&amp;(13:13 when),(facData facEvent),"="&amp;(H:H type))</f>
        <v>0</v>
      </c>
      <c r="I13" s="339">
        <f>SUMIFS((facCount facData),(facData facWeek),"="&amp;(13:13 when),(facData facEvent),"="&amp;(I:I type))-H13</f>
        <v>0</v>
      </c>
      <c r="J13" s="339">
        <f>SUMIFS((facCount facData),(facData facWeek),"="&amp;(13:13 when),(facData facEvent),"="&amp;(J:J type))</f>
        <v>0</v>
      </c>
      <c r="K13" s="339">
        <f>SUMIFS((facCount facData),(facData facWeek),"="&amp;(13:13 when),(facData facEvent),"="&amp;(K:K type))</f>
        <v>0</v>
      </c>
      <c r="L13" s="339">
        <f>SUMIFS((facCount facData),(facData facWeek),"="&amp;(13:13 when),(facData facEvent),"="&amp;(L:L type))</f>
        <v>0</v>
      </c>
      <c r="M13" s="336">
        <f>SUMIF(facData facWeek,"="&amp;B13,facCount facData)</f>
        <v>0</v>
      </c>
      <c r="N13" s="3" t="str">
        <f t="shared" si="0"/>
        <v/>
      </c>
      <c r="P13" s="10"/>
      <c r="Q13" s="3" t="str">
        <f t="shared" si="1"/>
        <v/>
      </c>
      <c r="R13" s="10"/>
      <c r="S13" s="10"/>
      <c r="T13" s="336">
        <v>8</v>
      </c>
      <c r="U13" s="337">
        <f>SUMIFS((count data),(data week),"="&amp;(68:68 when),(data Event),"="&amp;(C:C type),(data name),"="&amp;qName)</f>
        <v>0</v>
      </c>
      <c r="V13" s="338">
        <f>SUMIFS((count data),(data week),"="&amp;(68:68 when),(data Event),"="&amp;(D:D type),(data name),"="&amp;qName)</f>
        <v>0</v>
      </c>
      <c r="W13" s="339">
        <f>SUMIFS((count data),(data week),"="&amp;(68:68 when),(data Event),"="&amp;(E:E type),(data name),"="&amp;qName)</f>
        <v>0</v>
      </c>
      <c r="X13" s="336">
        <f>SUMIFS(count data,data week,"="&amp;T13,data name,"="&amp;qName)</f>
        <v>0</v>
      </c>
    </row>
    <row r="14" spans="1:24" x14ac:dyDescent="0.25">
      <c r="A14" s="10"/>
      <c r="B14" s="336">
        <v>10</v>
      </c>
      <c r="C14" s="337">
        <f>SUMIFS((count data),(data week),"="&amp;(14:14 when),(data Event),"="&amp;(C:C type))</f>
        <v>0</v>
      </c>
      <c r="D14" s="338">
        <f>SUMIFS((count data),(data week),"="&amp;(14:14 when),(data Event),"="&amp;(D:D type))</f>
        <v>0</v>
      </c>
      <c r="E14" s="339">
        <f>SUMIFS((count data),(data week),"="&amp;(14:14 when),(data Event),"="&amp;(E:E type))-D14</f>
        <v>0</v>
      </c>
      <c r="F14" s="336">
        <f>SUMIF(data week,"="&amp;B14,count data)</f>
        <v>0</v>
      </c>
      <c r="G14" s="337">
        <f>SUMIFS((facCount facData),(facData facWeek),"="&amp;(14:14 when),(facData facEvent),"="&amp;(G:G type))</f>
        <v>0</v>
      </c>
      <c r="H14" s="338">
        <f>SUMIFS((facCount facData),(facData facWeek),"="&amp;(14:14 when),(facData facEvent),"="&amp;(H:H type))</f>
        <v>0</v>
      </c>
      <c r="I14" s="339">
        <f>SUMIFS((facCount facData),(facData facWeek),"="&amp;(14:14 when),(facData facEvent),"="&amp;(I:I type))-H14</f>
        <v>0</v>
      </c>
      <c r="J14" s="339">
        <f>SUMIFS((facCount facData),(facData facWeek),"="&amp;(14:14 when),(facData facEvent),"="&amp;(J:J type))</f>
        <v>0</v>
      </c>
      <c r="K14" s="339">
        <f>SUMIFS((facCount facData),(facData facWeek),"="&amp;(14:14 when),(facData facEvent),"="&amp;(K:K type))</f>
        <v>0</v>
      </c>
      <c r="L14" s="339">
        <f>SUMIFS((facCount facData),(facData facWeek),"="&amp;(14:14 when),(facData facEvent),"="&amp;(L:L type))</f>
        <v>0</v>
      </c>
      <c r="M14" s="336">
        <f>SUMIF(facData facWeek,"="&amp;B14,facCount facData)</f>
        <v>0</v>
      </c>
      <c r="N14" s="3" t="str">
        <f t="shared" si="0"/>
        <v/>
      </c>
      <c r="P14" s="10"/>
      <c r="Q14" s="3" t="str">
        <f t="shared" si="1"/>
        <v/>
      </c>
      <c r="R14" s="10"/>
      <c r="S14" s="10"/>
      <c r="T14" s="336">
        <v>9</v>
      </c>
      <c r="U14" s="337">
        <f>SUMIFS((count data),(data week),"="&amp;(69:69 when),(data Event),"="&amp;(C:C type),(data name),"="&amp;qName)</f>
        <v>0</v>
      </c>
      <c r="V14" s="338">
        <f>SUMIFS((count data),(data week),"="&amp;(69:69 when),(data Event),"="&amp;(D:D type),(data name),"="&amp;qName)</f>
        <v>0</v>
      </c>
      <c r="W14" s="339">
        <f>SUMIFS((count data),(data week),"="&amp;(69:69 when),(data Event),"="&amp;(E:E type),(data name),"="&amp;qName)</f>
        <v>0</v>
      </c>
      <c r="X14" s="336">
        <f>SUMIFS(count data,data week,"="&amp;T14,data name,"="&amp;qName)</f>
        <v>0</v>
      </c>
    </row>
    <row r="15" spans="1:24" x14ac:dyDescent="0.25">
      <c r="A15" s="10"/>
      <c r="B15" s="336">
        <v>11</v>
      </c>
      <c r="C15" s="337">
        <f>SUMIFS((count data),(data week),"="&amp;(15:15 when),(data Event),"="&amp;(C:C type))</f>
        <v>0</v>
      </c>
      <c r="D15" s="338">
        <f>SUMIFS((count data),(data week),"="&amp;(15:15 when),(data Event),"="&amp;(D:D type))</f>
        <v>0</v>
      </c>
      <c r="E15" s="339">
        <f>SUMIFS((count data),(data week),"="&amp;(15:15 when),(data Event),"="&amp;(E:E type))-D15</f>
        <v>0</v>
      </c>
      <c r="F15" s="336">
        <f>SUMIF(data week,"="&amp;B15,count data)</f>
        <v>0</v>
      </c>
      <c r="G15" s="337">
        <f>SUMIFS((facCount facData),(facData facWeek),"="&amp;(15:15 when),(facData facEvent),"="&amp;(G:G type))</f>
        <v>0</v>
      </c>
      <c r="H15" s="338">
        <f>SUMIFS((facCount facData),(facData facWeek),"="&amp;(15:15 when),(facData facEvent),"="&amp;(H:H type))</f>
        <v>0</v>
      </c>
      <c r="I15" s="339">
        <f>SUMIFS((facCount facData),(facData facWeek),"="&amp;(15:15 when),(facData facEvent),"="&amp;(I:I type))-H15</f>
        <v>0</v>
      </c>
      <c r="J15" s="339">
        <f>SUMIFS((facCount facData),(facData facWeek),"="&amp;(15:15 when),(facData facEvent),"="&amp;(J:J type))</f>
        <v>0</v>
      </c>
      <c r="K15" s="339">
        <f>SUMIFS((facCount facData),(facData facWeek),"="&amp;(15:15 when),(facData facEvent),"="&amp;(K:K type))</f>
        <v>0</v>
      </c>
      <c r="L15" s="339">
        <f>SUMIFS((facCount facData),(facData facWeek),"="&amp;(15:15 when),(facData facEvent),"="&amp;(L:L type))</f>
        <v>0</v>
      </c>
      <c r="M15" s="336">
        <f>SUMIF(facData facWeek,"="&amp;B15,facCount facData)</f>
        <v>0</v>
      </c>
      <c r="N15" s="3" t="str">
        <f t="shared" si="0"/>
        <v/>
      </c>
      <c r="P15" s="10"/>
      <c r="Q15" s="3" t="str">
        <f t="shared" si="1"/>
        <v/>
      </c>
      <c r="R15" s="10"/>
      <c r="S15" s="10"/>
      <c r="T15" s="336">
        <v>10</v>
      </c>
      <c r="U15" s="337">
        <f>SUMIFS((count data),(data week),"="&amp;(70:70 when),(data Event),"="&amp;(C:C type),(data name),"="&amp;qName)</f>
        <v>0</v>
      </c>
      <c r="V15" s="338">
        <f>SUMIFS((count data),(data week),"="&amp;(70:70 when),(data Event),"="&amp;(D:D type),(data name),"="&amp;qName)</f>
        <v>0</v>
      </c>
      <c r="W15" s="339">
        <f>SUMIFS((count data),(data week),"="&amp;(70:70 when),(data Event),"="&amp;(E:E type),(data name),"="&amp;qName)</f>
        <v>0</v>
      </c>
      <c r="X15" s="336">
        <f>SUMIFS(count data,data week,"="&amp;T15,data name,"="&amp;qName)</f>
        <v>0</v>
      </c>
    </row>
    <row r="16" spans="1:24" x14ac:dyDescent="0.25">
      <c r="A16" s="10"/>
      <c r="B16" s="336">
        <v>12</v>
      </c>
      <c r="C16" s="337">
        <f>SUMIFS((count data),(data week),"="&amp;(16:16 when),(data Event),"="&amp;(C:C type))</f>
        <v>0</v>
      </c>
      <c r="D16" s="338">
        <f>SUMIFS((count data),(data week),"="&amp;(16:16 when),(data Event),"="&amp;(D:D type))</f>
        <v>0</v>
      </c>
      <c r="E16" s="339">
        <f>SUMIFS((count data),(data week),"="&amp;(16:16 when),(data Event),"="&amp;(E:E type))-D16</f>
        <v>0</v>
      </c>
      <c r="F16" s="336">
        <f>SUMIF(data week,"="&amp;B16,count data)</f>
        <v>0</v>
      </c>
      <c r="G16" s="337">
        <f>SUMIFS((facCount facData),(facData facWeek),"="&amp;(16:16 when),(facData facEvent),"="&amp;(G:G type))</f>
        <v>0</v>
      </c>
      <c r="H16" s="338">
        <f>SUMIFS((facCount facData),(facData facWeek),"="&amp;(16:16 when),(facData facEvent),"="&amp;(H:H type))</f>
        <v>0</v>
      </c>
      <c r="I16" s="339">
        <f>SUMIFS((facCount facData),(facData facWeek),"="&amp;(16:16 when),(facData facEvent),"="&amp;(I:I type))-H16</f>
        <v>0</v>
      </c>
      <c r="J16" s="339">
        <f>SUMIFS((facCount facData),(facData facWeek),"="&amp;(16:16 when),(facData facEvent),"="&amp;(J:J type))</f>
        <v>0</v>
      </c>
      <c r="K16" s="339">
        <f>SUMIFS((facCount facData),(facData facWeek),"="&amp;(16:16 when),(facData facEvent),"="&amp;(K:K type))</f>
        <v>0</v>
      </c>
      <c r="L16" s="339">
        <f>SUMIFS((facCount facData),(facData facWeek),"="&amp;(16:16 when),(facData facEvent),"="&amp;(L:L type))</f>
        <v>0</v>
      </c>
      <c r="M16" s="336">
        <f>SUMIF(facData facWeek,"="&amp;B16,facCount facData)</f>
        <v>0</v>
      </c>
      <c r="N16" s="3" t="str">
        <f t="shared" si="0"/>
        <v/>
      </c>
      <c r="P16" s="10"/>
      <c r="Q16" s="3" t="str">
        <f t="shared" si="1"/>
        <v/>
      </c>
      <c r="R16" s="10"/>
      <c r="S16" s="10"/>
      <c r="T16" s="336">
        <v>11</v>
      </c>
      <c r="U16" s="337">
        <f>SUMIFS((count data),(data week),"="&amp;(71:71 when),(data Event),"="&amp;(C:C type),(data name),"="&amp;qName)</f>
        <v>0</v>
      </c>
      <c r="V16" s="338">
        <f>SUMIFS((count data),(data week),"="&amp;(71:71 when),(data Event),"="&amp;(D:D type),(data name),"="&amp;qName)</f>
        <v>0</v>
      </c>
      <c r="W16" s="339">
        <f>SUMIFS((count data),(data week),"="&amp;(71:71 when),(data Event),"="&amp;(E:E type),(data name),"="&amp;qName)</f>
        <v>0</v>
      </c>
      <c r="X16" s="336">
        <f>SUMIFS(count data,data week,"="&amp;T16,data name,"="&amp;qName)</f>
        <v>0</v>
      </c>
    </row>
    <row r="17" spans="1:24" x14ac:dyDescent="0.25">
      <c r="A17" s="10"/>
      <c r="B17" s="336">
        <v>13</v>
      </c>
      <c r="C17" s="337">
        <f>SUMIFS((count data),(data week),"="&amp;(17:17 when),(data Event),"="&amp;(C:C type))</f>
        <v>0</v>
      </c>
      <c r="D17" s="338">
        <f>SUMIFS((count data),(data week),"="&amp;(17:17 when),(data Event),"="&amp;(D:D type))</f>
        <v>0</v>
      </c>
      <c r="E17" s="339">
        <f>SUMIFS((count data),(data week),"="&amp;(17:17 when),(data Event),"="&amp;(E:E type))-D17</f>
        <v>0</v>
      </c>
      <c r="F17" s="336">
        <f>SUMIF(data week,"="&amp;B17,count data)</f>
        <v>0</v>
      </c>
      <c r="G17" s="337">
        <f>SUMIFS((facCount facData),(facData facWeek),"="&amp;(17:17 when),(facData facEvent),"="&amp;(G:G type))</f>
        <v>0</v>
      </c>
      <c r="H17" s="338">
        <f>SUMIFS((facCount facData),(facData facWeek),"="&amp;(17:17 when),(facData facEvent),"="&amp;(H:H type))</f>
        <v>0</v>
      </c>
      <c r="I17" s="339">
        <f>SUMIFS((facCount facData),(facData facWeek),"="&amp;(17:17 when),(facData facEvent),"="&amp;(I:I type))-H17</f>
        <v>0</v>
      </c>
      <c r="J17" s="339">
        <f>SUMIFS((facCount facData),(facData facWeek),"="&amp;(17:17 when),(facData facEvent),"="&amp;(J:J type))</f>
        <v>0</v>
      </c>
      <c r="K17" s="339">
        <f>SUMIFS((facCount facData),(facData facWeek),"="&amp;(17:17 when),(facData facEvent),"="&amp;(K:K type))</f>
        <v>0</v>
      </c>
      <c r="L17" s="339">
        <f>SUMIFS((facCount facData),(facData facWeek),"="&amp;(17:17 when),(facData facEvent),"="&amp;(L:L type))</f>
        <v>0</v>
      </c>
      <c r="M17" s="336">
        <f>SUMIF(facData facWeek,"="&amp;B17,facCount facData)</f>
        <v>0</v>
      </c>
      <c r="N17" s="3" t="str">
        <f t="shared" si="0"/>
        <v/>
      </c>
      <c r="P17" s="10"/>
      <c r="Q17" s="3" t="str">
        <f t="shared" si="1"/>
        <v/>
      </c>
      <c r="R17" s="10"/>
      <c r="S17" s="10"/>
      <c r="T17" s="336">
        <v>12</v>
      </c>
      <c r="U17" s="337">
        <f>SUMIFS((count data),(data week),"="&amp;(72:72 when),(data Event),"="&amp;(C:C type),(data name),"="&amp;qName)</f>
        <v>0</v>
      </c>
      <c r="V17" s="338">
        <f>SUMIFS((count data),(data week),"="&amp;(72:72 when),(data Event),"="&amp;(D:D type),(data name),"="&amp;qName)</f>
        <v>0</v>
      </c>
      <c r="W17" s="339">
        <f>SUMIFS((count data),(data week),"="&amp;(72:72 when),(data Event),"="&amp;(E:E type),(data name),"="&amp;qName)</f>
        <v>0</v>
      </c>
      <c r="X17" s="336">
        <f>SUMIFS(count data,data week,"="&amp;T17,data name,"="&amp;qName)</f>
        <v>0</v>
      </c>
    </row>
    <row r="18" spans="1:24" x14ac:dyDescent="0.25">
      <c r="A18" s="10"/>
      <c r="B18" s="336">
        <v>14</v>
      </c>
      <c r="C18" s="337">
        <f>SUMIFS((count data),(data week),"="&amp;(18:18 when),(data Event),"="&amp;(C:C type))</f>
        <v>0</v>
      </c>
      <c r="D18" s="338">
        <f>SUMIFS((count data),(data week),"="&amp;(18:18 when),(data Event),"="&amp;(D:D type))</f>
        <v>0</v>
      </c>
      <c r="E18" s="339">
        <f>SUMIFS((count data),(data week),"="&amp;(18:18 when),(data Event),"="&amp;(E:E type))-D18</f>
        <v>0</v>
      </c>
      <c r="F18" s="336">
        <f>SUMIF(data week,"="&amp;B18,count data)</f>
        <v>0</v>
      </c>
      <c r="G18" s="337">
        <f>SUMIFS((facCount facData),(facData facWeek),"="&amp;(18:18 when),(facData facEvent),"="&amp;(G:G type))</f>
        <v>0</v>
      </c>
      <c r="H18" s="338">
        <f>SUMIFS((facCount facData),(facData facWeek),"="&amp;(18:18 when),(facData facEvent),"="&amp;(H:H type))</f>
        <v>0</v>
      </c>
      <c r="I18" s="339">
        <f>SUMIFS((facCount facData),(facData facWeek),"="&amp;(18:18 when),(facData facEvent),"="&amp;(I:I type))-H18</f>
        <v>0</v>
      </c>
      <c r="J18" s="339">
        <f>SUMIFS((facCount facData),(facData facWeek),"="&amp;(18:18 when),(facData facEvent),"="&amp;(J:J type))</f>
        <v>0</v>
      </c>
      <c r="K18" s="339">
        <f>SUMIFS((facCount facData),(facData facWeek),"="&amp;(18:18 when),(facData facEvent),"="&amp;(K:K type))</f>
        <v>0</v>
      </c>
      <c r="L18" s="339">
        <f>SUMIFS((facCount facData),(facData facWeek),"="&amp;(18:18 when),(facData facEvent),"="&amp;(L:L type))</f>
        <v>0</v>
      </c>
      <c r="M18" s="336">
        <f>SUMIF(facData facWeek,"="&amp;B18,facCount facData)</f>
        <v>0</v>
      </c>
      <c r="N18" s="3" t="str">
        <f t="shared" si="0"/>
        <v/>
      </c>
      <c r="P18" s="10"/>
      <c r="Q18" s="3" t="str">
        <f t="shared" si="1"/>
        <v/>
      </c>
      <c r="R18" s="10"/>
      <c r="S18" s="10"/>
      <c r="T18" s="336">
        <v>13</v>
      </c>
      <c r="U18" s="337">
        <f>SUMIFS((count data),(data week),"="&amp;(73:73 when),(data Event),"="&amp;(C:C type),(data name),"="&amp;qName)</f>
        <v>0</v>
      </c>
      <c r="V18" s="338">
        <f>SUMIFS((count data),(data week),"="&amp;(73:73 when),(data Event),"="&amp;(D:D type),(data name),"="&amp;qName)</f>
        <v>0</v>
      </c>
      <c r="W18" s="339">
        <f>SUMIFS((count data),(data week),"="&amp;(73:73 when),(data Event),"="&amp;(E:E type),(data name),"="&amp;qName)</f>
        <v>0</v>
      </c>
      <c r="X18" s="336">
        <f>SUMIFS(count data,data week,"="&amp;T18,data name,"="&amp;qName)</f>
        <v>0</v>
      </c>
    </row>
    <row r="19" spans="1:24" x14ac:dyDescent="0.25">
      <c r="A19" s="10"/>
      <c r="B19" s="336">
        <v>15</v>
      </c>
      <c r="C19" s="337">
        <f>SUMIFS((count data),(data week),"="&amp;(19:19 when),(data Event),"="&amp;(C:C type))</f>
        <v>0</v>
      </c>
      <c r="D19" s="338">
        <f>SUMIFS((count data),(data week),"="&amp;(19:19 when),(data Event),"="&amp;(D:D type))</f>
        <v>0</v>
      </c>
      <c r="E19" s="339">
        <f>SUMIFS((count data),(data week),"="&amp;(19:19 when),(data Event),"="&amp;(E:E type))-D19</f>
        <v>0</v>
      </c>
      <c r="F19" s="336">
        <f>SUMIF(data week,"="&amp;B19,count data)</f>
        <v>0</v>
      </c>
      <c r="G19" s="337">
        <f>SUMIFS((facCount facData),(facData facWeek),"="&amp;(19:19 when),(facData facEvent),"="&amp;(G:G type))</f>
        <v>0</v>
      </c>
      <c r="H19" s="338">
        <f>SUMIFS((facCount facData),(facData facWeek),"="&amp;(19:19 when),(facData facEvent),"="&amp;(H:H type))</f>
        <v>0</v>
      </c>
      <c r="I19" s="339">
        <f>SUMIFS((facCount facData),(facData facWeek),"="&amp;(19:19 when),(facData facEvent),"="&amp;(I:I type))-H19</f>
        <v>0</v>
      </c>
      <c r="J19" s="339">
        <f>SUMIFS((facCount facData),(facData facWeek),"="&amp;(19:19 when),(facData facEvent),"="&amp;(J:J type))</f>
        <v>0</v>
      </c>
      <c r="K19" s="339">
        <f>SUMIFS((facCount facData),(facData facWeek),"="&amp;(19:19 when),(facData facEvent),"="&amp;(K:K type))</f>
        <v>0</v>
      </c>
      <c r="L19" s="339">
        <f>SUMIFS((facCount facData),(facData facWeek),"="&amp;(19:19 when),(facData facEvent),"="&amp;(L:L type))</f>
        <v>0</v>
      </c>
      <c r="M19" s="336">
        <f>SUMIF(facData facWeek,"="&amp;B19,facCount facData)</f>
        <v>0</v>
      </c>
      <c r="N19" s="3" t="str">
        <f t="shared" si="0"/>
        <v/>
      </c>
      <c r="P19" s="10"/>
      <c r="Q19" s="3" t="str">
        <f t="shared" si="1"/>
        <v/>
      </c>
      <c r="R19" s="10"/>
      <c r="S19" s="10"/>
      <c r="T19" s="336">
        <v>14</v>
      </c>
      <c r="U19" s="337">
        <f>SUMIFS((count data),(data week),"="&amp;(74:74 when),(data Event),"="&amp;(C:C type),(data name),"="&amp;qName)</f>
        <v>0</v>
      </c>
      <c r="V19" s="338">
        <f>SUMIFS((count data),(data week),"="&amp;(74:74 when),(data Event),"="&amp;(D:D type),(data name),"="&amp;qName)</f>
        <v>0</v>
      </c>
      <c r="W19" s="339">
        <f>SUMIFS((count data),(data week),"="&amp;(74:74 when),(data Event),"="&amp;(E:E type),(data name),"="&amp;qName)</f>
        <v>0</v>
      </c>
      <c r="X19" s="336">
        <f>SUMIFS(count data,data week,"="&amp;T19,data name,"="&amp;qName)</f>
        <v>0</v>
      </c>
    </row>
    <row r="20" spans="1:24" ht="15.75" thickBot="1" x14ac:dyDescent="0.3">
      <c r="A20" s="10"/>
      <c r="B20" s="340">
        <v>16</v>
      </c>
      <c r="C20" s="341">
        <f>SUMIFS((count data),(data week),"="&amp;(20:20 when),(data Event),"="&amp;(C:C type))</f>
        <v>0</v>
      </c>
      <c r="D20" s="342">
        <f>SUMIFS((count data),(data week),"="&amp;(20:20 when),(data Event),"="&amp;(D:D type))</f>
        <v>0</v>
      </c>
      <c r="E20" s="343">
        <f>SUMIFS((count data),(data week),"="&amp;(20:20 when),(data Event),"="&amp;(E:E type))-D20</f>
        <v>0</v>
      </c>
      <c r="F20" s="340">
        <f>SUMIF(data week,"="&amp;B20,count data)</f>
        <v>0</v>
      </c>
      <c r="G20" s="341">
        <f>SUMIFS((facCount facData),(facData facWeek),"="&amp;(20:20 when),(facData facEvent),"="&amp;(G:G type))</f>
        <v>0</v>
      </c>
      <c r="H20" s="342">
        <f>SUMIFS((facCount facData),(facData facWeek),"="&amp;(20:20 when),(facData facEvent),"="&amp;(H:H type))</f>
        <v>0</v>
      </c>
      <c r="I20" s="343">
        <f>SUMIFS((facCount facData),(facData facWeek),"="&amp;(20:20 when),(facData facEvent),"="&amp;(I:I type))-H20</f>
        <v>0</v>
      </c>
      <c r="J20" s="343">
        <f>SUMIFS((facCount facData),(facData facWeek),"="&amp;(20:20 when),(facData facEvent),"="&amp;(J:J type))</f>
        <v>0</v>
      </c>
      <c r="K20" s="343">
        <f>SUMIFS((facCount facData),(facData facWeek),"="&amp;(20:20 when),(facData facEvent),"="&amp;(K:K type))</f>
        <v>0</v>
      </c>
      <c r="L20" s="343">
        <f>SUMIFS((facCount facData),(facData facWeek),"="&amp;(20:20 when),(facData facEvent),"="&amp;(L:L type))</f>
        <v>0</v>
      </c>
      <c r="M20" s="340">
        <f>SUMIF(facData facWeek,"="&amp;B20,facCount facData)</f>
        <v>0</v>
      </c>
      <c r="N20" s="3" t="str">
        <f t="shared" si="0"/>
        <v/>
      </c>
      <c r="P20" s="10"/>
      <c r="Q20" s="3" t="str">
        <f t="shared" si="1"/>
        <v/>
      </c>
      <c r="R20" s="10"/>
      <c r="S20" s="10"/>
      <c r="T20" s="336">
        <v>15</v>
      </c>
      <c r="U20" s="337">
        <f>SUMIFS((count data),(data week),"="&amp;(75:75 when),(data Event),"="&amp;(C:C type),(data name),"="&amp;qName)</f>
        <v>0</v>
      </c>
      <c r="V20" s="338">
        <f>SUMIFS((count data),(data week),"="&amp;(75:75 when),(data Event),"="&amp;(D:D type),(data name),"="&amp;qName)</f>
        <v>0</v>
      </c>
      <c r="W20" s="339">
        <f>SUMIFS((count data),(data week),"="&amp;(75:75 when),(data Event),"="&amp;(E:E type),(data name),"="&amp;qName)</f>
        <v>0</v>
      </c>
      <c r="X20" s="336">
        <f>SUMIFS(count data,data week,"="&amp;T20,data name,"="&amp;qName)</f>
        <v>0</v>
      </c>
    </row>
    <row r="21" spans="1:24" ht="16.5" thickTop="1" thickBot="1" x14ac:dyDescent="0.3">
      <c r="A21" s="10"/>
      <c r="B21" s="10"/>
      <c r="C21" s="17">
        <f t="shared" ref="C21:E21" si="2">SUM(C5:C20)</f>
        <v>0</v>
      </c>
      <c r="D21" s="18">
        <f t="shared" si="2"/>
        <v>0</v>
      </c>
      <c r="E21" s="19">
        <f t="shared" si="2"/>
        <v>0</v>
      </c>
      <c r="F21" s="20">
        <f>SUM(F5:F20)</f>
        <v>0</v>
      </c>
      <c r="G21" s="17">
        <f t="shared" ref="G21:L21" si="3">SUM(G5:G20)</f>
        <v>0</v>
      </c>
      <c r="H21" s="18">
        <f t="shared" si="3"/>
        <v>0</v>
      </c>
      <c r="I21" s="19">
        <f t="shared" ref="I21:K21" si="4">SUM(I5:I20)</f>
        <v>0</v>
      </c>
      <c r="J21" s="19">
        <f t="shared" si="4"/>
        <v>0</v>
      </c>
      <c r="K21" s="19">
        <f t="shared" si="4"/>
        <v>0</v>
      </c>
      <c r="L21" s="19">
        <f t="shared" si="3"/>
        <v>0</v>
      </c>
      <c r="M21" s="20">
        <f>SUM(M5:M20)</f>
        <v>0</v>
      </c>
      <c r="N21" s="3" t="str">
        <f t="shared" si="0"/>
        <v/>
      </c>
      <c r="P21" s="10"/>
      <c r="Q21" s="3" t="str">
        <f t="shared" si="1"/>
        <v/>
      </c>
      <c r="R21" s="10"/>
      <c r="S21" s="10"/>
      <c r="T21" s="340">
        <v>16</v>
      </c>
      <c r="U21" s="341">
        <f>SUMIFS((count data),(data week),"="&amp;(76:76 when),(data Event),"="&amp;(C:C type),(data name),"="&amp;qName)</f>
        <v>0</v>
      </c>
      <c r="V21" s="342">
        <f>SUMIFS((count data),(data week),"="&amp;(76:76 when),(data Event),"="&amp;(D:D type),(data name),"="&amp;qName)</f>
        <v>0</v>
      </c>
      <c r="W21" s="343">
        <f>SUMIFS((count data),(data week),"="&amp;(76:76 when),(data Event),"="&amp;(E:E type),(data name),"="&amp;qName)</f>
        <v>0</v>
      </c>
      <c r="X21" s="340">
        <f>SUMIFS(count data,data week,"="&amp;T21,data name,"="&amp;qName)</f>
        <v>0</v>
      </c>
    </row>
    <row r="22" spans="1:24" ht="15.75" thickTop="1" x14ac:dyDescent="0.25">
      <c r="A22" s="10"/>
      <c r="B22" s="10"/>
      <c r="C22" s="12"/>
      <c r="D22" s="10"/>
      <c r="E22" s="10"/>
      <c r="F22" s="10"/>
      <c r="G22" s="12"/>
      <c r="H22" s="10"/>
      <c r="I22" s="10"/>
      <c r="J22" s="10"/>
      <c r="K22" s="10"/>
      <c r="L22" s="11"/>
      <c r="M22" s="10"/>
      <c r="N22" s="10"/>
      <c r="O22" s="10"/>
      <c r="P22" s="10"/>
      <c r="Q22" s="10"/>
      <c r="R22" s="10"/>
      <c r="S22" s="10"/>
      <c r="T22" s="10"/>
      <c r="U22" s="17">
        <f t="shared" ref="U22:W22" si="5">SUM(U6:U21)</f>
        <v>0</v>
      </c>
      <c r="V22" s="18">
        <f t="shared" si="5"/>
        <v>0</v>
      </c>
      <c r="W22" s="19">
        <f t="shared" si="5"/>
        <v>0</v>
      </c>
      <c r="X22" s="20">
        <f>SUM(X6:X21)</f>
        <v>0</v>
      </c>
    </row>
    <row r="23" spans="1:24" ht="18.75" x14ac:dyDescent="0.3">
      <c r="A23" s="10"/>
      <c r="B23" s="9" t="s">
        <v>25</v>
      </c>
      <c r="D23" s="10"/>
      <c r="E23" s="11" t="s">
        <v>28</v>
      </c>
      <c r="F23" s="10"/>
      <c r="G23" s="12"/>
      <c r="H23" s="10"/>
      <c r="I23" s="10"/>
      <c r="J23" s="10"/>
      <c r="K23" s="10"/>
      <c r="L23" s="10"/>
      <c r="M23" s="10"/>
      <c r="N23" s="10"/>
      <c r="O23" s="10"/>
      <c r="P23" s="10"/>
      <c r="Q23" s="10"/>
      <c r="R23" s="10"/>
      <c r="S23" s="10"/>
    </row>
    <row r="24" spans="1:24" ht="33" customHeight="1" x14ac:dyDescent="0.25">
      <c r="B24" s="10"/>
      <c r="C24" s="10"/>
      <c r="D24" s="384" t="s">
        <v>9</v>
      </c>
      <c r="E24" s="385"/>
      <c r="F24" s="385"/>
      <c r="G24" s="385"/>
      <c r="H24" s="385"/>
      <c r="I24" s="385"/>
      <c r="J24" s="385"/>
      <c r="K24" s="385"/>
      <c r="L24" s="385"/>
      <c r="M24" s="385"/>
      <c r="N24" s="385"/>
      <c r="O24" s="385"/>
      <c r="P24" s="385"/>
      <c r="Q24" s="385"/>
      <c r="R24" s="385"/>
      <c r="S24" s="386"/>
      <c r="T24" s="10"/>
      <c r="U24" s="193" t="s">
        <v>159</v>
      </c>
      <c r="V24" s="193" t="s">
        <v>159</v>
      </c>
      <c r="W24" s="193" t="s">
        <v>159</v>
      </c>
      <c r="X24" s="193" t="s">
        <v>159</v>
      </c>
    </row>
    <row r="25" spans="1:24" ht="15.75" thickBot="1" x14ac:dyDescent="0.3">
      <c r="A25" s="1"/>
      <c r="B25" s="379" t="s">
        <v>1</v>
      </c>
      <c r="C25" s="380"/>
      <c r="D25" s="223">
        <v>1</v>
      </c>
      <c r="E25" s="224">
        <v>2</v>
      </c>
      <c r="F25" s="224">
        <v>3</v>
      </c>
      <c r="G25" s="224">
        <v>4</v>
      </c>
      <c r="H25" s="224">
        <v>5</v>
      </c>
      <c r="I25" s="224">
        <v>6</v>
      </c>
      <c r="J25" s="224">
        <v>7</v>
      </c>
      <c r="K25" s="224">
        <v>8</v>
      </c>
      <c r="L25" s="224">
        <v>9</v>
      </c>
      <c r="M25" s="224">
        <v>10</v>
      </c>
      <c r="N25" s="224">
        <v>11</v>
      </c>
      <c r="O25" s="224">
        <v>12</v>
      </c>
      <c r="P25" s="224">
        <v>13</v>
      </c>
      <c r="Q25" s="224">
        <v>14</v>
      </c>
      <c r="R25" s="224">
        <v>15</v>
      </c>
      <c r="S25" s="225">
        <v>16</v>
      </c>
      <c r="T25" s="2" t="s">
        <v>4</v>
      </c>
      <c r="U25" s="16">
        <f>Status!L7</f>
        <v>4</v>
      </c>
      <c r="V25" s="16">
        <f>Status!Q7</f>
        <v>8</v>
      </c>
      <c r="W25" s="16">
        <f>Status!W7</f>
        <v>12</v>
      </c>
      <c r="X25" s="16">
        <f>Status!AC7</f>
        <v>16</v>
      </c>
    </row>
    <row r="26" spans="1:24" ht="15.75" thickTop="1" x14ac:dyDescent="0.25">
      <c r="A26" s="214">
        <f>Roster!B8</f>
        <v>1</v>
      </c>
      <c r="B26" s="344" t="str">
        <f>Roster!C8</f>
        <v>Abdalgni, Khalid</v>
      </c>
      <c r="C26" s="344"/>
      <c r="D26" s="40">
        <f>SUMIFS(data count,data name,"="&amp;sname,data week,"="&amp;sweek)-SUMIFS(data count,data name,"="&amp;sname,data week,"="&amp;sweek,data Event,"="&amp;"Read Thread")</f>
        <v>0</v>
      </c>
      <c r="E26" s="41">
        <f>SUMIFS(data count,data name,"="&amp;sname,data week,"="&amp;sweek)-SUMIFS(data count,data name,"="&amp;sname,data week,"="&amp;sweek,data Event,"="&amp;"Read Thread")</f>
        <v>0</v>
      </c>
      <c r="F26" s="41">
        <f>SUMIFS(data count,data name,"="&amp;sname,data week,"="&amp;sweek)-SUMIFS(data count,data name,"="&amp;sname,data week,"="&amp;sweek,data Event,"="&amp;"Read Thread")</f>
        <v>0</v>
      </c>
      <c r="G26" s="41">
        <f>SUMIFS(data count,data name,"="&amp;sname,data week,"="&amp;sweek)-SUMIFS(data count,data name,"="&amp;sname,data week,"="&amp;sweek,data Event,"="&amp;"Read Thread")</f>
        <v>0</v>
      </c>
      <c r="H26" s="41">
        <f>SUMIFS(data count,data name,"="&amp;sname,data week,"="&amp;sweek)-SUMIFS(data count,data name,"="&amp;sname,data week,"="&amp;sweek,data Event,"="&amp;"Read Thread")</f>
        <v>0</v>
      </c>
      <c r="I26" s="41">
        <f>SUMIFS(data count,data name,"="&amp;sname,data week,"="&amp;sweek)-SUMIFS(data count,data name,"="&amp;sname,data week,"="&amp;sweek,data Event,"="&amp;"Read Thread")</f>
        <v>0</v>
      </c>
      <c r="J26" s="41">
        <f>SUMIFS(data count,data name,"="&amp;sname,data week,"="&amp;sweek)-SUMIFS(data count,data name,"="&amp;sname,data week,"="&amp;sweek,data Event,"="&amp;"Read Thread")</f>
        <v>0</v>
      </c>
      <c r="K26" s="41">
        <f>SUMIFS(data count,data name,"="&amp;sname,data week,"="&amp;sweek)-SUMIFS(data count,data name,"="&amp;sname,data week,"="&amp;sweek,data Event,"="&amp;"Read Thread")</f>
        <v>0</v>
      </c>
      <c r="L26" s="41">
        <f>SUMIFS(data count,data name,"="&amp;sname,data week,"="&amp;sweek)-SUMIFS(data count,data name,"="&amp;sname,data week,"="&amp;sweek,data Event,"="&amp;"Read Thread")</f>
        <v>0</v>
      </c>
      <c r="M26" s="41">
        <f>SUMIFS(data count,data name,"="&amp;sname,data week,"="&amp;sweek)-SUMIFS(data count,data name,"="&amp;sname,data week,"="&amp;sweek,data Event,"="&amp;"Read Thread")</f>
        <v>0</v>
      </c>
      <c r="N26" s="41">
        <f>SUMIFS(data count,data name,"="&amp;sname,data week,"="&amp;sweek)-SUMIFS(data count,data name,"="&amp;sname,data week,"="&amp;sweek,data Event,"="&amp;"Read Thread")</f>
        <v>0</v>
      </c>
      <c r="O26" s="41">
        <f>SUMIFS(data count,data name,"="&amp;sname,data week,"="&amp;sweek)-SUMIFS(data count,data name,"="&amp;sname,data week,"="&amp;sweek,data Event,"="&amp;"Read Thread")</f>
        <v>0</v>
      </c>
      <c r="P26" s="41">
        <f>SUMIFS(data count,data name,"="&amp;sname,data week,"="&amp;sweek)-SUMIFS(data count,data name,"="&amp;sname,data week,"="&amp;sweek,data Event,"="&amp;"Read Thread")</f>
        <v>0</v>
      </c>
      <c r="Q26" s="41">
        <f>SUMIFS(data count,data name,"="&amp;sname,data week,"="&amp;sweek)-SUMIFS(data count,data name,"="&amp;sname,data week,"="&amp;sweek,data Event,"="&amp;"Read Thread")</f>
        <v>0</v>
      </c>
      <c r="R26" s="41">
        <f>SUMIFS(data count,data name,"="&amp;sname,data week,"="&amp;sweek)-SUMIFS(data count,data name,"="&amp;sname,data week,"="&amp;sweek,data Event,"="&amp;"Read Thread")</f>
        <v>0</v>
      </c>
      <c r="S26" s="41">
        <f>SUMIFS(data count,data name,"="&amp;sname,data week,"="&amp;sweek)-SUMIFS(data count,data name,"="&amp;sname,data week,"="&amp;sweek,data Event,"="&amp;"Read Thread")</f>
        <v>0</v>
      </c>
      <c r="T26" s="43">
        <f t="shared" ref="T26:T34" si="6">SUM(D26:S26)</f>
        <v>0</v>
      </c>
      <c r="U26" s="345">
        <f>SUMIFS(fweeks 26:26, fweeks fWeek,"&lt;="&amp;fWeek)</f>
        <v>0</v>
      </c>
      <c r="V26" s="345">
        <f>SUMIFS(fweeks 26:26, fweeks fWeek,"&lt;="&amp;fWeek)</f>
        <v>0</v>
      </c>
      <c r="W26" s="345">
        <f>SUMIFS(fweeks 26:26, fweeks fWeek,"&lt;="&amp;fWeek)</f>
        <v>0</v>
      </c>
      <c r="X26" s="345">
        <f>SUMIFS(fweeks 26:26, fweeks fWeek,"&lt;="&amp;fWeek)</f>
        <v>0</v>
      </c>
    </row>
    <row r="27" spans="1:24" x14ac:dyDescent="0.25">
      <c r="A27" s="217">
        <f>Roster!B9</f>
        <v>2</v>
      </c>
      <c r="B27" s="346" t="str">
        <f>Roster!C9</f>
        <v>Alam, Md. Ashraful</v>
      </c>
      <c r="C27" s="346"/>
      <c r="D27" s="337">
        <f>SUMIFS(data count,data name,"="&amp;sname,data week,"="&amp;sweek)-SUMIFS(data count,data name,"="&amp;sname,data week,"="&amp;sweek,data Event,"="&amp;"Read Thread")</f>
        <v>0</v>
      </c>
      <c r="E27" s="338">
        <f>SUMIFS(data count,data name,"="&amp;sname,data week,"="&amp;sweek)-SUMIFS(data count,data name,"="&amp;sname,data week,"="&amp;sweek,data Event,"="&amp;"Read Thread")</f>
        <v>0</v>
      </c>
      <c r="F27" s="338">
        <f>SUMIFS(data count,data name,"="&amp;sname,data week,"="&amp;sweek)-SUMIFS(data count,data name,"="&amp;sname,data week,"="&amp;sweek,data Event,"="&amp;"Read Thread")</f>
        <v>0</v>
      </c>
      <c r="G27" s="338">
        <f>SUMIFS(data count,data name,"="&amp;sname,data week,"="&amp;sweek)-SUMIFS(data count,data name,"="&amp;sname,data week,"="&amp;sweek,data Event,"="&amp;"Read Thread")</f>
        <v>0</v>
      </c>
      <c r="H27" s="338">
        <f>SUMIFS(data count,data name,"="&amp;sname,data week,"="&amp;sweek)-SUMIFS(data count,data name,"="&amp;sname,data week,"="&amp;sweek,data Event,"="&amp;"Read Thread")</f>
        <v>0</v>
      </c>
      <c r="I27" s="338">
        <f>SUMIFS(data count,data name,"="&amp;sname,data week,"="&amp;sweek)-SUMIFS(data count,data name,"="&amp;sname,data week,"="&amp;sweek,data Event,"="&amp;"Read Thread")</f>
        <v>0</v>
      </c>
      <c r="J27" s="338">
        <f>SUMIFS(data count,data name,"="&amp;sname,data week,"="&amp;sweek)-SUMIFS(data count,data name,"="&amp;sname,data week,"="&amp;sweek,data Event,"="&amp;"Read Thread")</f>
        <v>0</v>
      </c>
      <c r="K27" s="338">
        <f>SUMIFS(data count,data name,"="&amp;sname,data week,"="&amp;sweek)-SUMIFS(data count,data name,"="&amp;sname,data week,"="&amp;sweek,data Event,"="&amp;"Read Thread")</f>
        <v>0</v>
      </c>
      <c r="L27" s="338">
        <f>SUMIFS(data count,data name,"="&amp;sname,data week,"="&amp;sweek)-SUMIFS(data count,data name,"="&amp;sname,data week,"="&amp;sweek,data Event,"="&amp;"Read Thread")</f>
        <v>0</v>
      </c>
      <c r="M27" s="338">
        <f>SUMIFS(data count,data name,"="&amp;sname,data week,"="&amp;sweek)-SUMIFS(data count,data name,"="&amp;sname,data week,"="&amp;sweek,data Event,"="&amp;"Read Thread")</f>
        <v>0</v>
      </c>
      <c r="N27" s="338">
        <f>SUMIFS(data count,data name,"="&amp;sname,data week,"="&amp;sweek)-SUMIFS(data count,data name,"="&amp;sname,data week,"="&amp;sweek,data Event,"="&amp;"Read Thread")</f>
        <v>0</v>
      </c>
      <c r="O27" s="338">
        <f>SUMIFS(data count,data name,"="&amp;sname,data week,"="&amp;sweek)-SUMIFS(data count,data name,"="&amp;sname,data week,"="&amp;sweek,data Event,"="&amp;"Read Thread")</f>
        <v>0</v>
      </c>
      <c r="P27" s="338">
        <f>SUMIFS(data count,data name,"="&amp;sname,data week,"="&amp;sweek)-SUMIFS(data count,data name,"="&amp;sname,data week,"="&amp;sweek,data Event,"="&amp;"Read Thread")</f>
        <v>0</v>
      </c>
      <c r="Q27" s="338">
        <f>SUMIFS(data count,data name,"="&amp;sname,data week,"="&amp;sweek)-SUMIFS(data count,data name,"="&amp;sname,data week,"="&amp;sweek,data Event,"="&amp;"Read Thread")</f>
        <v>0</v>
      </c>
      <c r="R27" s="338">
        <f>SUMIFS(data count,data name,"="&amp;sname,data week,"="&amp;sweek)-SUMIFS(data count,data name,"="&amp;sname,data week,"="&amp;sweek,data Event,"="&amp;"Read Thread")</f>
        <v>0</v>
      </c>
      <c r="S27" s="338">
        <f>SUMIFS(data count,data name,"="&amp;sname,data week,"="&amp;sweek)-SUMIFS(data count,data name,"="&amp;sname,data week,"="&amp;sweek,data Event,"="&amp;"Read Thread")</f>
        <v>0</v>
      </c>
      <c r="T27" s="336">
        <f t="shared" si="6"/>
        <v>0</v>
      </c>
      <c r="U27" s="336">
        <f>SUMIFS(fweeks 27:27, fweeks fWeek,"&lt;="&amp;fWeek)</f>
        <v>0</v>
      </c>
      <c r="V27" s="336">
        <f>SUMIFS(fweeks 27:27, fweeks fWeek,"&lt;="&amp;fWeek)</f>
        <v>0</v>
      </c>
      <c r="W27" s="336">
        <f>SUMIFS(fweeks 27:27, fweeks fWeek,"&lt;="&amp;fWeek)</f>
        <v>0</v>
      </c>
      <c r="X27" s="336">
        <f>SUMIFS(fweeks 27:27, fweeks fWeek,"&lt;="&amp;fWeek)</f>
        <v>0</v>
      </c>
    </row>
    <row r="28" spans="1:24" x14ac:dyDescent="0.25">
      <c r="A28" s="217">
        <f>Roster!B10</f>
        <v>3</v>
      </c>
      <c r="B28" s="346" t="str">
        <f>Roster!C10</f>
        <v>Bold, Khasan</v>
      </c>
      <c r="C28" s="346"/>
      <c r="D28" s="337">
        <f>SUMIFS(data count,data name,"="&amp;sname,data week,"="&amp;sweek)-SUMIFS(data count,data name,"="&amp;sname,data week,"="&amp;sweek,data Event,"="&amp;"Read Thread")</f>
        <v>0</v>
      </c>
      <c r="E28" s="338">
        <f>SUMIFS(data count,data name,"="&amp;sname,data week,"="&amp;sweek)-SUMIFS(data count,data name,"="&amp;sname,data week,"="&amp;sweek,data Event,"="&amp;"Read Thread")</f>
        <v>0</v>
      </c>
      <c r="F28" s="338">
        <f>SUMIFS(data count,data name,"="&amp;sname,data week,"="&amp;sweek)-SUMIFS(data count,data name,"="&amp;sname,data week,"="&amp;sweek,data Event,"="&amp;"Read Thread")</f>
        <v>0</v>
      </c>
      <c r="G28" s="338">
        <f>SUMIFS(data count,data name,"="&amp;sname,data week,"="&amp;sweek)-SUMIFS(data count,data name,"="&amp;sname,data week,"="&amp;sweek,data Event,"="&amp;"Read Thread")</f>
        <v>0</v>
      </c>
      <c r="H28" s="338">
        <f>SUMIFS(data count,data name,"="&amp;sname,data week,"="&amp;sweek)-SUMIFS(data count,data name,"="&amp;sname,data week,"="&amp;sweek,data Event,"="&amp;"Read Thread")</f>
        <v>0</v>
      </c>
      <c r="I28" s="338">
        <f>SUMIFS(data count,data name,"="&amp;sname,data week,"="&amp;sweek)-SUMIFS(data count,data name,"="&amp;sname,data week,"="&amp;sweek,data Event,"="&amp;"Read Thread")</f>
        <v>0</v>
      </c>
      <c r="J28" s="338">
        <f>SUMIFS(data count,data name,"="&amp;sname,data week,"="&amp;sweek)-SUMIFS(data count,data name,"="&amp;sname,data week,"="&amp;sweek,data Event,"="&amp;"Read Thread")</f>
        <v>0</v>
      </c>
      <c r="K28" s="338">
        <f>SUMIFS(data count,data name,"="&amp;sname,data week,"="&amp;sweek)-SUMIFS(data count,data name,"="&amp;sname,data week,"="&amp;sweek,data Event,"="&amp;"Read Thread")</f>
        <v>0</v>
      </c>
      <c r="L28" s="338">
        <f>SUMIFS(data count,data name,"="&amp;sname,data week,"="&amp;sweek)-SUMIFS(data count,data name,"="&amp;sname,data week,"="&amp;sweek,data Event,"="&amp;"Read Thread")</f>
        <v>0</v>
      </c>
      <c r="M28" s="338">
        <f>SUMIFS(data count,data name,"="&amp;sname,data week,"="&amp;sweek)-SUMIFS(data count,data name,"="&amp;sname,data week,"="&amp;sweek,data Event,"="&amp;"Read Thread")</f>
        <v>0</v>
      </c>
      <c r="N28" s="338">
        <f>SUMIFS(data count,data name,"="&amp;sname,data week,"="&amp;sweek)-SUMIFS(data count,data name,"="&amp;sname,data week,"="&amp;sweek,data Event,"="&amp;"Read Thread")</f>
        <v>0</v>
      </c>
      <c r="O28" s="338">
        <f>SUMIFS(data count,data name,"="&amp;sname,data week,"="&amp;sweek)-SUMIFS(data count,data name,"="&amp;sname,data week,"="&amp;sweek,data Event,"="&amp;"Read Thread")</f>
        <v>0</v>
      </c>
      <c r="P28" s="338">
        <f>SUMIFS(data count,data name,"="&amp;sname,data week,"="&amp;sweek)-SUMIFS(data count,data name,"="&amp;sname,data week,"="&amp;sweek,data Event,"="&amp;"Read Thread")</f>
        <v>0</v>
      </c>
      <c r="Q28" s="338">
        <f>SUMIFS(data count,data name,"="&amp;sname,data week,"="&amp;sweek)-SUMIFS(data count,data name,"="&amp;sname,data week,"="&amp;sweek,data Event,"="&amp;"Read Thread")</f>
        <v>0</v>
      </c>
      <c r="R28" s="338">
        <f>SUMIFS(data count,data name,"="&amp;sname,data week,"="&amp;sweek)-SUMIFS(data count,data name,"="&amp;sname,data week,"="&amp;sweek,data Event,"="&amp;"Read Thread")</f>
        <v>0</v>
      </c>
      <c r="S28" s="338">
        <f>SUMIFS(data count,data name,"="&amp;sname,data week,"="&amp;sweek)-SUMIFS(data count,data name,"="&amp;sname,data week,"="&amp;sweek,data Event,"="&amp;"Read Thread")</f>
        <v>0</v>
      </c>
      <c r="T28" s="336">
        <f t="shared" si="6"/>
        <v>0</v>
      </c>
      <c r="U28" s="336">
        <f>SUMIFS(fweeks 28:28, fweeks fWeek,"&lt;="&amp;fWeek)</f>
        <v>0</v>
      </c>
      <c r="V28" s="336">
        <f>SUMIFS(fweeks 28:28, fweeks fWeek,"&lt;="&amp;fWeek)</f>
        <v>0</v>
      </c>
      <c r="W28" s="336">
        <f>SUMIFS(fweeks 28:28, fweeks fWeek,"&lt;="&amp;fWeek)</f>
        <v>0</v>
      </c>
      <c r="X28" s="336">
        <f>SUMIFS(fweeks 28:28, fweeks fWeek,"&lt;="&amp;fWeek)</f>
        <v>0</v>
      </c>
    </row>
    <row r="29" spans="1:24" x14ac:dyDescent="0.25">
      <c r="A29" s="217">
        <f>Roster!B11</f>
        <v>4</v>
      </c>
      <c r="B29" s="346" t="str">
        <f>Roster!C11</f>
        <v>Burentogtokh, Batbaatar</v>
      </c>
      <c r="C29" s="346"/>
      <c r="D29" s="337">
        <f>SUMIFS(data count,data name,"="&amp;sname,data week,"="&amp;sweek)-SUMIFS(data count,data name,"="&amp;sname,data week,"="&amp;sweek,data Event,"="&amp;"Read Thread")</f>
        <v>0</v>
      </c>
      <c r="E29" s="338">
        <f>SUMIFS(data count,data name,"="&amp;sname,data week,"="&amp;sweek)-SUMIFS(data count,data name,"="&amp;sname,data week,"="&amp;sweek,data Event,"="&amp;"Read Thread")</f>
        <v>0</v>
      </c>
      <c r="F29" s="338">
        <f>SUMIFS(data count,data name,"="&amp;sname,data week,"="&amp;sweek)-SUMIFS(data count,data name,"="&amp;sname,data week,"="&amp;sweek,data Event,"="&amp;"Read Thread")</f>
        <v>0</v>
      </c>
      <c r="G29" s="338">
        <f>SUMIFS(data count,data name,"="&amp;sname,data week,"="&amp;sweek)-SUMIFS(data count,data name,"="&amp;sname,data week,"="&amp;sweek,data Event,"="&amp;"Read Thread")</f>
        <v>0</v>
      </c>
      <c r="H29" s="338">
        <f>SUMIFS(data count,data name,"="&amp;sname,data week,"="&amp;sweek)-SUMIFS(data count,data name,"="&amp;sname,data week,"="&amp;sweek,data Event,"="&amp;"Read Thread")</f>
        <v>0</v>
      </c>
      <c r="I29" s="338">
        <f>SUMIFS(data count,data name,"="&amp;sname,data week,"="&amp;sweek)-SUMIFS(data count,data name,"="&amp;sname,data week,"="&amp;sweek,data Event,"="&amp;"Read Thread")</f>
        <v>0</v>
      </c>
      <c r="J29" s="338">
        <f>SUMIFS(data count,data name,"="&amp;sname,data week,"="&amp;sweek)-SUMIFS(data count,data name,"="&amp;sname,data week,"="&amp;sweek,data Event,"="&amp;"Read Thread")</f>
        <v>0</v>
      </c>
      <c r="K29" s="338">
        <f>SUMIFS(data count,data name,"="&amp;sname,data week,"="&amp;sweek)-SUMIFS(data count,data name,"="&amp;sname,data week,"="&amp;sweek,data Event,"="&amp;"Read Thread")</f>
        <v>0</v>
      </c>
      <c r="L29" s="338">
        <f>SUMIFS(data count,data name,"="&amp;sname,data week,"="&amp;sweek)-SUMIFS(data count,data name,"="&amp;sname,data week,"="&amp;sweek,data Event,"="&amp;"Read Thread")</f>
        <v>0</v>
      </c>
      <c r="M29" s="338">
        <f>SUMIFS(data count,data name,"="&amp;sname,data week,"="&amp;sweek)-SUMIFS(data count,data name,"="&amp;sname,data week,"="&amp;sweek,data Event,"="&amp;"Read Thread")</f>
        <v>0</v>
      </c>
      <c r="N29" s="338">
        <f>SUMIFS(data count,data name,"="&amp;sname,data week,"="&amp;sweek)-SUMIFS(data count,data name,"="&amp;sname,data week,"="&amp;sweek,data Event,"="&amp;"Read Thread")</f>
        <v>0</v>
      </c>
      <c r="O29" s="338">
        <f>SUMIFS(data count,data name,"="&amp;sname,data week,"="&amp;sweek)-SUMIFS(data count,data name,"="&amp;sname,data week,"="&amp;sweek,data Event,"="&amp;"Read Thread")</f>
        <v>0</v>
      </c>
      <c r="P29" s="338">
        <f>SUMIFS(data count,data name,"="&amp;sname,data week,"="&amp;sweek)-SUMIFS(data count,data name,"="&amp;sname,data week,"="&amp;sweek,data Event,"="&amp;"Read Thread")</f>
        <v>0</v>
      </c>
      <c r="Q29" s="338">
        <f>SUMIFS(data count,data name,"="&amp;sname,data week,"="&amp;sweek)-SUMIFS(data count,data name,"="&amp;sname,data week,"="&amp;sweek,data Event,"="&amp;"Read Thread")</f>
        <v>0</v>
      </c>
      <c r="R29" s="338">
        <f>SUMIFS(data count,data name,"="&amp;sname,data week,"="&amp;sweek)-SUMIFS(data count,data name,"="&amp;sname,data week,"="&amp;sweek,data Event,"="&amp;"Read Thread")</f>
        <v>0</v>
      </c>
      <c r="S29" s="338">
        <f>SUMIFS(data count,data name,"="&amp;sname,data week,"="&amp;sweek)-SUMIFS(data count,data name,"="&amp;sname,data week,"="&amp;sweek,data Event,"="&amp;"Read Thread")</f>
        <v>0</v>
      </c>
      <c r="T29" s="336">
        <f t="shared" si="6"/>
        <v>0</v>
      </c>
      <c r="U29" s="336">
        <f>SUMIFS(fweeks 29:29, fweeks fWeek,"&lt;="&amp;fWeek)</f>
        <v>0</v>
      </c>
      <c r="V29" s="336">
        <f>SUMIFS(fweeks 29:29, fweeks fWeek,"&lt;="&amp;fWeek)</f>
        <v>0</v>
      </c>
      <c r="W29" s="336">
        <f>SUMIFS(fweeks 29:29, fweeks fWeek,"&lt;="&amp;fWeek)</f>
        <v>0</v>
      </c>
      <c r="X29" s="336">
        <f>SUMIFS(fweeks 29:29, fweeks fWeek,"&lt;="&amp;fWeek)</f>
        <v>0</v>
      </c>
    </row>
    <row r="30" spans="1:24" x14ac:dyDescent="0.25">
      <c r="A30" s="217">
        <f>Roster!B12</f>
        <v>5</v>
      </c>
      <c r="B30" s="346" t="str">
        <f>Roster!C12</f>
        <v>Demesie, Elias Debebe</v>
      </c>
      <c r="C30" s="346"/>
      <c r="D30" s="337">
        <f>SUMIFS(data count,data name,"="&amp;sname,data week,"="&amp;sweek)-SUMIFS(data count,data name,"="&amp;sname,data week,"="&amp;sweek,data Event,"="&amp;"Read Thread")</f>
        <v>0</v>
      </c>
      <c r="E30" s="338">
        <f>SUMIFS(data count,data name,"="&amp;sname,data week,"="&amp;sweek)-SUMIFS(data count,data name,"="&amp;sname,data week,"="&amp;sweek,data Event,"="&amp;"Read Thread")</f>
        <v>0</v>
      </c>
      <c r="F30" s="338">
        <f>SUMIFS(data count,data name,"="&amp;sname,data week,"="&amp;sweek)-SUMIFS(data count,data name,"="&amp;sname,data week,"="&amp;sweek,data Event,"="&amp;"Read Thread")</f>
        <v>0</v>
      </c>
      <c r="G30" s="338">
        <f>SUMIFS(data count,data name,"="&amp;sname,data week,"="&amp;sweek)-SUMIFS(data count,data name,"="&amp;sname,data week,"="&amp;sweek,data Event,"="&amp;"Read Thread")</f>
        <v>0</v>
      </c>
      <c r="H30" s="338">
        <f>SUMIFS(data count,data name,"="&amp;sname,data week,"="&amp;sweek)-SUMIFS(data count,data name,"="&amp;sname,data week,"="&amp;sweek,data Event,"="&amp;"Read Thread")</f>
        <v>0</v>
      </c>
      <c r="I30" s="338">
        <f>SUMIFS(data count,data name,"="&amp;sname,data week,"="&amp;sweek)-SUMIFS(data count,data name,"="&amp;sname,data week,"="&amp;sweek,data Event,"="&amp;"Read Thread")</f>
        <v>0</v>
      </c>
      <c r="J30" s="338">
        <f>SUMIFS(data count,data name,"="&amp;sname,data week,"="&amp;sweek)-SUMIFS(data count,data name,"="&amp;sname,data week,"="&amp;sweek,data Event,"="&amp;"Read Thread")</f>
        <v>0</v>
      </c>
      <c r="K30" s="338">
        <f>SUMIFS(data count,data name,"="&amp;sname,data week,"="&amp;sweek)-SUMIFS(data count,data name,"="&amp;sname,data week,"="&amp;sweek,data Event,"="&amp;"Read Thread")</f>
        <v>0</v>
      </c>
      <c r="L30" s="338">
        <f>SUMIFS(data count,data name,"="&amp;sname,data week,"="&amp;sweek)-SUMIFS(data count,data name,"="&amp;sname,data week,"="&amp;sweek,data Event,"="&amp;"Read Thread")</f>
        <v>0</v>
      </c>
      <c r="M30" s="338">
        <f>SUMIFS(data count,data name,"="&amp;sname,data week,"="&amp;sweek)-SUMIFS(data count,data name,"="&amp;sname,data week,"="&amp;sweek,data Event,"="&amp;"Read Thread")</f>
        <v>0</v>
      </c>
      <c r="N30" s="338">
        <f>SUMIFS(data count,data name,"="&amp;sname,data week,"="&amp;sweek)-SUMIFS(data count,data name,"="&amp;sname,data week,"="&amp;sweek,data Event,"="&amp;"Read Thread")</f>
        <v>0</v>
      </c>
      <c r="O30" s="338">
        <f>SUMIFS(data count,data name,"="&amp;sname,data week,"="&amp;sweek)-SUMIFS(data count,data name,"="&amp;sname,data week,"="&amp;sweek,data Event,"="&amp;"Read Thread")</f>
        <v>0</v>
      </c>
      <c r="P30" s="338">
        <f>SUMIFS(data count,data name,"="&amp;sname,data week,"="&amp;sweek)-SUMIFS(data count,data name,"="&amp;sname,data week,"="&amp;sweek,data Event,"="&amp;"Read Thread")</f>
        <v>0</v>
      </c>
      <c r="Q30" s="338">
        <f>SUMIFS(data count,data name,"="&amp;sname,data week,"="&amp;sweek)-SUMIFS(data count,data name,"="&amp;sname,data week,"="&amp;sweek,data Event,"="&amp;"Read Thread")</f>
        <v>0</v>
      </c>
      <c r="R30" s="338">
        <f>SUMIFS(data count,data name,"="&amp;sname,data week,"="&amp;sweek)-SUMIFS(data count,data name,"="&amp;sname,data week,"="&amp;sweek,data Event,"="&amp;"Read Thread")</f>
        <v>0</v>
      </c>
      <c r="S30" s="338">
        <f>SUMIFS(data count,data name,"="&amp;sname,data week,"="&amp;sweek)-SUMIFS(data count,data name,"="&amp;sname,data week,"="&amp;sweek,data Event,"="&amp;"Read Thread")</f>
        <v>0</v>
      </c>
      <c r="T30" s="336">
        <f t="shared" si="6"/>
        <v>0</v>
      </c>
      <c r="U30" s="336">
        <f>SUMIFS(fweeks 30:30, fweeks fWeek,"&lt;="&amp;fWeek)</f>
        <v>0</v>
      </c>
      <c r="V30" s="336">
        <f>SUMIFS(fweeks 30:30, fweeks fWeek,"&lt;="&amp;fWeek)</f>
        <v>0</v>
      </c>
      <c r="W30" s="336">
        <f>SUMIFS(fweeks 30:30, fweeks fWeek,"&lt;="&amp;fWeek)</f>
        <v>0</v>
      </c>
      <c r="X30" s="336">
        <f>SUMIFS(fweeks 30:30, fweeks fWeek,"&lt;="&amp;fWeek)</f>
        <v>0</v>
      </c>
    </row>
    <row r="31" spans="1:24" x14ac:dyDescent="0.25">
      <c r="A31" s="217">
        <f>Roster!B13</f>
        <v>6</v>
      </c>
      <c r="B31" s="346" t="str">
        <f>Roster!C13</f>
        <v>Du, Yuexin</v>
      </c>
      <c r="C31" s="346"/>
      <c r="D31" s="337">
        <f>SUMIFS(data count,data name,"="&amp;sname,data week,"="&amp;sweek)-SUMIFS(data count,data name,"="&amp;sname,data week,"="&amp;sweek,data Event,"="&amp;"Read Thread")</f>
        <v>0</v>
      </c>
      <c r="E31" s="338">
        <f>SUMIFS(data count,data name,"="&amp;sname,data week,"="&amp;sweek)-SUMIFS(data count,data name,"="&amp;sname,data week,"="&amp;sweek,data Event,"="&amp;"Read Thread")</f>
        <v>0</v>
      </c>
      <c r="F31" s="338">
        <f>SUMIFS(data count,data name,"="&amp;sname,data week,"="&amp;sweek)-SUMIFS(data count,data name,"="&amp;sname,data week,"="&amp;sweek,data Event,"="&amp;"Read Thread")</f>
        <v>0</v>
      </c>
      <c r="G31" s="338">
        <f>SUMIFS(data count,data name,"="&amp;sname,data week,"="&amp;sweek)-SUMIFS(data count,data name,"="&amp;sname,data week,"="&amp;sweek,data Event,"="&amp;"Read Thread")</f>
        <v>0</v>
      </c>
      <c r="H31" s="338">
        <f>SUMIFS(data count,data name,"="&amp;sname,data week,"="&amp;sweek)-SUMIFS(data count,data name,"="&amp;sname,data week,"="&amp;sweek,data Event,"="&amp;"Read Thread")</f>
        <v>0</v>
      </c>
      <c r="I31" s="338">
        <f>SUMIFS(data count,data name,"="&amp;sname,data week,"="&amp;sweek)-SUMIFS(data count,data name,"="&amp;sname,data week,"="&amp;sweek,data Event,"="&amp;"Read Thread")</f>
        <v>0</v>
      </c>
      <c r="J31" s="338">
        <f>SUMIFS(data count,data name,"="&amp;sname,data week,"="&amp;sweek)-SUMIFS(data count,data name,"="&amp;sname,data week,"="&amp;sweek,data Event,"="&amp;"Read Thread")</f>
        <v>0</v>
      </c>
      <c r="K31" s="338">
        <f>SUMIFS(data count,data name,"="&amp;sname,data week,"="&amp;sweek)-SUMIFS(data count,data name,"="&amp;sname,data week,"="&amp;sweek,data Event,"="&amp;"Read Thread")</f>
        <v>0</v>
      </c>
      <c r="L31" s="338">
        <f>SUMIFS(data count,data name,"="&amp;sname,data week,"="&amp;sweek)-SUMIFS(data count,data name,"="&amp;sname,data week,"="&amp;sweek,data Event,"="&amp;"Read Thread")</f>
        <v>0</v>
      </c>
      <c r="M31" s="338">
        <f>SUMIFS(data count,data name,"="&amp;sname,data week,"="&amp;sweek)-SUMIFS(data count,data name,"="&amp;sname,data week,"="&amp;sweek,data Event,"="&amp;"Read Thread")</f>
        <v>0</v>
      </c>
      <c r="N31" s="338">
        <f>SUMIFS(data count,data name,"="&amp;sname,data week,"="&amp;sweek)-SUMIFS(data count,data name,"="&amp;sname,data week,"="&amp;sweek,data Event,"="&amp;"Read Thread")</f>
        <v>0</v>
      </c>
      <c r="O31" s="338">
        <f>SUMIFS(data count,data name,"="&amp;sname,data week,"="&amp;sweek)-SUMIFS(data count,data name,"="&amp;sname,data week,"="&amp;sweek,data Event,"="&amp;"Read Thread")</f>
        <v>0</v>
      </c>
      <c r="P31" s="338">
        <f>SUMIFS(data count,data name,"="&amp;sname,data week,"="&amp;sweek)-SUMIFS(data count,data name,"="&amp;sname,data week,"="&amp;sweek,data Event,"="&amp;"Read Thread")</f>
        <v>0</v>
      </c>
      <c r="Q31" s="338">
        <f>SUMIFS(data count,data name,"="&amp;sname,data week,"="&amp;sweek)-SUMIFS(data count,data name,"="&amp;sname,data week,"="&amp;sweek,data Event,"="&amp;"Read Thread")</f>
        <v>0</v>
      </c>
      <c r="R31" s="338">
        <f>SUMIFS(data count,data name,"="&amp;sname,data week,"="&amp;sweek)-SUMIFS(data count,data name,"="&amp;sname,data week,"="&amp;sweek,data Event,"="&amp;"Read Thread")</f>
        <v>0</v>
      </c>
      <c r="S31" s="338">
        <f>SUMIFS(data count,data name,"="&amp;sname,data week,"="&amp;sweek)-SUMIFS(data count,data name,"="&amp;sname,data week,"="&amp;sweek,data Event,"="&amp;"Read Thread")</f>
        <v>0</v>
      </c>
      <c r="T31" s="336">
        <f t="shared" si="6"/>
        <v>0</v>
      </c>
      <c r="U31" s="336">
        <f>SUMIFS(fweeks 31:31, fweeks fWeek,"&lt;="&amp;fWeek)</f>
        <v>0</v>
      </c>
      <c r="V31" s="336">
        <f>SUMIFS(fweeks 31:31, fweeks fWeek,"&lt;="&amp;fWeek)</f>
        <v>0</v>
      </c>
      <c r="W31" s="336">
        <f>SUMIFS(fweeks 31:31, fweeks fWeek,"&lt;="&amp;fWeek)</f>
        <v>0</v>
      </c>
      <c r="X31" s="336">
        <f>SUMIFS(fweeks 31:31, fweeks fWeek,"&lt;="&amp;fWeek)</f>
        <v>0</v>
      </c>
    </row>
    <row r="32" spans="1:24" x14ac:dyDescent="0.25">
      <c r="A32" s="217">
        <f>Roster!B14</f>
        <v>7</v>
      </c>
      <c r="B32" s="346" t="str">
        <f>Roster!C14</f>
        <v>El Gazzar, Abd El Hamid</v>
      </c>
      <c r="C32" s="346"/>
      <c r="D32" s="337">
        <f>SUMIFS(data count,data name,"="&amp;sname,data week,"="&amp;sweek)-SUMIFS(data count,data name,"="&amp;sname,data week,"="&amp;sweek,data Event,"="&amp;"Read Thread")</f>
        <v>0</v>
      </c>
      <c r="E32" s="338">
        <f>SUMIFS(data count,data name,"="&amp;sname,data week,"="&amp;sweek)-SUMIFS(data count,data name,"="&amp;sname,data week,"="&amp;sweek,data Event,"="&amp;"Read Thread")</f>
        <v>0</v>
      </c>
      <c r="F32" s="338">
        <f>SUMIFS(data count,data name,"="&amp;sname,data week,"="&amp;sweek)-SUMIFS(data count,data name,"="&amp;sname,data week,"="&amp;sweek,data Event,"="&amp;"Read Thread")</f>
        <v>0</v>
      </c>
      <c r="G32" s="338">
        <f>SUMIFS(data count,data name,"="&amp;sname,data week,"="&amp;sweek)-SUMIFS(data count,data name,"="&amp;sname,data week,"="&amp;sweek,data Event,"="&amp;"Read Thread")</f>
        <v>0</v>
      </c>
      <c r="H32" s="338">
        <f>SUMIFS(data count,data name,"="&amp;sname,data week,"="&amp;sweek)-SUMIFS(data count,data name,"="&amp;sname,data week,"="&amp;sweek,data Event,"="&amp;"Read Thread")</f>
        <v>0</v>
      </c>
      <c r="I32" s="338">
        <f>SUMIFS(data count,data name,"="&amp;sname,data week,"="&amp;sweek)-SUMIFS(data count,data name,"="&amp;sname,data week,"="&amp;sweek,data Event,"="&amp;"Read Thread")</f>
        <v>0</v>
      </c>
      <c r="J32" s="338">
        <f>SUMIFS(data count,data name,"="&amp;sname,data week,"="&amp;sweek)-SUMIFS(data count,data name,"="&amp;sname,data week,"="&amp;sweek,data Event,"="&amp;"Read Thread")</f>
        <v>0</v>
      </c>
      <c r="K32" s="338">
        <f>SUMIFS(data count,data name,"="&amp;sname,data week,"="&amp;sweek)-SUMIFS(data count,data name,"="&amp;sname,data week,"="&amp;sweek,data Event,"="&amp;"Read Thread")</f>
        <v>0</v>
      </c>
      <c r="L32" s="338">
        <f>SUMIFS(data count,data name,"="&amp;sname,data week,"="&amp;sweek)-SUMIFS(data count,data name,"="&amp;sname,data week,"="&amp;sweek,data Event,"="&amp;"Read Thread")</f>
        <v>0</v>
      </c>
      <c r="M32" s="338">
        <f>SUMIFS(data count,data name,"="&amp;sname,data week,"="&amp;sweek)-SUMIFS(data count,data name,"="&amp;sname,data week,"="&amp;sweek,data Event,"="&amp;"Read Thread")</f>
        <v>0</v>
      </c>
      <c r="N32" s="338">
        <f>SUMIFS(data count,data name,"="&amp;sname,data week,"="&amp;sweek)-SUMIFS(data count,data name,"="&amp;sname,data week,"="&amp;sweek,data Event,"="&amp;"Read Thread")</f>
        <v>0</v>
      </c>
      <c r="O32" s="338">
        <f>SUMIFS(data count,data name,"="&amp;sname,data week,"="&amp;sweek)-SUMIFS(data count,data name,"="&amp;sname,data week,"="&amp;sweek,data Event,"="&amp;"Read Thread")</f>
        <v>0</v>
      </c>
      <c r="P32" s="338">
        <f>SUMIFS(data count,data name,"="&amp;sname,data week,"="&amp;sweek)-SUMIFS(data count,data name,"="&amp;sname,data week,"="&amp;sweek,data Event,"="&amp;"Read Thread")</f>
        <v>0</v>
      </c>
      <c r="Q32" s="338">
        <f>SUMIFS(data count,data name,"="&amp;sname,data week,"="&amp;sweek)-SUMIFS(data count,data name,"="&amp;sname,data week,"="&amp;sweek,data Event,"="&amp;"Read Thread")</f>
        <v>0</v>
      </c>
      <c r="R32" s="338">
        <f>SUMIFS(data count,data name,"="&amp;sname,data week,"="&amp;sweek)-SUMIFS(data count,data name,"="&amp;sname,data week,"="&amp;sweek,data Event,"="&amp;"Read Thread")</f>
        <v>0</v>
      </c>
      <c r="S32" s="338">
        <f>SUMIFS(data count,data name,"="&amp;sname,data week,"="&amp;sweek)-SUMIFS(data count,data name,"="&amp;sname,data week,"="&amp;sweek,data Event,"="&amp;"Read Thread")</f>
        <v>0</v>
      </c>
      <c r="T32" s="336">
        <f t="shared" si="6"/>
        <v>0</v>
      </c>
      <c r="U32" s="336">
        <f>SUMIFS(fweeks 32:32, fweeks fWeek,"&lt;="&amp;fWeek)</f>
        <v>0</v>
      </c>
      <c r="V32" s="336">
        <f>SUMIFS(fweeks 32:32, fweeks fWeek,"&lt;="&amp;fWeek)</f>
        <v>0</v>
      </c>
      <c r="W32" s="336">
        <f>SUMIFS(fweeks 32:32, fweeks fWeek,"&lt;="&amp;fWeek)</f>
        <v>0</v>
      </c>
      <c r="X32" s="336">
        <f>SUMIFS(fweeks 32:32, fweeks fWeek,"&lt;="&amp;fWeek)</f>
        <v>0</v>
      </c>
    </row>
    <row r="33" spans="1:24" x14ac:dyDescent="0.25">
      <c r="A33" s="217">
        <f>Roster!B15</f>
        <v>8</v>
      </c>
      <c r="B33" s="346" t="str">
        <f>Roster!C15</f>
        <v>Elbakry, Abdelrahman</v>
      </c>
      <c r="C33" s="346"/>
      <c r="D33" s="337">
        <f>SUMIFS(data count,data name,"="&amp;sname,data week,"="&amp;sweek)-SUMIFS(data count,data name,"="&amp;sname,data week,"="&amp;sweek,data Event,"="&amp;"Read Thread")</f>
        <v>0</v>
      </c>
      <c r="E33" s="338">
        <f>SUMIFS(data count,data name,"="&amp;sname,data week,"="&amp;sweek)-SUMIFS(data count,data name,"="&amp;sname,data week,"="&amp;sweek,data Event,"="&amp;"Read Thread")</f>
        <v>0</v>
      </c>
      <c r="F33" s="338">
        <f>SUMIFS(data count,data name,"="&amp;sname,data week,"="&amp;sweek)-SUMIFS(data count,data name,"="&amp;sname,data week,"="&amp;sweek,data Event,"="&amp;"Read Thread")</f>
        <v>0</v>
      </c>
      <c r="G33" s="338">
        <f>SUMIFS(data count,data name,"="&amp;sname,data week,"="&amp;sweek)-SUMIFS(data count,data name,"="&amp;sname,data week,"="&amp;sweek,data Event,"="&amp;"Read Thread")</f>
        <v>0</v>
      </c>
      <c r="H33" s="338">
        <f>SUMIFS(data count,data name,"="&amp;sname,data week,"="&amp;sweek)-SUMIFS(data count,data name,"="&amp;sname,data week,"="&amp;sweek,data Event,"="&amp;"Read Thread")</f>
        <v>0</v>
      </c>
      <c r="I33" s="338">
        <f>SUMIFS(data count,data name,"="&amp;sname,data week,"="&amp;sweek)-SUMIFS(data count,data name,"="&amp;sname,data week,"="&amp;sweek,data Event,"="&amp;"Read Thread")</f>
        <v>0</v>
      </c>
      <c r="J33" s="338">
        <f>SUMIFS(data count,data name,"="&amp;sname,data week,"="&amp;sweek)-SUMIFS(data count,data name,"="&amp;sname,data week,"="&amp;sweek,data Event,"="&amp;"Read Thread")</f>
        <v>0</v>
      </c>
      <c r="K33" s="338">
        <f>SUMIFS(data count,data name,"="&amp;sname,data week,"="&amp;sweek)-SUMIFS(data count,data name,"="&amp;sname,data week,"="&amp;sweek,data Event,"="&amp;"Read Thread")</f>
        <v>0</v>
      </c>
      <c r="L33" s="338">
        <f>SUMIFS(data count,data name,"="&amp;sname,data week,"="&amp;sweek)-SUMIFS(data count,data name,"="&amp;sname,data week,"="&amp;sweek,data Event,"="&amp;"Read Thread")</f>
        <v>0</v>
      </c>
      <c r="M33" s="338">
        <f>SUMIFS(data count,data name,"="&amp;sname,data week,"="&amp;sweek)-SUMIFS(data count,data name,"="&amp;sname,data week,"="&amp;sweek,data Event,"="&amp;"Read Thread")</f>
        <v>0</v>
      </c>
      <c r="N33" s="338">
        <f>SUMIFS(data count,data name,"="&amp;sname,data week,"="&amp;sweek)-SUMIFS(data count,data name,"="&amp;sname,data week,"="&amp;sweek,data Event,"="&amp;"Read Thread")</f>
        <v>0</v>
      </c>
      <c r="O33" s="338">
        <f>SUMIFS(data count,data name,"="&amp;sname,data week,"="&amp;sweek)-SUMIFS(data count,data name,"="&amp;sname,data week,"="&amp;sweek,data Event,"="&amp;"Read Thread")</f>
        <v>0</v>
      </c>
      <c r="P33" s="338">
        <f>SUMIFS(data count,data name,"="&amp;sname,data week,"="&amp;sweek)-SUMIFS(data count,data name,"="&amp;sname,data week,"="&amp;sweek,data Event,"="&amp;"Read Thread")</f>
        <v>0</v>
      </c>
      <c r="Q33" s="338">
        <f>SUMIFS(data count,data name,"="&amp;sname,data week,"="&amp;sweek)-SUMIFS(data count,data name,"="&amp;sname,data week,"="&amp;sweek,data Event,"="&amp;"Read Thread")</f>
        <v>0</v>
      </c>
      <c r="R33" s="338">
        <f>SUMIFS(data count,data name,"="&amp;sname,data week,"="&amp;sweek)-SUMIFS(data count,data name,"="&amp;sname,data week,"="&amp;sweek,data Event,"="&amp;"Read Thread")</f>
        <v>0</v>
      </c>
      <c r="S33" s="338">
        <f>SUMIFS(data count,data name,"="&amp;sname,data week,"="&amp;sweek)-SUMIFS(data count,data name,"="&amp;sname,data week,"="&amp;sweek,data Event,"="&amp;"Read Thread")</f>
        <v>0</v>
      </c>
      <c r="T33" s="336">
        <f t="shared" si="6"/>
        <v>0</v>
      </c>
      <c r="U33" s="336">
        <f>SUMIFS(fweeks 33:33, fweeks fWeek,"&lt;="&amp;fWeek)</f>
        <v>0</v>
      </c>
      <c r="V33" s="336">
        <f>SUMIFS(fweeks 33:33, fweeks fWeek,"&lt;="&amp;fWeek)</f>
        <v>0</v>
      </c>
      <c r="W33" s="336">
        <f>SUMIFS(fweeks 33:33, fweeks fWeek,"&lt;="&amp;fWeek)</f>
        <v>0</v>
      </c>
      <c r="X33" s="336">
        <f>SUMIFS(fweeks 33:33, fweeks fWeek,"&lt;="&amp;fWeek)</f>
        <v>0</v>
      </c>
    </row>
    <row r="34" spans="1:24" x14ac:dyDescent="0.25">
      <c r="A34" s="217">
        <f>Roster!B16</f>
        <v>9</v>
      </c>
      <c r="B34" s="346" t="str">
        <f>Roster!C16</f>
        <v>Enkhbold, Khongor</v>
      </c>
      <c r="C34" s="346"/>
      <c r="D34" s="337">
        <f>SUMIFS(data count,data name,"="&amp;sname,data week,"="&amp;sweek)-SUMIFS(data count,data name,"="&amp;sname,data week,"="&amp;sweek,data Event,"="&amp;"Read Thread")</f>
        <v>0</v>
      </c>
      <c r="E34" s="338">
        <f>SUMIFS(data count,data name,"="&amp;sname,data week,"="&amp;sweek)-SUMIFS(data count,data name,"="&amp;sname,data week,"="&amp;sweek,data Event,"="&amp;"Read Thread")</f>
        <v>0</v>
      </c>
      <c r="F34" s="338">
        <f>SUMIFS(data count,data name,"="&amp;sname,data week,"="&amp;sweek)-SUMIFS(data count,data name,"="&amp;sname,data week,"="&amp;sweek,data Event,"="&amp;"Read Thread")</f>
        <v>0</v>
      </c>
      <c r="G34" s="338">
        <f>SUMIFS(data count,data name,"="&amp;sname,data week,"="&amp;sweek)-SUMIFS(data count,data name,"="&amp;sname,data week,"="&amp;sweek,data Event,"="&amp;"Read Thread")</f>
        <v>0</v>
      </c>
      <c r="H34" s="338">
        <f>SUMIFS(data count,data name,"="&amp;sname,data week,"="&amp;sweek)-SUMIFS(data count,data name,"="&amp;sname,data week,"="&amp;sweek,data Event,"="&amp;"Read Thread")</f>
        <v>0</v>
      </c>
      <c r="I34" s="338">
        <f>SUMIFS(data count,data name,"="&amp;sname,data week,"="&amp;sweek)-SUMIFS(data count,data name,"="&amp;sname,data week,"="&amp;sweek,data Event,"="&amp;"Read Thread")</f>
        <v>0</v>
      </c>
      <c r="J34" s="338">
        <f>SUMIFS(data count,data name,"="&amp;sname,data week,"="&amp;sweek)-SUMIFS(data count,data name,"="&amp;sname,data week,"="&amp;sweek,data Event,"="&amp;"Read Thread")</f>
        <v>0</v>
      </c>
      <c r="K34" s="338">
        <f>SUMIFS(data count,data name,"="&amp;sname,data week,"="&amp;sweek)-SUMIFS(data count,data name,"="&amp;sname,data week,"="&amp;sweek,data Event,"="&amp;"Read Thread")</f>
        <v>0</v>
      </c>
      <c r="L34" s="338">
        <f>SUMIFS(data count,data name,"="&amp;sname,data week,"="&amp;sweek)-SUMIFS(data count,data name,"="&amp;sname,data week,"="&amp;sweek,data Event,"="&amp;"Read Thread")</f>
        <v>0</v>
      </c>
      <c r="M34" s="338">
        <f>SUMIFS(data count,data name,"="&amp;sname,data week,"="&amp;sweek)-SUMIFS(data count,data name,"="&amp;sname,data week,"="&amp;sweek,data Event,"="&amp;"Read Thread")</f>
        <v>0</v>
      </c>
      <c r="N34" s="338">
        <f>SUMIFS(data count,data name,"="&amp;sname,data week,"="&amp;sweek)-SUMIFS(data count,data name,"="&amp;sname,data week,"="&amp;sweek,data Event,"="&amp;"Read Thread")</f>
        <v>0</v>
      </c>
      <c r="O34" s="338">
        <f>SUMIFS(data count,data name,"="&amp;sname,data week,"="&amp;sweek)-SUMIFS(data count,data name,"="&amp;sname,data week,"="&amp;sweek,data Event,"="&amp;"Read Thread")</f>
        <v>0</v>
      </c>
      <c r="P34" s="338">
        <f>SUMIFS(data count,data name,"="&amp;sname,data week,"="&amp;sweek)-SUMIFS(data count,data name,"="&amp;sname,data week,"="&amp;sweek,data Event,"="&amp;"Read Thread")</f>
        <v>0</v>
      </c>
      <c r="Q34" s="338">
        <f>SUMIFS(data count,data name,"="&amp;sname,data week,"="&amp;sweek)-SUMIFS(data count,data name,"="&amp;sname,data week,"="&amp;sweek,data Event,"="&amp;"Read Thread")</f>
        <v>0</v>
      </c>
      <c r="R34" s="338">
        <f>SUMIFS(data count,data name,"="&amp;sname,data week,"="&amp;sweek)-SUMIFS(data count,data name,"="&amp;sname,data week,"="&amp;sweek,data Event,"="&amp;"Read Thread")</f>
        <v>0</v>
      </c>
      <c r="S34" s="338">
        <f>SUMIFS(data count,data name,"="&amp;sname,data week,"="&amp;sweek)-SUMIFS(data count,data name,"="&amp;sname,data week,"="&amp;sweek,data Event,"="&amp;"Read Thread")</f>
        <v>0</v>
      </c>
      <c r="T34" s="336">
        <f t="shared" si="6"/>
        <v>0</v>
      </c>
      <c r="U34" s="336">
        <f>SUMIFS(fweeks 34:34, fweeks fWeek,"&lt;="&amp;fWeek)</f>
        <v>0</v>
      </c>
      <c r="V34" s="336">
        <f>SUMIFS(fweeks 34:34, fweeks fWeek,"&lt;="&amp;fWeek)</f>
        <v>0</v>
      </c>
      <c r="W34" s="336">
        <f>SUMIFS(fweeks 34:34, fweeks fWeek,"&lt;="&amp;fWeek)</f>
        <v>0</v>
      </c>
      <c r="X34" s="336">
        <f>SUMIFS(fweeks 34:34, fweeks fWeek,"&lt;="&amp;fWeek)</f>
        <v>0</v>
      </c>
    </row>
    <row r="35" spans="1:24" x14ac:dyDescent="0.25">
      <c r="A35" s="217">
        <f>Roster!B17</f>
        <v>10</v>
      </c>
      <c r="B35" s="346" t="str">
        <f>Roster!C17</f>
        <v>Fathelbab, Hosain</v>
      </c>
      <c r="C35" s="346"/>
      <c r="D35" s="337">
        <f>SUMIFS(data count,data name,"="&amp;sname,data week,"="&amp;sweek)-SUMIFS(data count,data name,"="&amp;sname,data week,"="&amp;sweek,data Event,"="&amp;"Read Thread")</f>
        <v>0</v>
      </c>
      <c r="E35" s="338">
        <f>SUMIFS(data count,data name,"="&amp;sname,data week,"="&amp;sweek)-SUMIFS(data count,data name,"="&amp;sname,data week,"="&amp;sweek,data Event,"="&amp;"Read Thread")</f>
        <v>0</v>
      </c>
      <c r="F35" s="338">
        <f>SUMIFS(data count,data name,"="&amp;sname,data week,"="&amp;sweek)-SUMIFS(data count,data name,"="&amp;sname,data week,"="&amp;sweek,data Event,"="&amp;"Read Thread")</f>
        <v>0</v>
      </c>
      <c r="G35" s="338">
        <f>SUMIFS(data count,data name,"="&amp;sname,data week,"="&amp;sweek)-SUMIFS(data count,data name,"="&amp;sname,data week,"="&amp;sweek,data Event,"="&amp;"Read Thread")</f>
        <v>0</v>
      </c>
      <c r="H35" s="338">
        <f>SUMIFS(data count,data name,"="&amp;sname,data week,"="&amp;sweek)-SUMIFS(data count,data name,"="&amp;sname,data week,"="&amp;sweek,data Event,"="&amp;"Read Thread")</f>
        <v>0</v>
      </c>
      <c r="I35" s="338">
        <f>SUMIFS(data count,data name,"="&amp;sname,data week,"="&amp;sweek)-SUMIFS(data count,data name,"="&amp;sname,data week,"="&amp;sweek,data Event,"="&amp;"Read Thread")</f>
        <v>0</v>
      </c>
      <c r="J35" s="338">
        <f>SUMIFS(data count,data name,"="&amp;sname,data week,"="&amp;sweek)-SUMIFS(data count,data name,"="&amp;sname,data week,"="&amp;sweek,data Event,"="&amp;"Read Thread")</f>
        <v>0</v>
      </c>
      <c r="K35" s="338">
        <f>SUMIFS(data count,data name,"="&amp;sname,data week,"="&amp;sweek)-SUMIFS(data count,data name,"="&amp;sname,data week,"="&amp;sweek,data Event,"="&amp;"Read Thread")</f>
        <v>0</v>
      </c>
      <c r="L35" s="338">
        <f>SUMIFS(data count,data name,"="&amp;sname,data week,"="&amp;sweek)-SUMIFS(data count,data name,"="&amp;sname,data week,"="&amp;sweek,data Event,"="&amp;"Read Thread")</f>
        <v>0</v>
      </c>
      <c r="M35" s="338">
        <f>SUMIFS(data count,data name,"="&amp;sname,data week,"="&amp;sweek)-SUMIFS(data count,data name,"="&amp;sname,data week,"="&amp;sweek,data Event,"="&amp;"Read Thread")</f>
        <v>0</v>
      </c>
      <c r="N35" s="338">
        <f>SUMIFS(data count,data name,"="&amp;sname,data week,"="&amp;sweek)-SUMIFS(data count,data name,"="&amp;sname,data week,"="&amp;sweek,data Event,"="&amp;"Read Thread")</f>
        <v>0</v>
      </c>
      <c r="O35" s="338">
        <f>SUMIFS(data count,data name,"="&amp;sname,data week,"="&amp;sweek)-SUMIFS(data count,data name,"="&amp;sname,data week,"="&amp;sweek,data Event,"="&amp;"Read Thread")</f>
        <v>0</v>
      </c>
      <c r="P35" s="338">
        <f>SUMIFS(data count,data name,"="&amp;sname,data week,"="&amp;sweek)-SUMIFS(data count,data name,"="&amp;sname,data week,"="&amp;sweek,data Event,"="&amp;"Read Thread")</f>
        <v>0</v>
      </c>
      <c r="Q35" s="338">
        <f>SUMIFS(data count,data name,"="&amp;sname,data week,"="&amp;sweek)-SUMIFS(data count,data name,"="&amp;sname,data week,"="&amp;sweek,data Event,"="&amp;"Read Thread")</f>
        <v>0</v>
      </c>
      <c r="R35" s="338">
        <f>SUMIFS(data count,data name,"="&amp;sname,data week,"="&amp;sweek)-SUMIFS(data count,data name,"="&amp;sname,data week,"="&amp;sweek,data Event,"="&amp;"Read Thread")</f>
        <v>0</v>
      </c>
      <c r="S35" s="338">
        <f>SUMIFS(data count,data name,"="&amp;sname,data week,"="&amp;sweek)-SUMIFS(data count,data name,"="&amp;sname,data week,"="&amp;sweek,data Event,"="&amp;"Read Thread")</f>
        <v>0</v>
      </c>
      <c r="T35" s="336">
        <f t="shared" ref="T35:T42" si="7">SUM(D35:S35)</f>
        <v>0</v>
      </c>
      <c r="U35" s="336">
        <f>SUMIFS(fweeks 35:35, fweeks fWeek,"&lt;="&amp;fWeek)</f>
        <v>0</v>
      </c>
      <c r="V35" s="336">
        <f>SUMIFS(fweeks 35:35, fweeks fWeek,"&lt;="&amp;fWeek)</f>
        <v>0</v>
      </c>
      <c r="W35" s="336">
        <f>SUMIFS(fweeks 35:35, fweeks fWeek,"&lt;="&amp;fWeek)</f>
        <v>0</v>
      </c>
      <c r="X35" s="336">
        <f>SUMIFS(fweeks 35:35, fweeks fWeek,"&lt;="&amp;fWeek)</f>
        <v>0</v>
      </c>
    </row>
    <row r="36" spans="1:24" x14ac:dyDescent="0.25">
      <c r="A36" s="217">
        <f>Roster!B18</f>
        <v>11</v>
      </c>
      <c r="B36" s="346" t="str">
        <f>Roster!C18</f>
        <v>Ganzorig, Enkhsaruul</v>
      </c>
      <c r="C36" s="346"/>
      <c r="D36" s="337">
        <f>SUMIFS(data count,data name,"="&amp;sname,data week,"="&amp;sweek)-SUMIFS(data count,data name,"="&amp;sname,data week,"="&amp;sweek,data Event,"="&amp;"Read Thread")</f>
        <v>0</v>
      </c>
      <c r="E36" s="338">
        <f>SUMIFS(data count,data name,"="&amp;sname,data week,"="&amp;sweek)-SUMIFS(data count,data name,"="&amp;sname,data week,"="&amp;sweek,data Event,"="&amp;"Read Thread")</f>
        <v>0</v>
      </c>
      <c r="F36" s="338">
        <f>SUMIFS(data count,data name,"="&amp;sname,data week,"="&amp;sweek)-SUMIFS(data count,data name,"="&amp;sname,data week,"="&amp;sweek,data Event,"="&amp;"Read Thread")</f>
        <v>0</v>
      </c>
      <c r="G36" s="338">
        <f>SUMIFS(data count,data name,"="&amp;sname,data week,"="&amp;sweek)-SUMIFS(data count,data name,"="&amp;sname,data week,"="&amp;sweek,data Event,"="&amp;"Read Thread")</f>
        <v>0</v>
      </c>
      <c r="H36" s="338">
        <f>SUMIFS(data count,data name,"="&amp;sname,data week,"="&amp;sweek)-SUMIFS(data count,data name,"="&amp;sname,data week,"="&amp;sweek,data Event,"="&amp;"Read Thread")</f>
        <v>0</v>
      </c>
      <c r="I36" s="338">
        <f>SUMIFS(data count,data name,"="&amp;sname,data week,"="&amp;sweek)-SUMIFS(data count,data name,"="&amp;sname,data week,"="&amp;sweek,data Event,"="&amp;"Read Thread")</f>
        <v>0</v>
      </c>
      <c r="J36" s="338">
        <f>SUMIFS(data count,data name,"="&amp;sname,data week,"="&amp;sweek)-SUMIFS(data count,data name,"="&amp;sname,data week,"="&amp;sweek,data Event,"="&amp;"Read Thread")</f>
        <v>0</v>
      </c>
      <c r="K36" s="338">
        <f>SUMIFS(data count,data name,"="&amp;sname,data week,"="&amp;sweek)-SUMIFS(data count,data name,"="&amp;sname,data week,"="&amp;sweek,data Event,"="&amp;"Read Thread")</f>
        <v>0</v>
      </c>
      <c r="L36" s="338">
        <f>SUMIFS(data count,data name,"="&amp;sname,data week,"="&amp;sweek)-SUMIFS(data count,data name,"="&amp;sname,data week,"="&amp;sweek,data Event,"="&amp;"Read Thread")</f>
        <v>0</v>
      </c>
      <c r="M36" s="338">
        <f>SUMIFS(data count,data name,"="&amp;sname,data week,"="&amp;sweek)-SUMIFS(data count,data name,"="&amp;sname,data week,"="&amp;sweek,data Event,"="&amp;"Read Thread")</f>
        <v>0</v>
      </c>
      <c r="N36" s="338">
        <f>SUMIFS(data count,data name,"="&amp;sname,data week,"="&amp;sweek)-SUMIFS(data count,data name,"="&amp;sname,data week,"="&amp;sweek,data Event,"="&amp;"Read Thread")</f>
        <v>0</v>
      </c>
      <c r="O36" s="338">
        <f>SUMIFS(data count,data name,"="&amp;sname,data week,"="&amp;sweek)-SUMIFS(data count,data name,"="&amp;sname,data week,"="&amp;sweek,data Event,"="&amp;"Read Thread")</f>
        <v>0</v>
      </c>
      <c r="P36" s="338">
        <f>SUMIFS(data count,data name,"="&amp;sname,data week,"="&amp;sweek)-SUMIFS(data count,data name,"="&amp;sname,data week,"="&amp;sweek,data Event,"="&amp;"Read Thread")</f>
        <v>0</v>
      </c>
      <c r="Q36" s="338">
        <f>SUMIFS(data count,data name,"="&amp;sname,data week,"="&amp;sweek)-SUMIFS(data count,data name,"="&amp;sname,data week,"="&amp;sweek,data Event,"="&amp;"Read Thread")</f>
        <v>0</v>
      </c>
      <c r="R36" s="338">
        <f>SUMIFS(data count,data name,"="&amp;sname,data week,"="&amp;sweek)-SUMIFS(data count,data name,"="&amp;sname,data week,"="&amp;sweek,data Event,"="&amp;"Read Thread")</f>
        <v>0</v>
      </c>
      <c r="S36" s="338">
        <f>SUMIFS(data count,data name,"="&amp;sname,data week,"="&amp;sweek)-SUMIFS(data count,data name,"="&amp;sname,data week,"="&amp;sweek,data Event,"="&amp;"Read Thread")</f>
        <v>0</v>
      </c>
      <c r="T36" s="336">
        <f t="shared" si="7"/>
        <v>0</v>
      </c>
      <c r="U36" s="336">
        <f>SUMIFS(fweeks 36:36, fweeks fWeek,"&lt;="&amp;fWeek)</f>
        <v>0</v>
      </c>
      <c r="V36" s="336">
        <f>SUMIFS(fweeks 36:36, fweeks fWeek,"&lt;="&amp;fWeek)</f>
        <v>0</v>
      </c>
      <c r="W36" s="336">
        <f>SUMIFS(fweeks 36:36, fweeks fWeek,"&lt;="&amp;fWeek)</f>
        <v>0</v>
      </c>
      <c r="X36" s="336">
        <f>SUMIFS(fweeks 36:36, fweeks fWeek,"&lt;="&amp;fWeek)</f>
        <v>0</v>
      </c>
    </row>
    <row r="37" spans="1:24" x14ac:dyDescent="0.25">
      <c r="A37" s="217">
        <f>Roster!B19</f>
        <v>12</v>
      </c>
      <c r="B37" s="346" t="str">
        <f>Roster!C19</f>
        <v>Gebremeskel, Abiy</v>
      </c>
      <c r="C37" s="346"/>
      <c r="D37" s="337">
        <f>SUMIFS(data count,data name,"="&amp;sname,data week,"="&amp;sweek)-SUMIFS(data count,data name,"="&amp;sname,data week,"="&amp;sweek,data Event,"="&amp;"Read Thread")</f>
        <v>0</v>
      </c>
      <c r="E37" s="338">
        <f>SUMIFS(data count,data name,"="&amp;sname,data week,"="&amp;sweek)-SUMIFS(data count,data name,"="&amp;sname,data week,"="&amp;sweek,data Event,"="&amp;"Read Thread")</f>
        <v>0</v>
      </c>
      <c r="F37" s="338">
        <f>SUMIFS(data count,data name,"="&amp;sname,data week,"="&amp;sweek)-SUMIFS(data count,data name,"="&amp;sname,data week,"="&amp;sweek,data Event,"="&amp;"Read Thread")</f>
        <v>0</v>
      </c>
      <c r="G37" s="338">
        <f>SUMIFS(data count,data name,"="&amp;sname,data week,"="&amp;sweek)-SUMIFS(data count,data name,"="&amp;sname,data week,"="&amp;sweek,data Event,"="&amp;"Read Thread")</f>
        <v>0</v>
      </c>
      <c r="H37" s="338">
        <f>SUMIFS(data count,data name,"="&amp;sname,data week,"="&amp;sweek)-SUMIFS(data count,data name,"="&amp;sname,data week,"="&amp;sweek,data Event,"="&amp;"Read Thread")</f>
        <v>0</v>
      </c>
      <c r="I37" s="338">
        <f>SUMIFS(data count,data name,"="&amp;sname,data week,"="&amp;sweek)-SUMIFS(data count,data name,"="&amp;sname,data week,"="&amp;sweek,data Event,"="&amp;"Read Thread")</f>
        <v>0</v>
      </c>
      <c r="J37" s="338">
        <f>SUMIFS(data count,data name,"="&amp;sname,data week,"="&amp;sweek)-SUMIFS(data count,data name,"="&amp;sname,data week,"="&amp;sweek,data Event,"="&amp;"Read Thread")</f>
        <v>0</v>
      </c>
      <c r="K37" s="338">
        <f>SUMIFS(data count,data name,"="&amp;sname,data week,"="&amp;sweek)-SUMIFS(data count,data name,"="&amp;sname,data week,"="&amp;sweek,data Event,"="&amp;"Read Thread")</f>
        <v>0</v>
      </c>
      <c r="L37" s="338">
        <f>SUMIFS(data count,data name,"="&amp;sname,data week,"="&amp;sweek)-SUMIFS(data count,data name,"="&amp;sname,data week,"="&amp;sweek,data Event,"="&amp;"Read Thread")</f>
        <v>0</v>
      </c>
      <c r="M37" s="338">
        <f>SUMIFS(data count,data name,"="&amp;sname,data week,"="&amp;sweek)-SUMIFS(data count,data name,"="&amp;sname,data week,"="&amp;sweek,data Event,"="&amp;"Read Thread")</f>
        <v>0</v>
      </c>
      <c r="N37" s="338">
        <f>SUMIFS(data count,data name,"="&amp;sname,data week,"="&amp;sweek)-SUMIFS(data count,data name,"="&amp;sname,data week,"="&amp;sweek,data Event,"="&amp;"Read Thread")</f>
        <v>0</v>
      </c>
      <c r="O37" s="338">
        <f>SUMIFS(data count,data name,"="&amp;sname,data week,"="&amp;sweek)-SUMIFS(data count,data name,"="&amp;sname,data week,"="&amp;sweek,data Event,"="&amp;"Read Thread")</f>
        <v>0</v>
      </c>
      <c r="P37" s="338">
        <f>SUMIFS(data count,data name,"="&amp;sname,data week,"="&amp;sweek)-SUMIFS(data count,data name,"="&amp;sname,data week,"="&amp;sweek,data Event,"="&amp;"Read Thread")</f>
        <v>0</v>
      </c>
      <c r="Q37" s="338">
        <f>SUMIFS(data count,data name,"="&amp;sname,data week,"="&amp;sweek)-SUMIFS(data count,data name,"="&amp;sname,data week,"="&amp;sweek,data Event,"="&amp;"Read Thread")</f>
        <v>0</v>
      </c>
      <c r="R37" s="338">
        <f>SUMIFS(data count,data name,"="&amp;sname,data week,"="&amp;sweek)-SUMIFS(data count,data name,"="&amp;sname,data week,"="&amp;sweek,data Event,"="&amp;"Read Thread")</f>
        <v>0</v>
      </c>
      <c r="S37" s="338">
        <f>SUMIFS(data count,data name,"="&amp;sname,data week,"="&amp;sweek)-SUMIFS(data count,data name,"="&amp;sname,data week,"="&amp;sweek,data Event,"="&amp;"Read Thread")</f>
        <v>0</v>
      </c>
      <c r="T37" s="336">
        <f t="shared" si="7"/>
        <v>0</v>
      </c>
      <c r="U37" s="336">
        <f>SUMIFS(fweeks 37:37, fweeks fWeek,"&lt;="&amp;fWeek)</f>
        <v>0</v>
      </c>
      <c r="V37" s="336">
        <f>SUMIFS(fweeks 37:37, fweeks fWeek,"&lt;="&amp;fWeek)</f>
        <v>0</v>
      </c>
      <c r="W37" s="336">
        <f>SUMIFS(fweeks 37:37, fweeks fWeek,"&lt;="&amp;fWeek)</f>
        <v>0</v>
      </c>
      <c r="X37" s="336">
        <f>SUMIFS(fweeks 37:37, fweeks fWeek,"&lt;="&amp;fWeek)</f>
        <v>0</v>
      </c>
    </row>
    <row r="38" spans="1:24" x14ac:dyDescent="0.25">
      <c r="A38" s="217">
        <f>Roster!B20</f>
        <v>13</v>
      </c>
      <c r="B38" s="346" t="str">
        <f>Roster!C20</f>
        <v>Hagag, Ahmad M.M.</v>
      </c>
      <c r="C38" s="346"/>
      <c r="D38" s="337">
        <f>SUMIFS(data count,data name,"="&amp;sname,data week,"="&amp;sweek)-SUMIFS(data count,data name,"="&amp;sname,data week,"="&amp;sweek,data Event,"="&amp;"Read Thread")</f>
        <v>0</v>
      </c>
      <c r="E38" s="338">
        <f>SUMIFS(data count,data name,"="&amp;sname,data week,"="&amp;sweek)-SUMIFS(data count,data name,"="&amp;sname,data week,"="&amp;sweek,data Event,"="&amp;"Read Thread")</f>
        <v>0</v>
      </c>
      <c r="F38" s="338">
        <f>SUMIFS(data count,data name,"="&amp;sname,data week,"="&amp;sweek)-SUMIFS(data count,data name,"="&amp;sname,data week,"="&amp;sweek,data Event,"="&amp;"Read Thread")</f>
        <v>0</v>
      </c>
      <c r="G38" s="338">
        <f>SUMIFS(data count,data name,"="&amp;sname,data week,"="&amp;sweek)-SUMIFS(data count,data name,"="&amp;sname,data week,"="&amp;sweek,data Event,"="&amp;"Read Thread")</f>
        <v>0</v>
      </c>
      <c r="H38" s="338">
        <f>SUMIFS(data count,data name,"="&amp;sname,data week,"="&amp;sweek)-SUMIFS(data count,data name,"="&amp;sname,data week,"="&amp;sweek,data Event,"="&amp;"Read Thread")</f>
        <v>0</v>
      </c>
      <c r="I38" s="338">
        <f>SUMIFS(data count,data name,"="&amp;sname,data week,"="&amp;sweek)-SUMIFS(data count,data name,"="&amp;sname,data week,"="&amp;sweek,data Event,"="&amp;"Read Thread")</f>
        <v>0</v>
      </c>
      <c r="J38" s="338">
        <f>SUMIFS(data count,data name,"="&amp;sname,data week,"="&amp;sweek)-SUMIFS(data count,data name,"="&amp;sname,data week,"="&amp;sweek,data Event,"="&amp;"Read Thread")</f>
        <v>0</v>
      </c>
      <c r="K38" s="338">
        <f>SUMIFS(data count,data name,"="&amp;sname,data week,"="&amp;sweek)-SUMIFS(data count,data name,"="&amp;sname,data week,"="&amp;sweek,data Event,"="&amp;"Read Thread")</f>
        <v>0</v>
      </c>
      <c r="L38" s="338">
        <f>SUMIFS(data count,data name,"="&amp;sname,data week,"="&amp;sweek)-SUMIFS(data count,data name,"="&amp;sname,data week,"="&amp;sweek,data Event,"="&amp;"Read Thread")</f>
        <v>0</v>
      </c>
      <c r="M38" s="338">
        <f>SUMIFS(data count,data name,"="&amp;sname,data week,"="&amp;sweek)-SUMIFS(data count,data name,"="&amp;sname,data week,"="&amp;sweek,data Event,"="&amp;"Read Thread")</f>
        <v>0</v>
      </c>
      <c r="N38" s="338">
        <f>SUMIFS(data count,data name,"="&amp;sname,data week,"="&amp;sweek)-SUMIFS(data count,data name,"="&amp;sname,data week,"="&amp;sweek,data Event,"="&amp;"Read Thread")</f>
        <v>0</v>
      </c>
      <c r="O38" s="338">
        <f>SUMIFS(data count,data name,"="&amp;sname,data week,"="&amp;sweek)-SUMIFS(data count,data name,"="&amp;sname,data week,"="&amp;sweek,data Event,"="&amp;"Read Thread")</f>
        <v>0</v>
      </c>
      <c r="P38" s="338">
        <f>SUMIFS(data count,data name,"="&amp;sname,data week,"="&amp;sweek)-SUMIFS(data count,data name,"="&amp;sname,data week,"="&amp;sweek,data Event,"="&amp;"Read Thread")</f>
        <v>0</v>
      </c>
      <c r="Q38" s="338">
        <f>SUMIFS(data count,data name,"="&amp;sname,data week,"="&amp;sweek)-SUMIFS(data count,data name,"="&amp;sname,data week,"="&amp;sweek,data Event,"="&amp;"Read Thread")</f>
        <v>0</v>
      </c>
      <c r="R38" s="338">
        <f>SUMIFS(data count,data name,"="&amp;sname,data week,"="&amp;sweek)-SUMIFS(data count,data name,"="&amp;sname,data week,"="&amp;sweek,data Event,"="&amp;"Read Thread")</f>
        <v>0</v>
      </c>
      <c r="S38" s="338">
        <f>SUMIFS(data count,data name,"="&amp;sname,data week,"="&amp;sweek)-SUMIFS(data count,data name,"="&amp;sname,data week,"="&amp;sweek,data Event,"="&amp;"Read Thread")</f>
        <v>0</v>
      </c>
      <c r="T38" s="336">
        <f t="shared" si="7"/>
        <v>0</v>
      </c>
      <c r="U38" s="336">
        <f>SUMIFS(fweeks 38:38, fweeks fWeek,"&lt;="&amp;fWeek)</f>
        <v>0</v>
      </c>
      <c r="V38" s="336">
        <f>SUMIFS(fweeks 38:38, fweeks fWeek,"&lt;="&amp;fWeek)</f>
        <v>0</v>
      </c>
      <c r="W38" s="336">
        <f>SUMIFS(fweeks 38:38, fweeks fWeek,"&lt;="&amp;fWeek)</f>
        <v>0</v>
      </c>
      <c r="X38" s="336">
        <f>SUMIFS(fweeks 38:38, fweeks fWeek,"&lt;="&amp;fWeek)</f>
        <v>0</v>
      </c>
    </row>
    <row r="39" spans="1:24" x14ac:dyDescent="0.25">
      <c r="A39" s="217">
        <f>Roster!B21</f>
        <v>14</v>
      </c>
      <c r="B39" s="346" t="str">
        <f>Roster!C21</f>
        <v>Kelkay, Ayalew Alemayehu</v>
      </c>
      <c r="C39" s="346"/>
      <c r="D39" s="337">
        <f>SUMIFS(data count,data name,"="&amp;sname,data week,"="&amp;sweek)-SUMIFS(data count,data name,"="&amp;sname,data week,"="&amp;sweek,data Event,"="&amp;"Read Thread")</f>
        <v>0</v>
      </c>
      <c r="E39" s="338">
        <f>SUMIFS(data count,data name,"="&amp;sname,data week,"="&amp;sweek)-SUMIFS(data count,data name,"="&amp;sname,data week,"="&amp;sweek,data Event,"="&amp;"Read Thread")</f>
        <v>0</v>
      </c>
      <c r="F39" s="338">
        <f>SUMIFS(data count,data name,"="&amp;sname,data week,"="&amp;sweek)-SUMIFS(data count,data name,"="&amp;sname,data week,"="&amp;sweek,data Event,"="&amp;"Read Thread")</f>
        <v>0</v>
      </c>
      <c r="G39" s="338">
        <f>SUMIFS(data count,data name,"="&amp;sname,data week,"="&amp;sweek)-SUMIFS(data count,data name,"="&amp;sname,data week,"="&amp;sweek,data Event,"="&amp;"Read Thread")</f>
        <v>0</v>
      </c>
      <c r="H39" s="338">
        <f>SUMIFS(data count,data name,"="&amp;sname,data week,"="&amp;sweek)-SUMIFS(data count,data name,"="&amp;sname,data week,"="&amp;sweek,data Event,"="&amp;"Read Thread")</f>
        <v>0</v>
      </c>
      <c r="I39" s="338">
        <f>SUMIFS(data count,data name,"="&amp;sname,data week,"="&amp;sweek)-SUMIFS(data count,data name,"="&amp;sname,data week,"="&amp;sweek,data Event,"="&amp;"Read Thread")</f>
        <v>0</v>
      </c>
      <c r="J39" s="338">
        <f>SUMIFS(data count,data name,"="&amp;sname,data week,"="&amp;sweek)-SUMIFS(data count,data name,"="&amp;sname,data week,"="&amp;sweek,data Event,"="&amp;"Read Thread")</f>
        <v>0</v>
      </c>
      <c r="K39" s="338">
        <f>SUMIFS(data count,data name,"="&amp;sname,data week,"="&amp;sweek)-SUMIFS(data count,data name,"="&amp;sname,data week,"="&amp;sweek,data Event,"="&amp;"Read Thread")</f>
        <v>0</v>
      </c>
      <c r="L39" s="338">
        <f>SUMIFS(data count,data name,"="&amp;sname,data week,"="&amp;sweek)-SUMIFS(data count,data name,"="&amp;sname,data week,"="&amp;sweek,data Event,"="&amp;"Read Thread")</f>
        <v>0</v>
      </c>
      <c r="M39" s="338">
        <f>SUMIFS(data count,data name,"="&amp;sname,data week,"="&amp;sweek)-SUMIFS(data count,data name,"="&amp;sname,data week,"="&amp;sweek,data Event,"="&amp;"Read Thread")</f>
        <v>0</v>
      </c>
      <c r="N39" s="338">
        <f>SUMIFS(data count,data name,"="&amp;sname,data week,"="&amp;sweek)-SUMIFS(data count,data name,"="&amp;sname,data week,"="&amp;sweek,data Event,"="&amp;"Read Thread")</f>
        <v>0</v>
      </c>
      <c r="O39" s="338">
        <f>SUMIFS(data count,data name,"="&amp;sname,data week,"="&amp;sweek)-SUMIFS(data count,data name,"="&amp;sname,data week,"="&amp;sweek,data Event,"="&amp;"Read Thread")</f>
        <v>0</v>
      </c>
      <c r="P39" s="338">
        <f>SUMIFS(data count,data name,"="&amp;sname,data week,"="&amp;sweek)-SUMIFS(data count,data name,"="&amp;sname,data week,"="&amp;sweek,data Event,"="&amp;"Read Thread")</f>
        <v>0</v>
      </c>
      <c r="Q39" s="338">
        <f>SUMIFS(data count,data name,"="&amp;sname,data week,"="&amp;sweek)-SUMIFS(data count,data name,"="&amp;sname,data week,"="&amp;sweek,data Event,"="&amp;"Read Thread")</f>
        <v>0</v>
      </c>
      <c r="R39" s="338">
        <f>SUMIFS(data count,data name,"="&amp;sname,data week,"="&amp;sweek)-SUMIFS(data count,data name,"="&amp;sname,data week,"="&amp;sweek,data Event,"="&amp;"Read Thread")</f>
        <v>0</v>
      </c>
      <c r="S39" s="338">
        <f>SUMIFS(data count,data name,"="&amp;sname,data week,"="&amp;sweek)-SUMIFS(data count,data name,"="&amp;sname,data week,"="&amp;sweek,data Event,"="&amp;"Read Thread")</f>
        <v>0</v>
      </c>
      <c r="T39" s="336">
        <f t="shared" si="7"/>
        <v>0</v>
      </c>
      <c r="U39" s="336">
        <f>SUMIFS(fweeks 39:39, fweeks fWeek,"&lt;="&amp;fWeek)</f>
        <v>0</v>
      </c>
      <c r="V39" s="336">
        <f>SUMIFS(fweeks 39:39, fweeks fWeek,"&lt;="&amp;fWeek)</f>
        <v>0</v>
      </c>
      <c r="W39" s="336">
        <f>SUMIFS(fweeks 39:39, fweeks fWeek,"&lt;="&amp;fWeek)</f>
        <v>0</v>
      </c>
      <c r="X39" s="336">
        <f>SUMIFS(fweeks 39:39, fweeks fWeek,"&lt;="&amp;fWeek)</f>
        <v>0</v>
      </c>
    </row>
    <row r="40" spans="1:24" x14ac:dyDescent="0.25">
      <c r="A40" s="217">
        <f>Roster!B22</f>
        <v>15</v>
      </c>
      <c r="B40" s="346" t="str">
        <f>Roster!C22</f>
        <v>Kidane, Ermias</v>
      </c>
      <c r="C40" s="346"/>
      <c r="D40" s="337">
        <f>SUMIFS(data count,data name,"="&amp;sname,data week,"="&amp;sweek)-SUMIFS(data count,data name,"="&amp;sname,data week,"="&amp;sweek,data Event,"="&amp;"Read Thread")</f>
        <v>0</v>
      </c>
      <c r="E40" s="338">
        <f>SUMIFS(data count,data name,"="&amp;sname,data week,"="&amp;sweek)-SUMIFS(data count,data name,"="&amp;sname,data week,"="&amp;sweek,data Event,"="&amp;"Read Thread")</f>
        <v>0</v>
      </c>
      <c r="F40" s="338">
        <f>SUMIFS(data count,data name,"="&amp;sname,data week,"="&amp;sweek)-SUMIFS(data count,data name,"="&amp;sname,data week,"="&amp;sweek,data Event,"="&amp;"Read Thread")</f>
        <v>0</v>
      </c>
      <c r="G40" s="338">
        <f>SUMIFS(data count,data name,"="&amp;sname,data week,"="&amp;sweek)-SUMIFS(data count,data name,"="&amp;sname,data week,"="&amp;sweek,data Event,"="&amp;"Read Thread")</f>
        <v>0</v>
      </c>
      <c r="H40" s="338">
        <f>SUMIFS(data count,data name,"="&amp;sname,data week,"="&amp;sweek)-SUMIFS(data count,data name,"="&amp;sname,data week,"="&amp;sweek,data Event,"="&amp;"Read Thread")</f>
        <v>0</v>
      </c>
      <c r="I40" s="338">
        <f>SUMIFS(data count,data name,"="&amp;sname,data week,"="&amp;sweek)-SUMIFS(data count,data name,"="&amp;sname,data week,"="&amp;sweek,data Event,"="&amp;"Read Thread")</f>
        <v>0</v>
      </c>
      <c r="J40" s="338">
        <f>SUMIFS(data count,data name,"="&amp;sname,data week,"="&amp;sweek)-SUMIFS(data count,data name,"="&amp;sname,data week,"="&amp;sweek,data Event,"="&amp;"Read Thread")</f>
        <v>0</v>
      </c>
      <c r="K40" s="338">
        <f>SUMIFS(data count,data name,"="&amp;sname,data week,"="&amp;sweek)-SUMIFS(data count,data name,"="&amp;sname,data week,"="&amp;sweek,data Event,"="&amp;"Read Thread")</f>
        <v>0</v>
      </c>
      <c r="L40" s="338">
        <f>SUMIFS(data count,data name,"="&amp;sname,data week,"="&amp;sweek)-SUMIFS(data count,data name,"="&amp;sname,data week,"="&amp;sweek,data Event,"="&amp;"Read Thread")</f>
        <v>0</v>
      </c>
      <c r="M40" s="338">
        <f>SUMIFS(data count,data name,"="&amp;sname,data week,"="&amp;sweek)-SUMIFS(data count,data name,"="&amp;sname,data week,"="&amp;sweek,data Event,"="&amp;"Read Thread")</f>
        <v>0</v>
      </c>
      <c r="N40" s="338">
        <f>SUMIFS(data count,data name,"="&amp;sname,data week,"="&amp;sweek)-SUMIFS(data count,data name,"="&amp;sname,data week,"="&amp;sweek,data Event,"="&amp;"Read Thread")</f>
        <v>0</v>
      </c>
      <c r="O40" s="338">
        <f>SUMIFS(data count,data name,"="&amp;sname,data week,"="&amp;sweek)-SUMIFS(data count,data name,"="&amp;sname,data week,"="&amp;sweek,data Event,"="&amp;"Read Thread")</f>
        <v>0</v>
      </c>
      <c r="P40" s="338">
        <f>SUMIFS(data count,data name,"="&amp;sname,data week,"="&amp;sweek)-SUMIFS(data count,data name,"="&amp;sname,data week,"="&amp;sweek,data Event,"="&amp;"Read Thread")</f>
        <v>0</v>
      </c>
      <c r="Q40" s="338">
        <f>SUMIFS(data count,data name,"="&amp;sname,data week,"="&amp;sweek)-SUMIFS(data count,data name,"="&amp;sname,data week,"="&amp;sweek,data Event,"="&amp;"Read Thread")</f>
        <v>0</v>
      </c>
      <c r="R40" s="338">
        <f>SUMIFS(data count,data name,"="&amp;sname,data week,"="&amp;sweek)-SUMIFS(data count,data name,"="&amp;sname,data week,"="&amp;sweek,data Event,"="&amp;"Read Thread")</f>
        <v>0</v>
      </c>
      <c r="S40" s="338">
        <f>SUMIFS(data count,data name,"="&amp;sname,data week,"="&amp;sweek)-SUMIFS(data count,data name,"="&amp;sname,data week,"="&amp;sweek,data Event,"="&amp;"Read Thread")</f>
        <v>0</v>
      </c>
      <c r="T40" s="336">
        <f t="shared" si="7"/>
        <v>0</v>
      </c>
      <c r="U40" s="336">
        <f>SUMIFS(fweeks 40:40, fweeks fWeek,"&lt;="&amp;fWeek)</f>
        <v>0</v>
      </c>
      <c r="V40" s="336">
        <f>SUMIFS(fweeks 40:40, fweeks fWeek,"&lt;="&amp;fWeek)</f>
        <v>0</v>
      </c>
      <c r="W40" s="336">
        <f>SUMIFS(fweeks 40:40, fweeks fWeek,"&lt;="&amp;fWeek)</f>
        <v>0</v>
      </c>
      <c r="X40" s="336">
        <f>SUMIFS(fweeks 40:40, fweeks fWeek,"&lt;="&amp;fWeek)</f>
        <v>0</v>
      </c>
    </row>
    <row r="41" spans="1:24" x14ac:dyDescent="0.25">
      <c r="A41" s="217">
        <f>Roster!B23</f>
        <v>16</v>
      </c>
      <c r="B41" s="346" t="str">
        <f>Roster!C23</f>
        <v>Kouotou Mefire, Ibrahim</v>
      </c>
      <c r="C41" s="346"/>
      <c r="D41" s="337">
        <f>SUMIFS(data count,data name,"="&amp;sname,data week,"="&amp;sweek)-SUMIFS(data count,data name,"="&amp;sname,data week,"="&amp;sweek,data Event,"="&amp;"Read Thread")</f>
        <v>0</v>
      </c>
      <c r="E41" s="338">
        <f>SUMIFS(data count,data name,"="&amp;sname,data week,"="&amp;sweek)-SUMIFS(data count,data name,"="&amp;sname,data week,"="&amp;sweek,data Event,"="&amp;"Read Thread")</f>
        <v>0</v>
      </c>
      <c r="F41" s="338">
        <f>SUMIFS(data count,data name,"="&amp;sname,data week,"="&amp;sweek)-SUMIFS(data count,data name,"="&amp;sname,data week,"="&amp;sweek,data Event,"="&amp;"Read Thread")</f>
        <v>0</v>
      </c>
      <c r="G41" s="338">
        <f>SUMIFS(data count,data name,"="&amp;sname,data week,"="&amp;sweek)-SUMIFS(data count,data name,"="&amp;sname,data week,"="&amp;sweek,data Event,"="&amp;"Read Thread")</f>
        <v>0</v>
      </c>
      <c r="H41" s="338">
        <f>SUMIFS(data count,data name,"="&amp;sname,data week,"="&amp;sweek)-SUMIFS(data count,data name,"="&amp;sname,data week,"="&amp;sweek,data Event,"="&amp;"Read Thread")</f>
        <v>0</v>
      </c>
      <c r="I41" s="338">
        <f>SUMIFS(data count,data name,"="&amp;sname,data week,"="&amp;sweek)-SUMIFS(data count,data name,"="&amp;sname,data week,"="&amp;sweek,data Event,"="&amp;"Read Thread")</f>
        <v>0</v>
      </c>
      <c r="J41" s="338">
        <f>SUMIFS(data count,data name,"="&amp;sname,data week,"="&amp;sweek)-SUMIFS(data count,data name,"="&amp;sname,data week,"="&amp;sweek,data Event,"="&amp;"Read Thread")</f>
        <v>0</v>
      </c>
      <c r="K41" s="338">
        <f>SUMIFS(data count,data name,"="&amp;sname,data week,"="&amp;sweek)-SUMIFS(data count,data name,"="&amp;sname,data week,"="&amp;sweek,data Event,"="&amp;"Read Thread")</f>
        <v>0</v>
      </c>
      <c r="L41" s="338">
        <f>SUMIFS(data count,data name,"="&amp;sname,data week,"="&amp;sweek)-SUMIFS(data count,data name,"="&amp;sname,data week,"="&amp;sweek,data Event,"="&amp;"Read Thread")</f>
        <v>0</v>
      </c>
      <c r="M41" s="338">
        <f>SUMIFS(data count,data name,"="&amp;sname,data week,"="&amp;sweek)-SUMIFS(data count,data name,"="&amp;sname,data week,"="&amp;sweek,data Event,"="&amp;"Read Thread")</f>
        <v>0</v>
      </c>
      <c r="N41" s="338">
        <f>SUMIFS(data count,data name,"="&amp;sname,data week,"="&amp;sweek)-SUMIFS(data count,data name,"="&amp;sname,data week,"="&amp;sweek,data Event,"="&amp;"Read Thread")</f>
        <v>0</v>
      </c>
      <c r="O41" s="338">
        <f>SUMIFS(data count,data name,"="&amp;sname,data week,"="&amp;sweek)-SUMIFS(data count,data name,"="&amp;sname,data week,"="&amp;sweek,data Event,"="&amp;"Read Thread")</f>
        <v>0</v>
      </c>
      <c r="P41" s="338">
        <f>SUMIFS(data count,data name,"="&amp;sname,data week,"="&amp;sweek)-SUMIFS(data count,data name,"="&amp;sname,data week,"="&amp;sweek,data Event,"="&amp;"Read Thread")</f>
        <v>0</v>
      </c>
      <c r="Q41" s="338">
        <f>SUMIFS(data count,data name,"="&amp;sname,data week,"="&amp;sweek)-SUMIFS(data count,data name,"="&amp;sname,data week,"="&amp;sweek,data Event,"="&amp;"Read Thread")</f>
        <v>0</v>
      </c>
      <c r="R41" s="338">
        <f>SUMIFS(data count,data name,"="&amp;sname,data week,"="&amp;sweek)-SUMIFS(data count,data name,"="&amp;sname,data week,"="&amp;sweek,data Event,"="&amp;"Read Thread")</f>
        <v>0</v>
      </c>
      <c r="S41" s="338">
        <f>SUMIFS(data count,data name,"="&amp;sname,data week,"="&amp;sweek)-SUMIFS(data count,data name,"="&amp;sname,data week,"="&amp;sweek,data Event,"="&amp;"Read Thread")</f>
        <v>0</v>
      </c>
      <c r="T41" s="336">
        <f t="shared" si="7"/>
        <v>0</v>
      </c>
      <c r="U41" s="336">
        <f>SUMIFS(fweeks 41:41, fweeks fWeek,"&lt;="&amp;fWeek)</f>
        <v>0</v>
      </c>
      <c r="V41" s="336">
        <f>SUMIFS(fweeks 41:41, fweeks fWeek,"&lt;="&amp;fWeek)</f>
        <v>0</v>
      </c>
      <c r="W41" s="336">
        <f>SUMIFS(fweeks 41:41, fweeks fWeek,"&lt;="&amp;fWeek)</f>
        <v>0</v>
      </c>
      <c r="X41" s="336">
        <f>SUMIFS(fweeks 41:41, fweeks fWeek,"&lt;="&amp;fWeek)</f>
        <v>0</v>
      </c>
    </row>
    <row r="42" spans="1:24" x14ac:dyDescent="0.25">
      <c r="A42" s="217">
        <f>Roster!B24</f>
        <v>17</v>
      </c>
      <c r="B42" s="346" t="str">
        <f>Roster!C24</f>
        <v>Lapitan, Blaine Dondi</v>
      </c>
      <c r="C42" s="346"/>
      <c r="D42" s="337">
        <f>SUMIFS(data count,data name,"="&amp;sname,data week,"="&amp;sweek)-SUMIFS(data count,data name,"="&amp;sname,data week,"="&amp;sweek,data Event,"="&amp;"Read Thread")</f>
        <v>0</v>
      </c>
      <c r="E42" s="338">
        <f>SUMIFS(data count,data name,"="&amp;sname,data week,"="&amp;sweek)-SUMIFS(data count,data name,"="&amp;sname,data week,"="&amp;sweek,data Event,"="&amp;"Read Thread")</f>
        <v>0</v>
      </c>
      <c r="F42" s="338">
        <f>SUMIFS(data count,data name,"="&amp;sname,data week,"="&amp;sweek)-SUMIFS(data count,data name,"="&amp;sname,data week,"="&amp;sweek,data Event,"="&amp;"Read Thread")</f>
        <v>0</v>
      </c>
      <c r="G42" s="338">
        <f>SUMIFS(data count,data name,"="&amp;sname,data week,"="&amp;sweek)-SUMIFS(data count,data name,"="&amp;sname,data week,"="&amp;sweek,data Event,"="&amp;"Read Thread")</f>
        <v>0</v>
      </c>
      <c r="H42" s="338">
        <f>SUMIFS(data count,data name,"="&amp;sname,data week,"="&amp;sweek)-SUMIFS(data count,data name,"="&amp;sname,data week,"="&amp;sweek,data Event,"="&amp;"Read Thread")</f>
        <v>0</v>
      </c>
      <c r="I42" s="338">
        <f>SUMIFS(data count,data name,"="&amp;sname,data week,"="&amp;sweek)-SUMIFS(data count,data name,"="&amp;sname,data week,"="&amp;sweek,data Event,"="&amp;"Read Thread")</f>
        <v>0</v>
      </c>
      <c r="J42" s="338">
        <f>SUMIFS(data count,data name,"="&amp;sname,data week,"="&amp;sweek)-SUMIFS(data count,data name,"="&amp;sname,data week,"="&amp;sweek,data Event,"="&amp;"Read Thread")</f>
        <v>0</v>
      </c>
      <c r="K42" s="338">
        <f>SUMIFS(data count,data name,"="&amp;sname,data week,"="&amp;sweek)-SUMIFS(data count,data name,"="&amp;sname,data week,"="&amp;sweek,data Event,"="&amp;"Read Thread")</f>
        <v>0</v>
      </c>
      <c r="L42" s="338">
        <f>SUMIFS(data count,data name,"="&amp;sname,data week,"="&amp;sweek)-SUMIFS(data count,data name,"="&amp;sname,data week,"="&amp;sweek,data Event,"="&amp;"Read Thread")</f>
        <v>0</v>
      </c>
      <c r="M42" s="338">
        <f>SUMIFS(data count,data name,"="&amp;sname,data week,"="&amp;sweek)-SUMIFS(data count,data name,"="&amp;sname,data week,"="&amp;sweek,data Event,"="&amp;"Read Thread")</f>
        <v>0</v>
      </c>
      <c r="N42" s="338">
        <f>SUMIFS(data count,data name,"="&amp;sname,data week,"="&amp;sweek)-SUMIFS(data count,data name,"="&amp;sname,data week,"="&amp;sweek,data Event,"="&amp;"Read Thread")</f>
        <v>0</v>
      </c>
      <c r="O42" s="338">
        <f>SUMIFS(data count,data name,"="&amp;sname,data week,"="&amp;sweek)-SUMIFS(data count,data name,"="&amp;sname,data week,"="&amp;sweek,data Event,"="&amp;"Read Thread")</f>
        <v>0</v>
      </c>
      <c r="P42" s="338">
        <f>SUMIFS(data count,data name,"="&amp;sname,data week,"="&amp;sweek)-SUMIFS(data count,data name,"="&amp;sname,data week,"="&amp;sweek,data Event,"="&amp;"Read Thread")</f>
        <v>0</v>
      </c>
      <c r="Q42" s="338">
        <f>SUMIFS(data count,data name,"="&amp;sname,data week,"="&amp;sweek)-SUMIFS(data count,data name,"="&amp;sname,data week,"="&amp;sweek,data Event,"="&amp;"Read Thread")</f>
        <v>0</v>
      </c>
      <c r="R42" s="338">
        <f>SUMIFS(data count,data name,"="&amp;sname,data week,"="&amp;sweek)-SUMIFS(data count,data name,"="&amp;sname,data week,"="&amp;sweek,data Event,"="&amp;"Read Thread")</f>
        <v>0</v>
      </c>
      <c r="S42" s="338">
        <f>SUMIFS(data count,data name,"="&amp;sname,data week,"="&amp;sweek)-SUMIFS(data count,data name,"="&amp;sname,data week,"="&amp;sweek,data Event,"="&amp;"Read Thread")</f>
        <v>0</v>
      </c>
      <c r="T42" s="336">
        <f t="shared" si="7"/>
        <v>0</v>
      </c>
      <c r="U42" s="336">
        <f>SUMIFS(fweeks 42:42, fweeks fWeek,"&lt;="&amp;fWeek)</f>
        <v>0</v>
      </c>
      <c r="V42" s="336">
        <f>SUMIFS(fweeks 42:42, fweeks fWeek,"&lt;="&amp;fWeek)</f>
        <v>0</v>
      </c>
      <c r="W42" s="336">
        <f>SUMIFS(fweeks 42:42, fweeks fWeek,"&lt;="&amp;fWeek)</f>
        <v>0</v>
      </c>
      <c r="X42" s="336">
        <f>SUMIFS(fweeks 42:42, fweeks fWeek,"&lt;="&amp;fWeek)</f>
        <v>0</v>
      </c>
    </row>
    <row r="43" spans="1:24" x14ac:dyDescent="0.25">
      <c r="A43" s="217">
        <f>Roster!B25</f>
        <v>18</v>
      </c>
      <c r="B43" s="346" t="str">
        <f>Roster!C25</f>
        <v>Muratov, Sherzod</v>
      </c>
      <c r="C43" s="346"/>
      <c r="D43" s="337">
        <f>SUMIFS(data count,data name,"="&amp;sname,data week,"="&amp;sweek)-SUMIFS(data count,data name,"="&amp;sname,data week,"="&amp;sweek,data Event,"="&amp;"Read Thread")</f>
        <v>0</v>
      </c>
      <c r="E43" s="338">
        <f>SUMIFS(data count,data name,"="&amp;sname,data week,"="&amp;sweek)-SUMIFS(data count,data name,"="&amp;sname,data week,"="&amp;sweek,data Event,"="&amp;"Read Thread")</f>
        <v>0</v>
      </c>
      <c r="F43" s="338">
        <f>SUMIFS(data count,data name,"="&amp;sname,data week,"="&amp;sweek)-SUMIFS(data count,data name,"="&amp;sname,data week,"="&amp;sweek,data Event,"="&amp;"Read Thread")</f>
        <v>0</v>
      </c>
      <c r="G43" s="338">
        <f>SUMIFS(data count,data name,"="&amp;sname,data week,"="&amp;sweek)-SUMIFS(data count,data name,"="&amp;sname,data week,"="&amp;sweek,data Event,"="&amp;"Read Thread")</f>
        <v>0</v>
      </c>
      <c r="H43" s="338">
        <f>SUMIFS(data count,data name,"="&amp;sname,data week,"="&amp;sweek)-SUMIFS(data count,data name,"="&amp;sname,data week,"="&amp;sweek,data Event,"="&amp;"Read Thread")</f>
        <v>0</v>
      </c>
      <c r="I43" s="338">
        <f>SUMIFS(data count,data name,"="&amp;sname,data week,"="&amp;sweek)-SUMIFS(data count,data name,"="&amp;sname,data week,"="&amp;sweek,data Event,"="&amp;"Read Thread")</f>
        <v>0</v>
      </c>
      <c r="J43" s="338">
        <f>SUMIFS(data count,data name,"="&amp;sname,data week,"="&amp;sweek)-SUMIFS(data count,data name,"="&amp;sname,data week,"="&amp;sweek,data Event,"="&amp;"Read Thread")</f>
        <v>0</v>
      </c>
      <c r="K43" s="338">
        <f>SUMIFS(data count,data name,"="&amp;sname,data week,"="&amp;sweek)-SUMIFS(data count,data name,"="&amp;sname,data week,"="&amp;sweek,data Event,"="&amp;"Read Thread")</f>
        <v>0</v>
      </c>
      <c r="L43" s="338">
        <f>SUMIFS(data count,data name,"="&amp;sname,data week,"="&amp;sweek)-SUMIFS(data count,data name,"="&amp;sname,data week,"="&amp;sweek,data Event,"="&amp;"Read Thread")</f>
        <v>0</v>
      </c>
      <c r="M43" s="338">
        <f>SUMIFS(data count,data name,"="&amp;sname,data week,"="&amp;sweek)-SUMIFS(data count,data name,"="&amp;sname,data week,"="&amp;sweek,data Event,"="&amp;"Read Thread")</f>
        <v>0</v>
      </c>
      <c r="N43" s="338">
        <f>SUMIFS(data count,data name,"="&amp;sname,data week,"="&amp;sweek)-SUMIFS(data count,data name,"="&amp;sname,data week,"="&amp;sweek,data Event,"="&amp;"Read Thread")</f>
        <v>0</v>
      </c>
      <c r="O43" s="338">
        <f>SUMIFS(data count,data name,"="&amp;sname,data week,"="&amp;sweek)-SUMIFS(data count,data name,"="&amp;sname,data week,"="&amp;sweek,data Event,"="&amp;"Read Thread")</f>
        <v>0</v>
      </c>
      <c r="P43" s="338">
        <f>SUMIFS(data count,data name,"="&amp;sname,data week,"="&amp;sweek)-SUMIFS(data count,data name,"="&amp;sname,data week,"="&amp;sweek,data Event,"="&amp;"Read Thread")</f>
        <v>0</v>
      </c>
      <c r="Q43" s="338">
        <f>SUMIFS(data count,data name,"="&amp;sname,data week,"="&amp;sweek)-SUMIFS(data count,data name,"="&amp;sname,data week,"="&amp;sweek,data Event,"="&amp;"Read Thread")</f>
        <v>0</v>
      </c>
      <c r="R43" s="338">
        <f>SUMIFS(data count,data name,"="&amp;sname,data week,"="&amp;sweek)-SUMIFS(data count,data name,"="&amp;sname,data week,"="&amp;sweek,data Event,"="&amp;"Read Thread")</f>
        <v>0</v>
      </c>
      <c r="S43" s="338">
        <f>SUMIFS(data count,data name,"="&amp;sname,data week,"="&amp;sweek)-SUMIFS(data count,data name,"="&amp;sname,data week,"="&amp;sweek,data Event,"="&amp;"Read Thread")</f>
        <v>0</v>
      </c>
      <c r="T43" s="336">
        <f t="shared" ref="T43:T52" si="8">SUM(D43:S43)</f>
        <v>0</v>
      </c>
      <c r="U43" s="336">
        <f>SUMIFS(fweeks 43:43, fweeks fWeek,"&lt;="&amp;fWeek)</f>
        <v>0</v>
      </c>
      <c r="V43" s="336">
        <f>SUMIFS(fweeks 43:43, fweeks fWeek,"&lt;="&amp;fWeek)</f>
        <v>0</v>
      </c>
      <c r="W43" s="336">
        <f>SUMIFS(fweeks 43:43, fweeks fWeek,"&lt;="&amp;fWeek)</f>
        <v>0</v>
      </c>
      <c r="X43" s="336">
        <f>SUMIFS(fweeks 43:43, fweeks fWeek,"&lt;="&amp;fWeek)</f>
        <v>0</v>
      </c>
    </row>
    <row r="44" spans="1:24" x14ac:dyDescent="0.25">
      <c r="A44" s="217">
        <f>Roster!B26</f>
        <v>19</v>
      </c>
      <c r="B44" s="346" t="str">
        <f>Roster!C26</f>
        <v>Nazarov, Nodir</v>
      </c>
      <c r="C44" s="346"/>
      <c r="D44" s="337">
        <f>SUMIFS(data count,data name,"="&amp;sname,data week,"="&amp;sweek)-SUMIFS(data count,data name,"="&amp;sname,data week,"="&amp;sweek,data Event,"="&amp;"Read Thread")</f>
        <v>0</v>
      </c>
      <c r="E44" s="338">
        <f>SUMIFS(data count,data name,"="&amp;sname,data week,"="&amp;sweek)-SUMIFS(data count,data name,"="&amp;sname,data week,"="&amp;sweek,data Event,"="&amp;"Read Thread")</f>
        <v>0</v>
      </c>
      <c r="F44" s="338">
        <f>SUMIFS(data count,data name,"="&amp;sname,data week,"="&amp;sweek)-SUMIFS(data count,data name,"="&amp;sname,data week,"="&amp;sweek,data Event,"="&amp;"Read Thread")</f>
        <v>0</v>
      </c>
      <c r="G44" s="338">
        <f>SUMIFS(data count,data name,"="&amp;sname,data week,"="&amp;sweek)-SUMIFS(data count,data name,"="&amp;sname,data week,"="&amp;sweek,data Event,"="&amp;"Read Thread")</f>
        <v>0</v>
      </c>
      <c r="H44" s="338">
        <f>SUMIFS(data count,data name,"="&amp;sname,data week,"="&amp;sweek)-SUMIFS(data count,data name,"="&amp;sname,data week,"="&amp;sweek,data Event,"="&amp;"Read Thread")</f>
        <v>0</v>
      </c>
      <c r="I44" s="338">
        <f>SUMIFS(data count,data name,"="&amp;sname,data week,"="&amp;sweek)-SUMIFS(data count,data name,"="&amp;sname,data week,"="&amp;sweek,data Event,"="&amp;"Read Thread")</f>
        <v>0</v>
      </c>
      <c r="J44" s="338">
        <f>SUMIFS(data count,data name,"="&amp;sname,data week,"="&amp;sweek)-SUMIFS(data count,data name,"="&amp;sname,data week,"="&amp;sweek,data Event,"="&amp;"Read Thread")</f>
        <v>0</v>
      </c>
      <c r="K44" s="338">
        <f>SUMIFS(data count,data name,"="&amp;sname,data week,"="&amp;sweek)-SUMIFS(data count,data name,"="&amp;sname,data week,"="&amp;sweek,data Event,"="&amp;"Read Thread")</f>
        <v>0</v>
      </c>
      <c r="L44" s="338">
        <f>SUMIFS(data count,data name,"="&amp;sname,data week,"="&amp;sweek)-SUMIFS(data count,data name,"="&amp;sname,data week,"="&amp;sweek,data Event,"="&amp;"Read Thread")</f>
        <v>0</v>
      </c>
      <c r="M44" s="338">
        <f>SUMIFS(data count,data name,"="&amp;sname,data week,"="&amp;sweek)-SUMIFS(data count,data name,"="&amp;sname,data week,"="&amp;sweek,data Event,"="&amp;"Read Thread")</f>
        <v>0</v>
      </c>
      <c r="N44" s="338">
        <f>SUMIFS(data count,data name,"="&amp;sname,data week,"="&amp;sweek)-SUMIFS(data count,data name,"="&amp;sname,data week,"="&amp;sweek,data Event,"="&amp;"Read Thread")</f>
        <v>0</v>
      </c>
      <c r="O44" s="338">
        <f>SUMIFS(data count,data name,"="&amp;sname,data week,"="&amp;sweek)-SUMIFS(data count,data name,"="&amp;sname,data week,"="&amp;sweek,data Event,"="&amp;"Read Thread")</f>
        <v>0</v>
      </c>
      <c r="P44" s="338">
        <f>SUMIFS(data count,data name,"="&amp;sname,data week,"="&amp;sweek)-SUMIFS(data count,data name,"="&amp;sname,data week,"="&amp;sweek,data Event,"="&amp;"Read Thread")</f>
        <v>0</v>
      </c>
      <c r="Q44" s="338">
        <f>SUMIFS(data count,data name,"="&amp;sname,data week,"="&amp;sweek)-SUMIFS(data count,data name,"="&amp;sname,data week,"="&amp;sweek,data Event,"="&amp;"Read Thread")</f>
        <v>0</v>
      </c>
      <c r="R44" s="338">
        <f>SUMIFS(data count,data name,"="&amp;sname,data week,"="&amp;sweek)-SUMIFS(data count,data name,"="&amp;sname,data week,"="&amp;sweek,data Event,"="&amp;"Read Thread")</f>
        <v>0</v>
      </c>
      <c r="S44" s="338">
        <f>SUMIFS(data count,data name,"="&amp;sname,data week,"="&amp;sweek)-SUMIFS(data count,data name,"="&amp;sname,data week,"="&amp;sweek,data Event,"="&amp;"Read Thread")</f>
        <v>0</v>
      </c>
      <c r="T44" s="336">
        <f t="shared" si="8"/>
        <v>0</v>
      </c>
      <c r="U44" s="336">
        <f>SUMIFS(fweeks 44:44, fweeks fWeek,"&lt;="&amp;fWeek)</f>
        <v>0</v>
      </c>
      <c r="V44" s="336">
        <f>SUMIFS(fweeks 44:44, fweeks fWeek,"&lt;="&amp;fWeek)</f>
        <v>0</v>
      </c>
      <c r="W44" s="336">
        <f>SUMIFS(fweeks 44:44, fweeks fWeek,"&lt;="&amp;fWeek)</f>
        <v>0</v>
      </c>
      <c r="X44" s="336">
        <f>SUMIFS(fweeks 44:44, fweeks fWeek,"&lt;="&amp;fWeek)</f>
        <v>0</v>
      </c>
    </row>
    <row r="45" spans="1:24" x14ac:dyDescent="0.25">
      <c r="A45" s="217">
        <f>Roster!B27</f>
        <v>20</v>
      </c>
      <c r="B45" s="346" t="str">
        <f>Roster!C27</f>
        <v>Negeri, Wagari Temesgen</v>
      </c>
      <c r="C45" s="346"/>
      <c r="D45" s="337">
        <f>SUMIFS(data count,data name,"="&amp;sname,data week,"="&amp;sweek)-SUMIFS(data count,data name,"="&amp;sname,data week,"="&amp;sweek,data Event,"="&amp;"Read Thread")</f>
        <v>0</v>
      </c>
      <c r="E45" s="338">
        <f>SUMIFS(data count,data name,"="&amp;sname,data week,"="&amp;sweek)-SUMIFS(data count,data name,"="&amp;sname,data week,"="&amp;sweek,data Event,"="&amp;"Read Thread")</f>
        <v>0</v>
      </c>
      <c r="F45" s="338">
        <f>SUMIFS(data count,data name,"="&amp;sname,data week,"="&amp;sweek)-SUMIFS(data count,data name,"="&amp;sname,data week,"="&amp;sweek,data Event,"="&amp;"Read Thread")</f>
        <v>0</v>
      </c>
      <c r="G45" s="338">
        <f>SUMIFS(data count,data name,"="&amp;sname,data week,"="&amp;sweek)-SUMIFS(data count,data name,"="&amp;sname,data week,"="&amp;sweek,data Event,"="&amp;"Read Thread")</f>
        <v>0</v>
      </c>
      <c r="H45" s="338">
        <f>SUMIFS(data count,data name,"="&amp;sname,data week,"="&amp;sweek)-SUMIFS(data count,data name,"="&amp;sname,data week,"="&amp;sweek,data Event,"="&amp;"Read Thread")</f>
        <v>0</v>
      </c>
      <c r="I45" s="338">
        <f>SUMIFS(data count,data name,"="&amp;sname,data week,"="&amp;sweek)-SUMIFS(data count,data name,"="&amp;sname,data week,"="&amp;sweek,data Event,"="&amp;"Read Thread")</f>
        <v>0</v>
      </c>
      <c r="J45" s="338">
        <f>SUMIFS(data count,data name,"="&amp;sname,data week,"="&amp;sweek)-SUMIFS(data count,data name,"="&amp;sname,data week,"="&amp;sweek,data Event,"="&amp;"Read Thread")</f>
        <v>0</v>
      </c>
      <c r="K45" s="338">
        <f>SUMIFS(data count,data name,"="&amp;sname,data week,"="&amp;sweek)-SUMIFS(data count,data name,"="&amp;sname,data week,"="&amp;sweek,data Event,"="&amp;"Read Thread")</f>
        <v>0</v>
      </c>
      <c r="L45" s="338">
        <f>SUMIFS(data count,data name,"="&amp;sname,data week,"="&amp;sweek)-SUMIFS(data count,data name,"="&amp;sname,data week,"="&amp;sweek,data Event,"="&amp;"Read Thread")</f>
        <v>0</v>
      </c>
      <c r="M45" s="338">
        <f>SUMIFS(data count,data name,"="&amp;sname,data week,"="&amp;sweek)-SUMIFS(data count,data name,"="&amp;sname,data week,"="&amp;sweek,data Event,"="&amp;"Read Thread")</f>
        <v>0</v>
      </c>
      <c r="N45" s="338">
        <f>SUMIFS(data count,data name,"="&amp;sname,data week,"="&amp;sweek)-SUMIFS(data count,data name,"="&amp;sname,data week,"="&amp;sweek,data Event,"="&amp;"Read Thread")</f>
        <v>0</v>
      </c>
      <c r="O45" s="338">
        <f>SUMIFS(data count,data name,"="&amp;sname,data week,"="&amp;sweek)-SUMIFS(data count,data name,"="&amp;sname,data week,"="&amp;sweek,data Event,"="&amp;"Read Thread")</f>
        <v>0</v>
      </c>
      <c r="P45" s="338">
        <f>SUMIFS(data count,data name,"="&amp;sname,data week,"="&amp;sweek)-SUMIFS(data count,data name,"="&amp;sname,data week,"="&amp;sweek,data Event,"="&amp;"Read Thread")</f>
        <v>0</v>
      </c>
      <c r="Q45" s="338">
        <f>SUMIFS(data count,data name,"="&amp;sname,data week,"="&amp;sweek)-SUMIFS(data count,data name,"="&amp;sname,data week,"="&amp;sweek,data Event,"="&amp;"Read Thread")</f>
        <v>0</v>
      </c>
      <c r="R45" s="338">
        <f>SUMIFS(data count,data name,"="&amp;sname,data week,"="&amp;sweek)-SUMIFS(data count,data name,"="&amp;sname,data week,"="&amp;sweek,data Event,"="&amp;"Read Thread")</f>
        <v>0</v>
      </c>
      <c r="S45" s="338">
        <f>SUMIFS(data count,data name,"="&amp;sname,data week,"="&amp;sweek)-SUMIFS(data count,data name,"="&amp;sname,data week,"="&amp;sweek,data Event,"="&amp;"Read Thread")</f>
        <v>0</v>
      </c>
      <c r="T45" s="336">
        <f t="shared" si="8"/>
        <v>0</v>
      </c>
      <c r="U45" s="336">
        <f>SUMIFS(fweeks 45:45, fweeks fWeek,"&lt;="&amp;fWeek)</f>
        <v>0</v>
      </c>
      <c r="V45" s="336">
        <f>SUMIFS(fweeks 45:45, fweeks fWeek,"&lt;="&amp;fWeek)</f>
        <v>0</v>
      </c>
      <c r="W45" s="336">
        <f>SUMIFS(fweeks 45:45, fweeks fWeek,"&lt;="&amp;fWeek)</f>
        <v>0</v>
      </c>
      <c r="X45" s="336">
        <f>SUMIFS(fweeks 45:45, fweeks fWeek,"&lt;="&amp;fWeek)</f>
        <v>0</v>
      </c>
    </row>
    <row r="46" spans="1:24" x14ac:dyDescent="0.25">
      <c r="A46" s="217">
        <f>Roster!B28</f>
        <v>21</v>
      </c>
      <c r="B46" s="346" t="str">
        <f>Roster!C28</f>
        <v>Taheri, Homayoon</v>
      </c>
      <c r="C46" s="346"/>
      <c r="D46" s="337">
        <f>SUMIFS(data count,data name,"="&amp;sname,data week,"="&amp;sweek)-SUMIFS(data count,data name,"="&amp;sname,data week,"="&amp;sweek,data Event,"="&amp;"Read Thread")</f>
        <v>0</v>
      </c>
      <c r="E46" s="338">
        <f>SUMIFS(data count,data name,"="&amp;sname,data week,"="&amp;sweek)-SUMIFS(data count,data name,"="&amp;sname,data week,"="&amp;sweek,data Event,"="&amp;"Read Thread")</f>
        <v>0</v>
      </c>
      <c r="F46" s="338">
        <f>SUMIFS(data count,data name,"="&amp;sname,data week,"="&amp;sweek)-SUMIFS(data count,data name,"="&amp;sname,data week,"="&amp;sweek,data Event,"="&amp;"Read Thread")</f>
        <v>0</v>
      </c>
      <c r="G46" s="338">
        <f>SUMIFS(data count,data name,"="&amp;sname,data week,"="&amp;sweek)-SUMIFS(data count,data name,"="&amp;sname,data week,"="&amp;sweek,data Event,"="&amp;"Read Thread")</f>
        <v>0</v>
      </c>
      <c r="H46" s="338">
        <f>SUMIFS(data count,data name,"="&amp;sname,data week,"="&amp;sweek)-SUMIFS(data count,data name,"="&amp;sname,data week,"="&amp;sweek,data Event,"="&amp;"Read Thread")</f>
        <v>0</v>
      </c>
      <c r="I46" s="338">
        <f>SUMIFS(data count,data name,"="&amp;sname,data week,"="&amp;sweek)-SUMIFS(data count,data name,"="&amp;sname,data week,"="&amp;sweek,data Event,"="&amp;"Read Thread")</f>
        <v>0</v>
      </c>
      <c r="J46" s="338">
        <f>SUMIFS(data count,data name,"="&amp;sname,data week,"="&amp;sweek)-SUMIFS(data count,data name,"="&amp;sname,data week,"="&amp;sweek,data Event,"="&amp;"Read Thread")</f>
        <v>0</v>
      </c>
      <c r="K46" s="338">
        <f>SUMIFS(data count,data name,"="&amp;sname,data week,"="&amp;sweek)-SUMIFS(data count,data name,"="&amp;sname,data week,"="&amp;sweek,data Event,"="&amp;"Read Thread")</f>
        <v>0</v>
      </c>
      <c r="L46" s="338">
        <f>SUMIFS(data count,data name,"="&amp;sname,data week,"="&amp;sweek)-SUMIFS(data count,data name,"="&amp;sname,data week,"="&amp;sweek,data Event,"="&amp;"Read Thread")</f>
        <v>0</v>
      </c>
      <c r="M46" s="338">
        <f>SUMIFS(data count,data name,"="&amp;sname,data week,"="&amp;sweek)-SUMIFS(data count,data name,"="&amp;sname,data week,"="&amp;sweek,data Event,"="&amp;"Read Thread")</f>
        <v>0</v>
      </c>
      <c r="N46" s="338">
        <f>SUMIFS(data count,data name,"="&amp;sname,data week,"="&amp;sweek)-SUMIFS(data count,data name,"="&amp;sname,data week,"="&amp;sweek,data Event,"="&amp;"Read Thread")</f>
        <v>0</v>
      </c>
      <c r="O46" s="338">
        <f>SUMIFS(data count,data name,"="&amp;sname,data week,"="&amp;sweek)-SUMIFS(data count,data name,"="&amp;sname,data week,"="&amp;sweek,data Event,"="&amp;"Read Thread")</f>
        <v>0</v>
      </c>
      <c r="P46" s="338">
        <f>SUMIFS(data count,data name,"="&amp;sname,data week,"="&amp;sweek)-SUMIFS(data count,data name,"="&amp;sname,data week,"="&amp;sweek,data Event,"="&amp;"Read Thread")</f>
        <v>0</v>
      </c>
      <c r="Q46" s="338">
        <f>SUMIFS(data count,data name,"="&amp;sname,data week,"="&amp;sweek)-SUMIFS(data count,data name,"="&amp;sname,data week,"="&amp;sweek,data Event,"="&amp;"Read Thread")</f>
        <v>0</v>
      </c>
      <c r="R46" s="338">
        <f>SUMIFS(data count,data name,"="&amp;sname,data week,"="&amp;sweek)-SUMIFS(data count,data name,"="&amp;sname,data week,"="&amp;sweek,data Event,"="&amp;"Read Thread")</f>
        <v>0</v>
      </c>
      <c r="S46" s="338">
        <f>SUMIFS(data count,data name,"="&amp;sname,data week,"="&amp;sweek)-SUMIFS(data count,data name,"="&amp;sname,data week,"="&amp;sweek,data Event,"="&amp;"Read Thread")</f>
        <v>0</v>
      </c>
      <c r="T46" s="336">
        <f t="shared" si="8"/>
        <v>0</v>
      </c>
      <c r="U46" s="336">
        <f>SUMIFS(fweeks 46:46, fweeks fWeek,"&lt;="&amp;fWeek)</f>
        <v>0</v>
      </c>
      <c r="V46" s="336">
        <f>SUMIFS(fweeks 46:46, fweeks fWeek,"&lt;="&amp;fWeek)</f>
        <v>0</v>
      </c>
      <c r="W46" s="336">
        <f>SUMIFS(fweeks 46:46, fweeks fWeek,"&lt;="&amp;fWeek)</f>
        <v>0</v>
      </c>
      <c r="X46" s="336">
        <f>SUMIFS(fweeks 46:46, fweeks fWeek,"&lt;="&amp;fWeek)</f>
        <v>0</v>
      </c>
    </row>
    <row r="47" spans="1:24" x14ac:dyDescent="0.25">
      <c r="A47" s="217">
        <f>Roster!B29</f>
        <v>22</v>
      </c>
      <c r="B47" s="346" t="str">
        <f>Roster!C29</f>
        <v>Tsagaach, Enkhbold</v>
      </c>
      <c r="C47" s="346"/>
      <c r="D47" s="337">
        <f>SUMIFS(data count,data name,"="&amp;sname,data week,"="&amp;sweek)-SUMIFS(data count,data name,"="&amp;sname,data week,"="&amp;sweek,data Event,"="&amp;"Read Thread")</f>
        <v>0</v>
      </c>
      <c r="E47" s="338">
        <f>SUMIFS(data count,data name,"="&amp;sname,data week,"="&amp;sweek)-SUMIFS(data count,data name,"="&amp;sname,data week,"="&amp;sweek,data Event,"="&amp;"Read Thread")</f>
        <v>0</v>
      </c>
      <c r="F47" s="338">
        <f>SUMIFS(data count,data name,"="&amp;sname,data week,"="&amp;sweek)-SUMIFS(data count,data name,"="&amp;sname,data week,"="&amp;sweek,data Event,"="&amp;"Read Thread")</f>
        <v>0</v>
      </c>
      <c r="G47" s="338">
        <f>SUMIFS(data count,data name,"="&amp;sname,data week,"="&amp;sweek)-SUMIFS(data count,data name,"="&amp;sname,data week,"="&amp;sweek,data Event,"="&amp;"Read Thread")</f>
        <v>0</v>
      </c>
      <c r="H47" s="338">
        <f>SUMIFS(data count,data name,"="&amp;sname,data week,"="&amp;sweek)-SUMIFS(data count,data name,"="&amp;sname,data week,"="&amp;sweek,data Event,"="&amp;"Read Thread")</f>
        <v>0</v>
      </c>
      <c r="I47" s="338">
        <f>SUMIFS(data count,data name,"="&amp;sname,data week,"="&amp;sweek)-SUMIFS(data count,data name,"="&amp;sname,data week,"="&amp;sweek,data Event,"="&amp;"Read Thread")</f>
        <v>0</v>
      </c>
      <c r="J47" s="338">
        <f>SUMIFS(data count,data name,"="&amp;sname,data week,"="&amp;sweek)-SUMIFS(data count,data name,"="&amp;sname,data week,"="&amp;sweek,data Event,"="&amp;"Read Thread")</f>
        <v>0</v>
      </c>
      <c r="K47" s="338">
        <f>SUMIFS(data count,data name,"="&amp;sname,data week,"="&amp;sweek)-SUMIFS(data count,data name,"="&amp;sname,data week,"="&amp;sweek,data Event,"="&amp;"Read Thread")</f>
        <v>0</v>
      </c>
      <c r="L47" s="338">
        <f>SUMIFS(data count,data name,"="&amp;sname,data week,"="&amp;sweek)-SUMIFS(data count,data name,"="&amp;sname,data week,"="&amp;sweek,data Event,"="&amp;"Read Thread")</f>
        <v>0</v>
      </c>
      <c r="M47" s="338">
        <f>SUMIFS(data count,data name,"="&amp;sname,data week,"="&amp;sweek)-SUMIFS(data count,data name,"="&amp;sname,data week,"="&amp;sweek,data Event,"="&amp;"Read Thread")</f>
        <v>0</v>
      </c>
      <c r="N47" s="338">
        <f>SUMIFS(data count,data name,"="&amp;sname,data week,"="&amp;sweek)-SUMIFS(data count,data name,"="&amp;sname,data week,"="&amp;sweek,data Event,"="&amp;"Read Thread")</f>
        <v>0</v>
      </c>
      <c r="O47" s="338">
        <f>SUMIFS(data count,data name,"="&amp;sname,data week,"="&amp;sweek)-SUMIFS(data count,data name,"="&amp;sname,data week,"="&amp;sweek,data Event,"="&amp;"Read Thread")</f>
        <v>0</v>
      </c>
      <c r="P47" s="338">
        <f>SUMIFS(data count,data name,"="&amp;sname,data week,"="&amp;sweek)-SUMIFS(data count,data name,"="&amp;sname,data week,"="&amp;sweek,data Event,"="&amp;"Read Thread")</f>
        <v>0</v>
      </c>
      <c r="Q47" s="338">
        <f>SUMIFS(data count,data name,"="&amp;sname,data week,"="&amp;sweek)-SUMIFS(data count,data name,"="&amp;sname,data week,"="&amp;sweek,data Event,"="&amp;"Read Thread")</f>
        <v>0</v>
      </c>
      <c r="R47" s="338">
        <f>SUMIFS(data count,data name,"="&amp;sname,data week,"="&amp;sweek)-SUMIFS(data count,data name,"="&amp;sname,data week,"="&amp;sweek,data Event,"="&amp;"Read Thread")</f>
        <v>0</v>
      </c>
      <c r="S47" s="338">
        <f>SUMIFS(data count,data name,"="&amp;sname,data week,"="&amp;sweek)-SUMIFS(data count,data name,"="&amp;sname,data week,"="&amp;sweek,data Event,"="&amp;"Read Thread")</f>
        <v>0</v>
      </c>
      <c r="T47" s="336">
        <f t="shared" si="8"/>
        <v>0</v>
      </c>
      <c r="U47" s="336">
        <f>SUMIFS(fweeks 47:47, fweeks fWeek,"&lt;="&amp;fWeek)</f>
        <v>0</v>
      </c>
      <c r="V47" s="336">
        <f>SUMIFS(fweeks 47:47, fweeks fWeek,"&lt;="&amp;fWeek)</f>
        <v>0</v>
      </c>
      <c r="W47" s="336">
        <f>SUMIFS(fweeks 47:47, fweeks fWeek,"&lt;="&amp;fWeek)</f>
        <v>0</v>
      </c>
      <c r="X47" s="336">
        <f>SUMIFS(fweeks 47:47, fweeks fWeek,"&lt;="&amp;fWeek)</f>
        <v>0</v>
      </c>
    </row>
    <row r="48" spans="1:24" x14ac:dyDescent="0.25">
      <c r="A48" s="217">
        <f>Roster!B30</f>
        <v>23</v>
      </c>
      <c r="B48" s="346" t="str">
        <f>Roster!C30</f>
        <v>Turabaev, Orifjon</v>
      </c>
      <c r="C48" s="346"/>
      <c r="D48" s="337">
        <f>SUMIFS(data count,data name,"="&amp;sname,data week,"="&amp;sweek)-SUMIFS(data count,data name,"="&amp;sname,data week,"="&amp;sweek,data Event,"="&amp;"Read Thread")</f>
        <v>0</v>
      </c>
      <c r="E48" s="338">
        <f>SUMIFS(data count,data name,"="&amp;sname,data week,"="&amp;sweek)-SUMIFS(data count,data name,"="&amp;sname,data week,"="&amp;sweek,data Event,"="&amp;"Read Thread")</f>
        <v>0</v>
      </c>
      <c r="F48" s="338">
        <f>SUMIFS(data count,data name,"="&amp;sname,data week,"="&amp;sweek)-SUMIFS(data count,data name,"="&amp;sname,data week,"="&amp;sweek,data Event,"="&amp;"Read Thread")</f>
        <v>0</v>
      </c>
      <c r="G48" s="338">
        <f>SUMIFS(data count,data name,"="&amp;sname,data week,"="&amp;sweek)-SUMIFS(data count,data name,"="&amp;sname,data week,"="&amp;sweek,data Event,"="&amp;"Read Thread")</f>
        <v>0</v>
      </c>
      <c r="H48" s="338">
        <f>SUMIFS(data count,data name,"="&amp;sname,data week,"="&amp;sweek)-SUMIFS(data count,data name,"="&amp;sname,data week,"="&amp;sweek,data Event,"="&amp;"Read Thread")</f>
        <v>0</v>
      </c>
      <c r="I48" s="338">
        <f>SUMIFS(data count,data name,"="&amp;sname,data week,"="&amp;sweek)-SUMIFS(data count,data name,"="&amp;sname,data week,"="&amp;sweek,data Event,"="&amp;"Read Thread")</f>
        <v>0</v>
      </c>
      <c r="J48" s="338">
        <f>SUMIFS(data count,data name,"="&amp;sname,data week,"="&amp;sweek)-SUMIFS(data count,data name,"="&amp;sname,data week,"="&amp;sweek,data Event,"="&amp;"Read Thread")</f>
        <v>0</v>
      </c>
      <c r="K48" s="338">
        <f>SUMIFS(data count,data name,"="&amp;sname,data week,"="&amp;sweek)-SUMIFS(data count,data name,"="&amp;sname,data week,"="&amp;sweek,data Event,"="&amp;"Read Thread")</f>
        <v>0</v>
      </c>
      <c r="L48" s="338">
        <f>SUMIFS(data count,data name,"="&amp;sname,data week,"="&amp;sweek)-SUMIFS(data count,data name,"="&amp;sname,data week,"="&amp;sweek,data Event,"="&amp;"Read Thread")</f>
        <v>0</v>
      </c>
      <c r="M48" s="338">
        <f>SUMIFS(data count,data name,"="&amp;sname,data week,"="&amp;sweek)-SUMIFS(data count,data name,"="&amp;sname,data week,"="&amp;sweek,data Event,"="&amp;"Read Thread")</f>
        <v>0</v>
      </c>
      <c r="N48" s="338">
        <f>SUMIFS(data count,data name,"="&amp;sname,data week,"="&amp;sweek)-SUMIFS(data count,data name,"="&amp;sname,data week,"="&amp;sweek,data Event,"="&amp;"Read Thread")</f>
        <v>0</v>
      </c>
      <c r="O48" s="338">
        <f>SUMIFS(data count,data name,"="&amp;sname,data week,"="&amp;sweek)-SUMIFS(data count,data name,"="&amp;sname,data week,"="&amp;sweek,data Event,"="&amp;"Read Thread")</f>
        <v>0</v>
      </c>
      <c r="P48" s="338">
        <f>SUMIFS(data count,data name,"="&amp;sname,data week,"="&amp;sweek)-SUMIFS(data count,data name,"="&amp;sname,data week,"="&amp;sweek,data Event,"="&amp;"Read Thread")</f>
        <v>0</v>
      </c>
      <c r="Q48" s="338">
        <f>SUMIFS(data count,data name,"="&amp;sname,data week,"="&amp;sweek)-SUMIFS(data count,data name,"="&amp;sname,data week,"="&amp;sweek,data Event,"="&amp;"Read Thread")</f>
        <v>0</v>
      </c>
      <c r="R48" s="338">
        <f>SUMIFS(data count,data name,"="&amp;sname,data week,"="&amp;sweek)-SUMIFS(data count,data name,"="&amp;sname,data week,"="&amp;sweek,data Event,"="&amp;"Read Thread")</f>
        <v>0</v>
      </c>
      <c r="S48" s="338">
        <f>SUMIFS(data count,data name,"="&amp;sname,data week,"="&amp;sweek)-SUMIFS(data count,data name,"="&amp;sname,data week,"="&amp;sweek,data Event,"="&amp;"Read Thread")</f>
        <v>0</v>
      </c>
      <c r="T48" s="336">
        <f t="shared" si="8"/>
        <v>0</v>
      </c>
      <c r="U48" s="336">
        <f>SUMIFS(fweeks 48:48, fweeks fWeek,"&lt;="&amp;fWeek)</f>
        <v>0</v>
      </c>
      <c r="V48" s="336">
        <f>SUMIFS(fweeks 48:48, fweeks fWeek,"&lt;="&amp;fWeek)</f>
        <v>0</v>
      </c>
      <c r="W48" s="336">
        <f>SUMIFS(fweeks 48:48, fweeks fWeek,"&lt;="&amp;fWeek)</f>
        <v>0</v>
      </c>
      <c r="X48" s="336">
        <f>SUMIFS(fweeks 48:48, fweeks fWeek,"&lt;="&amp;fWeek)</f>
        <v>0</v>
      </c>
    </row>
    <row r="49" spans="1:24" x14ac:dyDescent="0.25">
      <c r="A49" s="217">
        <f>Roster!B31</f>
        <v>24</v>
      </c>
      <c r="B49" s="346" t="str">
        <f>Roster!C31</f>
        <v>Wang, Huanjie</v>
      </c>
      <c r="C49" s="346"/>
      <c r="D49" s="337">
        <f>SUMIFS(data count,data name,"="&amp;sname,data week,"="&amp;sweek)-SUMIFS(data count,data name,"="&amp;sname,data week,"="&amp;sweek,data Event,"="&amp;"Read Thread")</f>
        <v>0</v>
      </c>
      <c r="E49" s="338">
        <f>SUMIFS(data count,data name,"="&amp;sname,data week,"="&amp;sweek)-SUMIFS(data count,data name,"="&amp;sname,data week,"="&amp;sweek,data Event,"="&amp;"Read Thread")</f>
        <v>0</v>
      </c>
      <c r="F49" s="338">
        <f>SUMIFS(data count,data name,"="&amp;sname,data week,"="&amp;sweek)-SUMIFS(data count,data name,"="&amp;sname,data week,"="&amp;sweek,data Event,"="&amp;"Read Thread")</f>
        <v>0</v>
      </c>
      <c r="G49" s="338">
        <f>SUMIFS(data count,data name,"="&amp;sname,data week,"="&amp;sweek)-SUMIFS(data count,data name,"="&amp;sname,data week,"="&amp;sweek,data Event,"="&amp;"Read Thread")</f>
        <v>0</v>
      </c>
      <c r="H49" s="338">
        <f>SUMIFS(data count,data name,"="&amp;sname,data week,"="&amp;sweek)-SUMIFS(data count,data name,"="&amp;sname,data week,"="&amp;sweek,data Event,"="&amp;"Read Thread")</f>
        <v>0</v>
      </c>
      <c r="I49" s="338">
        <f>SUMIFS(data count,data name,"="&amp;sname,data week,"="&amp;sweek)-SUMIFS(data count,data name,"="&amp;sname,data week,"="&amp;sweek,data Event,"="&amp;"Read Thread")</f>
        <v>0</v>
      </c>
      <c r="J49" s="338">
        <f>SUMIFS(data count,data name,"="&amp;sname,data week,"="&amp;sweek)-SUMIFS(data count,data name,"="&amp;sname,data week,"="&amp;sweek,data Event,"="&amp;"Read Thread")</f>
        <v>0</v>
      </c>
      <c r="K49" s="338">
        <f>SUMIFS(data count,data name,"="&amp;sname,data week,"="&amp;sweek)-SUMIFS(data count,data name,"="&amp;sname,data week,"="&amp;sweek,data Event,"="&amp;"Read Thread")</f>
        <v>0</v>
      </c>
      <c r="L49" s="338">
        <f>SUMIFS(data count,data name,"="&amp;sname,data week,"="&amp;sweek)-SUMIFS(data count,data name,"="&amp;sname,data week,"="&amp;sweek,data Event,"="&amp;"Read Thread")</f>
        <v>0</v>
      </c>
      <c r="M49" s="338">
        <f>SUMIFS(data count,data name,"="&amp;sname,data week,"="&amp;sweek)-SUMIFS(data count,data name,"="&amp;sname,data week,"="&amp;sweek,data Event,"="&amp;"Read Thread")</f>
        <v>0</v>
      </c>
      <c r="N49" s="338">
        <f>SUMIFS(data count,data name,"="&amp;sname,data week,"="&amp;sweek)-SUMIFS(data count,data name,"="&amp;sname,data week,"="&amp;sweek,data Event,"="&amp;"Read Thread")</f>
        <v>0</v>
      </c>
      <c r="O49" s="338">
        <f>SUMIFS(data count,data name,"="&amp;sname,data week,"="&amp;sweek)-SUMIFS(data count,data name,"="&amp;sname,data week,"="&amp;sweek,data Event,"="&amp;"Read Thread")</f>
        <v>0</v>
      </c>
      <c r="P49" s="338">
        <f>SUMIFS(data count,data name,"="&amp;sname,data week,"="&amp;sweek)-SUMIFS(data count,data name,"="&amp;sname,data week,"="&amp;sweek,data Event,"="&amp;"Read Thread")</f>
        <v>0</v>
      </c>
      <c r="Q49" s="338">
        <f>SUMIFS(data count,data name,"="&amp;sname,data week,"="&amp;sweek)-SUMIFS(data count,data name,"="&amp;sname,data week,"="&amp;sweek,data Event,"="&amp;"Read Thread")</f>
        <v>0</v>
      </c>
      <c r="R49" s="338">
        <f>SUMIFS(data count,data name,"="&amp;sname,data week,"="&amp;sweek)-SUMIFS(data count,data name,"="&amp;sname,data week,"="&amp;sweek,data Event,"="&amp;"Read Thread")</f>
        <v>0</v>
      </c>
      <c r="S49" s="338">
        <f>SUMIFS(data count,data name,"="&amp;sname,data week,"="&amp;sweek)-SUMIFS(data count,data name,"="&amp;sname,data week,"="&amp;sweek,data Event,"="&amp;"Read Thread")</f>
        <v>0</v>
      </c>
      <c r="T49" s="336">
        <f t="shared" si="8"/>
        <v>0</v>
      </c>
      <c r="U49" s="336">
        <f>SUMIFS(fweeks 49:49, fweeks fWeek,"&lt;="&amp;fWeek)</f>
        <v>0</v>
      </c>
      <c r="V49" s="336">
        <f>SUMIFS(fweeks 49:49, fweeks fWeek,"&lt;="&amp;fWeek)</f>
        <v>0</v>
      </c>
      <c r="W49" s="336">
        <f>SUMIFS(fweeks 49:49, fweeks fWeek,"&lt;="&amp;fWeek)</f>
        <v>0</v>
      </c>
      <c r="X49" s="336">
        <f>SUMIFS(fweeks 49:49, fweeks fWeek,"&lt;="&amp;fWeek)</f>
        <v>0</v>
      </c>
    </row>
    <row r="50" spans="1:24" x14ac:dyDescent="0.25">
      <c r="A50" s="217">
        <f>Roster!B32</f>
        <v>25</v>
      </c>
      <c r="B50" s="346" t="str">
        <f>Roster!C32</f>
        <v>Wang, Zhenguo</v>
      </c>
      <c r="C50" s="346"/>
      <c r="D50" s="337">
        <f>SUMIFS(data count,data name,"="&amp;sname,data week,"="&amp;sweek)-SUMIFS(data count,data name,"="&amp;sname,data week,"="&amp;sweek,data Event,"="&amp;"Read Thread")</f>
        <v>0</v>
      </c>
      <c r="E50" s="338">
        <f>SUMIFS(data count,data name,"="&amp;sname,data week,"="&amp;sweek)-SUMIFS(data count,data name,"="&amp;sname,data week,"="&amp;sweek,data Event,"="&amp;"Read Thread")</f>
        <v>0</v>
      </c>
      <c r="F50" s="338">
        <f>SUMIFS(data count,data name,"="&amp;sname,data week,"="&amp;sweek)-SUMIFS(data count,data name,"="&amp;sname,data week,"="&amp;sweek,data Event,"="&amp;"Read Thread")</f>
        <v>0</v>
      </c>
      <c r="G50" s="338">
        <f>SUMIFS(data count,data name,"="&amp;sname,data week,"="&amp;sweek)-SUMIFS(data count,data name,"="&amp;sname,data week,"="&amp;sweek,data Event,"="&amp;"Read Thread")</f>
        <v>0</v>
      </c>
      <c r="H50" s="338">
        <f>SUMIFS(data count,data name,"="&amp;sname,data week,"="&amp;sweek)-SUMIFS(data count,data name,"="&amp;sname,data week,"="&amp;sweek,data Event,"="&amp;"Read Thread")</f>
        <v>0</v>
      </c>
      <c r="I50" s="338">
        <f>SUMIFS(data count,data name,"="&amp;sname,data week,"="&amp;sweek)-SUMIFS(data count,data name,"="&amp;sname,data week,"="&amp;sweek,data Event,"="&amp;"Read Thread")</f>
        <v>0</v>
      </c>
      <c r="J50" s="338">
        <f>SUMIFS(data count,data name,"="&amp;sname,data week,"="&amp;sweek)-SUMIFS(data count,data name,"="&amp;sname,data week,"="&amp;sweek,data Event,"="&amp;"Read Thread")</f>
        <v>0</v>
      </c>
      <c r="K50" s="338">
        <f>SUMIFS(data count,data name,"="&amp;sname,data week,"="&amp;sweek)-SUMIFS(data count,data name,"="&amp;sname,data week,"="&amp;sweek,data Event,"="&amp;"Read Thread")</f>
        <v>0</v>
      </c>
      <c r="L50" s="338">
        <f>SUMIFS(data count,data name,"="&amp;sname,data week,"="&amp;sweek)-SUMIFS(data count,data name,"="&amp;sname,data week,"="&amp;sweek,data Event,"="&amp;"Read Thread")</f>
        <v>0</v>
      </c>
      <c r="M50" s="338">
        <f>SUMIFS(data count,data name,"="&amp;sname,data week,"="&amp;sweek)-SUMIFS(data count,data name,"="&amp;sname,data week,"="&amp;sweek,data Event,"="&amp;"Read Thread")</f>
        <v>0</v>
      </c>
      <c r="N50" s="338">
        <f>SUMIFS(data count,data name,"="&amp;sname,data week,"="&amp;sweek)-SUMIFS(data count,data name,"="&amp;sname,data week,"="&amp;sweek,data Event,"="&amp;"Read Thread")</f>
        <v>0</v>
      </c>
      <c r="O50" s="338">
        <f>SUMIFS(data count,data name,"="&amp;sname,data week,"="&amp;sweek)-SUMIFS(data count,data name,"="&amp;sname,data week,"="&amp;sweek,data Event,"="&amp;"Read Thread")</f>
        <v>0</v>
      </c>
      <c r="P50" s="338">
        <f>SUMIFS(data count,data name,"="&amp;sname,data week,"="&amp;sweek)-SUMIFS(data count,data name,"="&amp;sname,data week,"="&amp;sweek,data Event,"="&amp;"Read Thread")</f>
        <v>0</v>
      </c>
      <c r="Q50" s="338">
        <f>SUMIFS(data count,data name,"="&amp;sname,data week,"="&amp;sweek)-SUMIFS(data count,data name,"="&amp;sname,data week,"="&amp;sweek,data Event,"="&amp;"Read Thread")</f>
        <v>0</v>
      </c>
      <c r="R50" s="338">
        <f>SUMIFS(data count,data name,"="&amp;sname,data week,"="&amp;sweek)-SUMIFS(data count,data name,"="&amp;sname,data week,"="&amp;sweek,data Event,"="&amp;"Read Thread")</f>
        <v>0</v>
      </c>
      <c r="S50" s="338">
        <f>SUMIFS(data count,data name,"="&amp;sname,data week,"="&amp;sweek)-SUMIFS(data count,data name,"="&amp;sname,data week,"="&amp;sweek,data Event,"="&amp;"Read Thread")</f>
        <v>0</v>
      </c>
      <c r="T50" s="336">
        <f t="shared" si="8"/>
        <v>0</v>
      </c>
      <c r="U50" s="336">
        <f>SUMIFS(fweeks 50:50, fweeks fWeek,"&lt;="&amp;fWeek)</f>
        <v>0</v>
      </c>
      <c r="V50" s="336">
        <f>SUMIFS(fweeks 50:50, fweeks fWeek,"&lt;="&amp;fWeek)</f>
        <v>0</v>
      </c>
      <c r="W50" s="336">
        <f>SUMIFS(fweeks 50:50, fweeks fWeek,"&lt;="&amp;fWeek)</f>
        <v>0</v>
      </c>
      <c r="X50" s="336">
        <f>SUMIFS(fweeks 50:50, fweeks fWeek,"&lt;="&amp;fWeek)</f>
        <v>0</v>
      </c>
    </row>
    <row r="51" spans="1:24" x14ac:dyDescent="0.25">
      <c r="A51" s="217">
        <f>Roster!B33</f>
        <v>26</v>
      </c>
      <c r="B51" s="346" t="str">
        <f>Roster!C33</f>
        <v>Yousuf, Sundus</v>
      </c>
      <c r="C51" s="346"/>
      <c r="D51" s="337">
        <f>SUMIFS(data count,data name,"="&amp;sname,data week,"="&amp;sweek)-SUMIFS(data count,data name,"="&amp;sname,data week,"="&amp;sweek,data Event,"="&amp;"Read Thread")</f>
        <v>0</v>
      </c>
      <c r="E51" s="338">
        <f>SUMIFS(data count,data name,"="&amp;sname,data week,"="&amp;sweek)-SUMIFS(data count,data name,"="&amp;sname,data week,"="&amp;sweek,data Event,"="&amp;"Read Thread")</f>
        <v>0</v>
      </c>
      <c r="F51" s="338">
        <f>SUMIFS(data count,data name,"="&amp;sname,data week,"="&amp;sweek)-SUMIFS(data count,data name,"="&amp;sname,data week,"="&amp;sweek,data Event,"="&amp;"Read Thread")</f>
        <v>0</v>
      </c>
      <c r="G51" s="338">
        <f>SUMIFS(data count,data name,"="&amp;sname,data week,"="&amp;sweek)-SUMIFS(data count,data name,"="&amp;sname,data week,"="&amp;sweek,data Event,"="&amp;"Read Thread")</f>
        <v>0</v>
      </c>
      <c r="H51" s="338">
        <f>SUMIFS(data count,data name,"="&amp;sname,data week,"="&amp;sweek)-SUMIFS(data count,data name,"="&amp;sname,data week,"="&amp;sweek,data Event,"="&amp;"Read Thread")</f>
        <v>0</v>
      </c>
      <c r="I51" s="338">
        <f>SUMIFS(data count,data name,"="&amp;sname,data week,"="&amp;sweek)-SUMIFS(data count,data name,"="&amp;sname,data week,"="&amp;sweek,data Event,"="&amp;"Read Thread")</f>
        <v>0</v>
      </c>
      <c r="J51" s="338">
        <f>SUMIFS(data count,data name,"="&amp;sname,data week,"="&amp;sweek)-SUMIFS(data count,data name,"="&amp;sname,data week,"="&amp;sweek,data Event,"="&amp;"Read Thread")</f>
        <v>0</v>
      </c>
      <c r="K51" s="338">
        <f>SUMIFS(data count,data name,"="&amp;sname,data week,"="&amp;sweek)-SUMIFS(data count,data name,"="&amp;sname,data week,"="&amp;sweek,data Event,"="&amp;"Read Thread")</f>
        <v>0</v>
      </c>
      <c r="L51" s="338">
        <f>SUMIFS(data count,data name,"="&amp;sname,data week,"="&amp;sweek)-SUMIFS(data count,data name,"="&amp;sname,data week,"="&amp;sweek,data Event,"="&amp;"Read Thread")</f>
        <v>0</v>
      </c>
      <c r="M51" s="338">
        <f>SUMIFS(data count,data name,"="&amp;sname,data week,"="&amp;sweek)-SUMIFS(data count,data name,"="&amp;sname,data week,"="&amp;sweek,data Event,"="&amp;"Read Thread")</f>
        <v>0</v>
      </c>
      <c r="N51" s="338">
        <f>SUMIFS(data count,data name,"="&amp;sname,data week,"="&amp;sweek)-SUMIFS(data count,data name,"="&amp;sname,data week,"="&amp;sweek,data Event,"="&amp;"Read Thread")</f>
        <v>0</v>
      </c>
      <c r="O51" s="338">
        <f>SUMIFS(data count,data name,"="&amp;sname,data week,"="&amp;sweek)-SUMIFS(data count,data name,"="&amp;sname,data week,"="&amp;sweek,data Event,"="&amp;"Read Thread")</f>
        <v>0</v>
      </c>
      <c r="P51" s="338">
        <f>SUMIFS(data count,data name,"="&amp;sname,data week,"="&amp;sweek)-SUMIFS(data count,data name,"="&amp;sname,data week,"="&amp;sweek,data Event,"="&amp;"Read Thread")</f>
        <v>0</v>
      </c>
      <c r="Q51" s="338">
        <f>SUMIFS(data count,data name,"="&amp;sname,data week,"="&amp;sweek)-SUMIFS(data count,data name,"="&amp;sname,data week,"="&amp;sweek,data Event,"="&amp;"Read Thread")</f>
        <v>0</v>
      </c>
      <c r="R51" s="338">
        <f>SUMIFS(data count,data name,"="&amp;sname,data week,"="&amp;sweek)-SUMIFS(data count,data name,"="&amp;sname,data week,"="&amp;sweek,data Event,"="&amp;"Read Thread")</f>
        <v>0</v>
      </c>
      <c r="S51" s="338">
        <f>SUMIFS(data count,data name,"="&amp;sname,data week,"="&amp;sweek)-SUMIFS(data count,data name,"="&amp;sname,data week,"="&amp;sweek,data Event,"="&amp;"Read Thread")</f>
        <v>0</v>
      </c>
      <c r="T51" s="336">
        <f t="shared" si="8"/>
        <v>0</v>
      </c>
      <c r="U51" s="336">
        <f>SUMIFS(fweeks 51:51, fweeks fWeek,"&lt;="&amp;fWeek)</f>
        <v>0</v>
      </c>
      <c r="V51" s="336">
        <f>SUMIFS(fweeks 51:51, fweeks fWeek,"&lt;="&amp;fWeek)</f>
        <v>0</v>
      </c>
      <c r="W51" s="336">
        <f>SUMIFS(fweeks 51:51, fweeks fWeek,"&lt;="&amp;fWeek)</f>
        <v>0</v>
      </c>
      <c r="X51" s="336">
        <f>SUMIFS(fweeks 51:51, fweeks fWeek,"&lt;="&amp;fWeek)</f>
        <v>0</v>
      </c>
    </row>
    <row r="52" spans="1:24" x14ac:dyDescent="0.25">
      <c r="A52" s="217">
        <f>Roster!B34</f>
        <v>27</v>
      </c>
      <c r="B52" s="346" t="str">
        <f>Roster!C34</f>
        <v>Zakaria, Danial</v>
      </c>
      <c r="C52" s="346"/>
      <c r="D52" s="337">
        <f>SUMIFS(data count,data name,"="&amp;sname,data week,"="&amp;sweek)-SUMIFS(data count,data name,"="&amp;sname,data week,"="&amp;sweek,data Event,"="&amp;"Read Thread")</f>
        <v>0</v>
      </c>
      <c r="E52" s="338">
        <f>SUMIFS(data count,data name,"="&amp;sname,data week,"="&amp;sweek)-SUMIFS(data count,data name,"="&amp;sname,data week,"="&amp;sweek,data Event,"="&amp;"Read Thread")</f>
        <v>0</v>
      </c>
      <c r="F52" s="338">
        <f>SUMIFS(data count,data name,"="&amp;sname,data week,"="&amp;sweek)-SUMIFS(data count,data name,"="&amp;sname,data week,"="&amp;sweek,data Event,"="&amp;"Read Thread")</f>
        <v>0</v>
      </c>
      <c r="G52" s="338">
        <f>SUMIFS(data count,data name,"="&amp;sname,data week,"="&amp;sweek)-SUMIFS(data count,data name,"="&amp;sname,data week,"="&amp;sweek,data Event,"="&amp;"Read Thread")</f>
        <v>0</v>
      </c>
      <c r="H52" s="338">
        <f>SUMIFS(data count,data name,"="&amp;sname,data week,"="&amp;sweek)-SUMIFS(data count,data name,"="&amp;sname,data week,"="&amp;sweek,data Event,"="&amp;"Read Thread")</f>
        <v>0</v>
      </c>
      <c r="I52" s="338">
        <f>SUMIFS(data count,data name,"="&amp;sname,data week,"="&amp;sweek)-SUMIFS(data count,data name,"="&amp;sname,data week,"="&amp;sweek,data Event,"="&amp;"Read Thread")</f>
        <v>0</v>
      </c>
      <c r="J52" s="338">
        <f>SUMIFS(data count,data name,"="&amp;sname,data week,"="&amp;sweek)-SUMIFS(data count,data name,"="&amp;sname,data week,"="&amp;sweek,data Event,"="&amp;"Read Thread")</f>
        <v>0</v>
      </c>
      <c r="K52" s="338">
        <f>SUMIFS(data count,data name,"="&amp;sname,data week,"="&amp;sweek)-SUMIFS(data count,data name,"="&amp;sname,data week,"="&amp;sweek,data Event,"="&amp;"Read Thread")</f>
        <v>0</v>
      </c>
      <c r="L52" s="338">
        <f>SUMIFS(data count,data name,"="&amp;sname,data week,"="&amp;sweek)-SUMIFS(data count,data name,"="&amp;sname,data week,"="&amp;sweek,data Event,"="&amp;"Read Thread")</f>
        <v>0</v>
      </c>
      <c r="M52" s="338">
        <f>SUMIFS(data count,data name,"="&amp;sname,data week,"="&amp;sweek)-SUMIFS(data count,data name,"="&amp;sname,data week,"="&amp;sweek,data Event,"="&amp;"Read Thread")</f>
        <v>0</v>
      </c>
      <c r="N52" s="338">
        <f>SUMIFS(data count,data name,"="&amp;sname,data week,"="&amp;sweek)-SUMIFS(data count,data name,"="&amp;sname,data week,"="&amp;sweek,data Event,"="&amp;"Read Thread")</f>
        <v>0</v>
      </c>
      <c r="O52" s="338">
        <f>SUMIFS(data count,data name,"="&amp;sname,data week,"="&amp;sweek)-SUMIFS(data count,data name,"="&amp;sname,data week,"="&amp;sweek,data Event,"="&amp;"Read Thread")</f>
        <v>0</v>
      </c>
      <c r="P52" s="338">
        <f>SUMIFS(data count,data name,"="&amp;sname,data week,"="&amp;sweek)-SUMIFS(data count,data name,"="&amp;sname,data week,"="&amp;sweek,data Event,"="&amp;"Read Thread")</f>
        <v>0</v>
      </c>
      <c r="Q52" s="338">
        <f>SUMIFS(data count,data name,"="&amp;sname,data week,"="&amp;sweek)-SUMIFS(data count,data name,"="&amp;sname,data week,"="&amp;sweek,data Event,"="&amp;"Read Thread")</f>
        <v>0</v>
      </c>
      <c r="R52" s="338">
        <f>SUMIFS(data count,data name,"="&amp;sname,data week,"="&amp;sweek)-SUMIFS(data count,data name,"="&amp;sname,data week,"="&amp;sweek,data Event,"="&amp;"Read Thread")</f>
        <v>0</v>
      </c>
      <c r="S52" s="338">
        <f>SUMIFS(data count,data name,"="&amp;sname,data week,"="&amp;sweek)-SUMIFS(data count,data name,"="&amp;sname,data week,"="&amp;sweek,data Event,"="&amp;"Read Thread")</f>
        <v>0</v>
      </c>
      <c r="T52" s="336">
        <f t="shared" si="8"/>
        <v>0</v>
      </c>
      <c r="U52" s="336">
        <f>SUMIFS(fweeks 52:52, fweeks fWeek,"&lt;="&amp;fWeek)</f>
        <v>0</v>
      </c>
      <c r="V52" s="336">
        <f>SUMIFS(fweeks 52:52, fweeks fWeek,"&lt;="&amp;fWeek)</f>
        <v>0</v>
      </c>
      <c r="W52" s="336">
        <f>SUMIFS(fweeks 52:52, fweeks fWeek,"&lt;="&amp;fWeek)</f>
        <v>0</v>
      </c>
      <c r="X52" s="336">
        <f>SUMIFS(fweeks 52:52, fweeks fWeek,"&lt;="&amp;fWeek)</f>
        <v>0</v>
      </c>
    </row>
    <row r="53" spans="1:24" ht="9" customHeight="1" thickBot="1" x14ac:dyDescent="0.3">
      <c r="B53" s="138"/>
      <c r="C53" s="139"/>
      <c r="D53" s="140"/>
      <c r="E53" s="141"/>
      <c r="F53" s="142"/>
      <c r="G53" s="142"/>
      <c r="H53" s="142"/>
      <c r="I53" s="142"/>
      <c r="J53" s="142"/>
      <c r="K53" s="142"/>
      <c r="L53" s="142"/>
      <c r="M53" s="142"/>
      <c r="N53" s="142"/>
      <c r="O53" s="142"/>
      <c r="P53" s="142"/>
      <c r="Q53" s="142"/>
      <c r="R53" s="142"/>
      <c r="S53" s="143"/>
      <c r="T53" s="144"/>
      <c r="U53" s="144"/>
      <c r="V53" s="144"/>
      <c r="W53" s="144"/>
      <c r="X53" s="144"/>
    </row>
    <row r="54" spans="1:24" ht="15.75" thickTop="1" x14ac:dyDescent="0.25">
      <c r="B54" s="12">
        <f>COUNTA(ForumData sname)</f>
        <v>27</v>
      </c>
      <c r="C54" s="48" t="s">
        <v>56</v>
      </c>
      <c r="D54" s="40">
        <f t="shared" ref="D54:T54" si="9">SUM(D26:D53)</f>
        <v>0</v>
      </c>
      <c r="E54" s="41">
        <f t="shared" si="9"/>
        <v>0</v>
      </c>
      <c r="F54" s="41">
        <f t="shared" si="9"/>
        <v>0</v>
      </c>
      <c r="G54" s="41">
        <f t="shared" si="9"/>
        <v>0</v>
      </c>
      <c r="H54" s="41">
        <f t="shared" si="9"/>
        <v>0</v>
      </c>
      <c r="I54" s="41">
        <f t="shared" si="9"/>
        <v>0</v>
      </c>
      <c r="J54" s="41">
        <f t="shared" si="9"/>
        <v>0</v>
      </c>
      <c r="K54" s="41">
        <f t="shared" si="9"/>
        <v>0</v>
      </c>
      <c r="L54" s="41">
        <f t="shared" si="9"/>
        <v>0</v>
      </c>
      <c r="M54" s="41">
        <f t="shared" si="9"/>
        <v>0</v>
      </c>
      <c r="N54" s="41">
        <f t="shared" si="9"/>
        <v>0</v>
      </c>
      <c r="O54" s="41">
        <f t="shared" si="9"/>
        <v>0</v>
      </c>
      <c r="P54" s="41">
        <f t="shared" si="9"/>
        <v>0</v>
      </c>
      <c r="Q54" s="41">
        <f t="shared" si="9"/>
        <v>0</v>
      </c>
      <c r="R54" s="41">
        <f t="shared" si="9"/>
        <v>0</v>
      </c>
      <c r="S54" s="42">
        <f t="shared" si="9"/>
        <v>0</v>
      </c>
      <c r="T54" s="43">
        <f t="shared" si="9"/>
        <v>0</v>
      </c>
      <c r="U54" s="12" t="str">
        <f>IF(SUM(D54:S54)=fTot 54:54,"","Audit")</f>
        <v/>
      </c>
      <c r="V54" s="12"/>
      <c r="W54" s="12"/>
      <c r="X54" s="12"/>
    </row>
    <row r="55" spans="1:24" x14ac:dyDescent="0.25">
      <c r="C55" s="39" t="s">
        <v>55</v>
      </c>
      <c r="D55" s="44">
        <f>COUNTIF(D:D sNames,"&gt;0")</f>
        <v>0</v>
      </c>
      <c r="E55" s="45">
        <f>COUNTIF(E:E sNames,"&gt;0")</f>
        <v>0</v>
      </c>
      <c r="F55" s="45">
        <f>COUNTIF(F:F sNames,"&gt;0")</f>
        <v>0</v>
      </c>
      <c r="G55" s="45">
        <f>COUNTIF(G:G sNames,"&gt;0")</f>
        <v>0</v>
      </c>
      <c r="H55" s="45">
        <f>COUNTIF(H:H sNames,"&gt;0")</f>
        <v>0</v>
      </c>
      <c r="I55" s="45">
        <f>COUNTIF(I:I sNames,"&gt;0")</f>
        <v>0</v>
      </c>
      <c r="J55" s="45">
        <f>COUNTIF(J:J sNames,"&gt;0")</f>
        <v>0</v>
      </c>
      <c r="K55" s="45">
        <f>COUNTIF(K:K sNames,"&gt;0")</f>
        <v>0</v>
      </c>
      <c r="L55" s="45">
        <f>COUNTIF(L:L sNames,"&gt;0")</f>
        <v>0</v>
      </c>
      <c r="M55" s="45">
        <f>COUNTIF(M:M sNames,"&gt;0")</f>
        <v>0</v>
      </c>
      <c r="N55" s="45">
        <f>COUNTIF(N:N sNames,"&gt;0")</f>
        <v>0</v>
      </c>
      <c r="O55" s="45">
        <f>COUNTIF(O:O sNames,"&gt;0")</f>
        <v>0</v>
      </c>
      <c r="P55" s="45">
        <f>COUNTIF(P:P sNames,"&gt;0")</f>
        <v>0</v>
      </c>
      <c r="Q55" s="45">
        <f>COUNTIF(Q:Q sNames,"&gt;0")</f>
        <v>0</v>
      </c>
      <c r="R55" s="45">
        <f>COUNTIF(R:R sNames,"&gt;0")</f>
        <v>0</v>
      </c>
      <c r="S55" s="46">
        <f>COUNTIF(S:S sNames,"&gt;0")</f>
        <v>0</v>
      </c>
      <c r="T55" s="47">
        <f>COUNTIF(S:S sNames,"&gt;0")</f>
        <v>0</v>
      </c>
      <c r="U55" s="47">
        <f>COUNTIF(T:T sNames,"&gt;0")</f>
        <v>0</v>
      </c>
      <c r="V55" s="47">
        <f>COUNTIF(U:U sNames,"&gt;0")</f>
        <v>0</v>
      </c>
      <c r="W55" s="47">
        <f>COUNTIF(V:V sNames,"&gt;0")</f>
        <v>0</v>
      </c>
      <c r="X55" s="47">
        <f>COUNTIF(W:W sNames,"&gt;0")</f>
        <v>0</v>
      </c>
    </row>
    <row r="56" spans="1:24" x14ac:dyDescent="0.25">
      <c r="B56" s="110" t="str">
        <f>IF(B54=rCount,"","Names Missing?!")</f>
        <v/>
      </c>
      <c r="C56"/>
      <c r="D56" s="1"/>
      <c r="G56"/>
      <c r="H56" s="1"/>
      <c r="T56" s="91" t="s">
        <v>64</v>
      </c>
      <c r="U56" s="92">
        <f>COUNTIF(T:T sNames,"&gt;0")</f>
        <v>0</v>
      </c>
      <c r="V56" s="92">
        <f>COUNTIF(U:U sNames,"&gt;0")</f>
        <v>0</v>
      </c>
      <c r="W56" s="92">
        <f>COUNTIF(V:V sNames,"&gt;0")</f>
        <v>0</v>
      </c>
      <c r="X56" s="92">
        <f>COUNTIF(W:W sNames,"&gt;0")</f>
        <v>0</v>
      </c>
    </row>
    <row r="57" spans="1:24" x14ac:dyDescent="0.25">
      <c r="T57" s="91" t="s">
        <v>65</v>
      </c>
      <c r="U57" s="93">
        <f>fCount-U56</f>
        <v>27</v>
      </c>
      <c r="V57" s="93">
        <f>fCount-V56</f>
        <v>27</v>
      </c>
      <c r="W57" s="93">
        <f>fCount-W56</f>
        <v>27</v>
      </c>
      <c r="X57" s="93">
        <f>fCount-X56</f>
        <v>27</v>
      </c>
    </row>
    <row r="60" spans="1:24" ht="26.25" customHeight="1" x14ac:dyDescent="0.25"/>
  </sheetData>
  <mergeCells count="5">
    <mergeCell ref="U4:X4"/>
    <mergeCell ref="B25:C25"/>
    <mergeCell ref="C3:E3"/>
    <mergeCell ref="D24:S24"/>
    <mergeCell ref="G3:L3"/>
  </mergeCells>
  <conditionalFormatting sqref="D26:U34">
    <cfRule type="cellIs" dxfId="33" priority="25" operator="lessThan">
      <formula>1</formula>
    </cfRule>
  </conditionalFormatting>
  <conditionalFormatting sqref="V26:V34">
    <cfRule type="cellIs" dxfId="32" priority="20" operator="lessThan">
      <formula>1</formula>
    </cfRule>
  </conditionalFormatting>
  <conditionalFormatting sqref="W26:W34">
    <cfRule type="cellIs" dxfId="31" priority="19" operator="lessThan">
      <formula>1</formula>
    </cfRule>
  </conditionalFormatting>
  <conditionalFormatting sqref="X26:X34">
    <cfRule type="cellIs" dxfId="30" priority="18" operator="lessThan">
      <formula>1</formula>
    </cfRule>
  </conditionalFormatting>
  <conditionalFormatting sqref="D35:U42">
    <cfRule type="cellIs" dxfId="29" priority="16" operator="lessThan">
      <formula>1</formula>
    </cfRule>
  </conditionalFormatting>
  <conditionalFormatting sqref="V35:V42">
    <cfRule type="cellIs" dxfId="28" priority="15" operator="lessThan">
      <formula>1</formula>
    </cfRule>
  </conditionalFormatting>
  <conditionalFormatting sqref="W35:W42">
    <cfRule type="cellIs" dxfId="27" priority="14" operator="lessThan">
      <formula>1</formula>
    </cfRule>
  </conditionalFormatting>
  <conditionalFormatting sqref="X35:X42">
    <cfRule type="cellIs" dxfId="26" priority="13" operator="lessThan">
      <formula>1</formula>
    </cfRule>
  </conditionalFormatting>
  <conditionalFormatting sqref="D43:U52">
    <cfRule type="cellIs" dxfId="25" priority="4" operator="lessThan">
      <formula>1</formula>
    </cfRule>
  </conditionalFormatting>
  <conditionalFormatting sqref="V43:V52">
    <cfRule type="cellIs" dxfId="24" priority="3" operator="lessThan">
      <formula>1</formula>
    </cfRule>
  </conditionalFormatting>
  <conditionalFormatting sqref="W43:W52">
    <cfRule type="cellIs" dxfId="23" priority="2" operator="lessThan">
      <formula>1</formula>
    </cfRule>
  </conditionalFormatting>
  <conditionalFormatting sqref="X43:X52">
    <cfRule type="cellIs" dxfId="22" priority="1" operator="lessThan">
      <formula>1</formula>
    </cfRule>
  </conditionalFormatting>
  <pageMargins left="0.7" right="0.7" top="0.5" bottom="0.5" header="0.05" footer="0.3"/>
  <pageSetup scale="51"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D38"/>
  <sheetViews>
    <sheetView zoomScale="90" zoomScaleNormal="90" workbookViewId="0">
      <pane xSplit="2" ySplit="7" topLeftCell="C17" activePane="bottomRight" state="frozen"/>
      <selection activeCell="E9" sqref="E9"/>
      <selection pane="topRight" activeCell="E9" sqref="E9"/>
      <selection pane="bottomLeft" activeCell="E9" sqref="E9"/>
      <selection pane="bottomRight" activeCell="E9" sqref="E9"/>
    </sheetView>
  </sheetViews>
  <sheetFormatPr defaultRowHeight="12.75" x14ac:dyDescent="0.2"/>
  <cols>
    <col min="1" max="1" width="6.140625" style="57" customWidth="1"/>
    <col min="2" max="2" width="25.5703125" style="57" customWidth="1"/>
    <col min="3" max="3" width="7" style="57" customWidth="1"/>
    <col min="4" max="18" width="5.7109375" style="57" customWidth="1"/>
    <col min="19" max="19" width="8" style="57" customWidth="1"/>
    <col min="20" max="20" width="9.28515625" style="57" customWidth="1"/>
    <col min="21" max="21" width="7.42578125" style="126" customWidth="1"/>
    <col min="22" max="22" width="8" style="57" customWidth="1"/>
    <col min="23" max="23" width="7.5703125" style="57" customWidth="1"/>
    <col min="24" max="16384" width="9.140625" style="57"/>
  </cols>
  <sheetData>
    <row r="1" spans="1:16384" ht="18" x14ac:dyDescent="0.25">
      <c r="A1" s="56" t="s">
        <v>60</v>
      </c>
      <c r="C1" s="76"/>
    </row>
    <row r="2" spans="1:16384" x14ac:dyDescent="0.2">
      <c r="A2" s="59"/>
      <c r="B2" s="59" t="str">
        <f>CourseName</f>
        <v>Cs525 ASD - Fall 2012</v>
      </c>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c r="DS2" s="59"/>
      <c r="DT2" s="59"/>
      <c r="DU2" s="59"/>
      <c r="DV2" s="59"/>
      <c r="DW2" s="59"/>
      <c r="DX2" s="59"/>
      <c r="DY2" s="59"/>
      <c r="DZ2" s="59"/>
      <c r="EA2" s="59"/>
      <c r="EB2" s="59"/>
      <c r="EC2" s="59"/>
      <c r="ED2" s="59"/>
      <c r="EE2" s="59"/>
      <c r="EF2" s="59"/>
      <c r="EG2" s="59"/>
      <c r="EH2" s="59"/>
      <c r="EI2" s="59"/>
      <c r="EJ2" s="59"/>
      <c r="EK2" s="59"/>
      <c r="EL2" s="59"/>
      <c r="EM2" s="59"/>
      <c r="EN2" s="59"/>
      <c r="EO2" s="59"/>
      <c r="EP2" s="59"/>
      <c r="EQ2" s="59"/>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c r="FZ2" s="59"/>
      <c r="GA2" s="59"/>
      <c r="GB2" s="59"/>
      <c r="GC2" s="59"/>
      <c r="GD2" s="59"/>
      <c r="GE2" s="59"/>
      <c r="GF2" s="59"/>
      <c r="GG2" s="59"/>
      <c r="GH2" s="59"/>
      <c r="GI2" s="59"/>
      <c r="GJ2" s="59"/>
      <c r="GK2" s="59"/>
      <c r="GL2" s="59"/>
      <c r="GM2" s="59"/>
      <c r="GN2" s="59"/>
      <c r="GO2" s="59"/>
      <c r="GP2" s="59"/>
      <c r="GQ2" s="59"/>
      <c r="GR2" s="59"/>
      <c r="GS2" s="59"/>
      <c r="GT2" s="59"/>
      <c r="GU2" s="59"/>
      <c r="GV2" s="59"/>
      <c r="GW2" s="59"/>
      <c r="GX2" s="59"/>
      <c r="GY2" s="59"/>
      <c r="GZ2" s="59"/>
      <c r="HA2" s="59"/>
      <c r="HB2" s="59"/>
      <c r="HC2" s="59"/>
      <c r="HD2" s="59"/>
      <c r="HE2" s="59"/>
      <c r="HF2" s="59"/>
      <c r="HG2" s="59"/>
      <c r="HH2" s="59"/>
      <c r="HI2" s="59"/>
      <c r="HJ2" s="59"/>
      <c r="HK2" s="59"/>
      <c r="HL2" s="59"/>
      <c r="HM2" s="59"/>
      <c r="HN2" s="59"/>
      <c r="HO2" s="59"/>
      <c r="HP2" s="59"/>
      <c r="HQ2" s="59"/>
      <c r="HR2" s="59"/>
      <c r="HS2" s="59"/>
      <c r="HT2" s="59"/>
      <c r="HU2" s="59"/>
      <c r="HV2" s="59"/>
      <c r="HW2" s="59"/>
      <c r="HX2" s="59"/>
      <c r="HY2" s="59"/>
      <c r="HZ2" s="59"/>
      <c r="IA2" s="59"/>
      <c r="IB2" s="59"/>
      <c r="IC2" s="59"/>
      <c r="ID2" s="59"/>
      <c r="IE2" s="59"/>
      <c r="IF2" s="59"/>
      <c r="IG2" s="59"/>
      <c r="IH2" s="59"/>
      <c r="II2" s="59"/>
      <c r="IJ2" s="59"/>
      <c r="IK2" s="59"/>
      <c r="IL2" s="59"/>
      <c r="IM2" s="59"/>
      <c r="IN2" s="59"/>
      <c r="IO2" s="59"/>
      <c r="IP2" s="59"/>
      <c r="IQ2" s="59"/>
      <c r="IR2" s="59"/>
      <c r="IS2" s="59"/>
      <c r="IT2" s="59"/>
      <c r="IU2" s="59"/>
      <c r="IV2" s="59"/>
      <c r="IW2" s="59"/>
      <c r="IX2" s="59"/>
      <c r="IY2" s="59"/>
      <c r="IZ2" s="59"/>
      <c r="JA2" s="59"/>
      <c r="JB2" s="59"/>
      <c r="JC2" s="59"/>
      <c r="JD2" s="59"/>
      <c r="JE2" s="59"/>
      <c r="JF2" s="59"/>
      <c r="JG2" s="59"/>
      <c r="JH2" s="59"/>
      <c r="JI2" s="59"/>
      <c r="JJ2" s="59"/>
      <c r="JK2" s="59"/>
      <c r="JL2" s="59"/>
      <c r="JM2" s="59"/>
      <c r="JN2" s="59"/>
      <c r="JO2" s="59"/>
      <c r="JP2" s="59"/>
      <c r="JQ2" s="59"/>
      <c r="JR2" s="59"/>
      <c r="JS2" s="59"/>
      <c r="JT2" s="59"/>
      <c r="JU2" s="59"/>
      <c r="JV2" s="59"/>
      <c r="JW2" s="59"/>
      <c r="JX2" s="59"/>
      <c r="JY2" s="59"/>
      <c r="JZ2" s="59"/>
      <c r="KA2" s="59"/>
      <c r="KB2" s="59"/>
      <c r="KC2" s="59"/>
      <c r="KD2" s="59"/>
      <c r="KE2" s="59"/>
      <c r="KF2" s="59"/>
      <c r="KG2" s="59"/>
      <c r="KH2" s="59"/>
      <c r="KI2" s="59"/>
      <c r="KJ2" s="59"/>
      <c r="KK2" s="59"/>
      <c r="KL2" s="59"/>
      <c r="KM2" s="59"/>
      <c r="KN2" s="59"/>
      <c r="KO2" s="59"/>
      <c r="KP2" s="59"/>
      <c r="KQ2" s="59"/>
      <c r="KR2" s="59"/>
      <c r="KS2" s="59"/>
      <c r="KT2" s="59"/>
      <c r="KU2" s="59"/>
      <c r="KV2" s="59"/>
      <c r="KW2" s="59"/>
      <c r="KX2" s="59"/>
      <c r="KY2" s="59"/>
      <c r="KZ2" s="59"/>
      <c r="LA2" s="59"/>
      <c r="LB2" s="59"/>
      <c r="LC2" s="59"/>
      <c r="LD2" s="59"/>
      <c r="LE2" s="59"/>
      <c r="LF2" s="59"/>
      <c r="LG2" s="59"/>
      <c r="LH2" s="59"/>
      <c r="LI2" s="59"/>
      <c r="LJ2" s="59"/>
      <c r="LK2" s="59"/>
      <c r="LL2" s="59"/>
      <c r="LM2" s="59"/>
      <c r="LN2" s="59"/>
      <c r="LO2" s="59"/>
      <c r="LP2" s="59"/>
      <c r="LQ2" s="59"/>
      <c r="LR2" s="59"/>
      <c r="LS2" s="59"/>
      <c r="LT2" s="59"/>
      <c r="LU2" s="59"/>
      <c r="LV2" s="59"/>
      <c r="LW2" s="59"/>
      <c r="LX2" s="59"/>
      <c r="LY2" s="59"/>
      <c r="LZ2" s="59"/>
      <c r="MA2" s="59"/>
      <c r="MB2" s="59"/>
      <c r="MC2" s="59"/>
      <c r="MD2" s="59"/>
      <c r="ME2" s="59"/>
      <c r="MF2" s="59"/>
      <c r="MG2" s="59"/>
      <c r="MH2" s="59"/>
      <c r="MI2" s="59"/>
      <c r="MJ2" s="59"/>
      <c r="MK2" s="59"/>
      <c r="ML2" s="59"/>
      <c r="MM2" s="59"/>
      <c r="MN2" s="59"/>
      <c r="MO2" s="59"/>
      <c r="MP2" s="59"/>
      <c r="MQ2" s="59"/>
      <c r="MR2" s="59"/>
      <c r="MS2" s="59"/>
      <c r="MT2" s="59"/>
      <c r="MU2" s="59"/>
      <c r="MV2" s="59"/>
      <c r="MW2" s="59"/>
      <c r="MX2" s="59"/>
      <c r="MY2" s="59"/>
      <c r="MZ2" s="59"/>
      <c r="NA2" s="59"/>
      <c r="NB2" s="59"/>
      <c r="NC2" s="59"/>
      <c r="ND2" s="59"/>
      <c r="NE2" s="59"/>
      <c r="NF2" s="59"/>
      <c r="NG2" s="59"/>
      <c r="NH2" s="59"/>
      <c r="NI2" s="59"/>
      <c r="NJ2" s="59"/>
      <c r="NK2" s="59"/>
      <c r="NL2" s="59"/>
      <c r="NM2" s="59"/>
      <c r="NN2" s="59"/>
      <c r="NO2" s="59"/>
      <c r="NP2" s="59"/>
      <c r="NQ2" s="59"/>
      <c r="NR2" s="59"/>
      <c r="NS2" s="59"/>
      <c r="NT2" s="59"/>
      <c r="NU2" s="59"/>
      <c r="NV2" s="59"/>
      <c r="NW2" s="59"/>
      <c r="NX2" s="59"/>
      <c r="NY2" s="59"/>
      <c r="NZ2" s="59"/>
      <c r="OA2" s="59"/>
      <c r="OB2" s="59"/>
      <c r="OC2" s="59"/>
      <c r="OD2" s="59"/>
      <c r="OE2" s="59"/>
      <c r="OF2" s="59"/>
      <c r="OG2" s="59"/>
      <c r="OH2" s="59"/>
      <c r="OI2" s="59"/>
      <c r="OJ2" s="59"/>
      <c r="OK2" s="59"/>
      <c r="OL2" s="59"/>
      <c r="OM2" s="59"/>
      <c r="ON2" s="59"/>
      <c r="OO2" s="59"/>
      <c r="OP2" s="59"/>
      <c r="OQ2" s="59"/>
      <c r="OR2" s="59"/>
      <c r="OS2" s="59"/>
      <c r="OT2" s="59"/>
      <c r="OU2" s="59"/>
      <c r="OV2" s="59"/>
      <c r="OW2" s="59"/>
      <c r="OX2" s="59"/>
      <c r="OY2" s="59"/>
      <c r="OZ2" s="59"/>
      <c r="PA2" s="59"/>
      <c r="PB2" s="59"/>
      <c r="PC2" s="59"/>
      <c r="PD2" s="59"/>
      <c r="PE2" s="59"/>
      <c r="PF2" s="59"/>
      <c r="PG2" s="59"/>
      <c r="PH2" s="59"/>
      <c r="PI2" s="59"/>
      <c r="PJ2" s="59"/>
      <c r="PK2" s="59"/>
      <c r="PL2" s="59"/>
      <c r="PM2" s="59"/>
      <c r="PN2" s="59"/>
      <c r="PO2" s="59"/>
      <c r="PP2" s="59"/>
      <c r="PQ2" s="59"/>
      <c r="PR2" s="59"/>
      <c r="PS2" s="59"/>
      <c r="PT2" s="59"/>
      <c r="PU2" s="59"/>
      <c r="PV2" s="59"/>
      <c r="PW2" s="59"/>
      <c r="PX2" s="59"/>
      <c r="PY2" s="59"/>
      <c r="PZ2" s="59"/>
      <c r="QA2" s="59"/>
      <c r="QB2" s="59"/>
      <c r="QC2" s="59"/>
      <c r="QD2" s="59"/>
      <c r="QE2" s="59"/>
      <c r="QF2" s="59"/>
      <c r="QG2" s="59"/>
      <c r="QH2" s="59"/>
      <c r="QI2" s="59"/>
      <c r="QJ2" s="59"/>
      <c r="QK2" s="59"/>
      <c r="QL2" s="59"/>
      <c r="QM2" s="59"/>
      <c r="QN2" s="59"/>
      <c r="QO2" s="59"/>
      <c r="QP2" s="59"/>
      <c r="QQ2" s="59"/>
      <c r="QR2" s="59"/>
      <c r="QS2" s="59"/>
      <c r="QT2" s="59"/>
      <c r="QU2" s="59"/>
      <c r="QV2" s="59"/>
      <c r="QW2" s="59"/>
      <c r="QX2" s="59"/>
      <c r="QY2" s="59"/>
      <c r="QZ2" s="59"/>
      <c r="RA2" s="59"/>
      <c r="RB2" s="59"/>
      <c r="RC2" s="59"/>
      <c r="RD2" s="59"/>
      <c r="RE2" s="59"/>
      <c r="RF2" s="59"/>
      <c r="RG2" s="59"/>
      <c r="RH2" s="59"/>
      <c r="RI2" s="59"/>
      <c r="RJ2" s="59"/>
      <c r="RK2" s="59"/>
      <c r="RL2" s="59"/>
      <c r="RM2" s="59"/>
      <c r="RN2" s="59"/>
      <c r="RO2" s="59"/>
      <c r="RP2" s="59"/>
      <c r="RQ2" s="59"/>
      <c r="RR2" s="59"/>
      <c r="RS2" s="59"/>
      <c r="RT2" s="59"/>
      <c r="RU2" s="59"/>
      <c r="RV2" s="59"/>
      <c r="RW2" s="59"/>
      <c r="RX2" s="59"/>
      <c r="RY2" s="59"/>
      <c r="RZ2" s="59"/>
      <c r="SA2" s="59"/>
      <c r="SB2" s="59"/>
      <c r="SC2" s="59"/>
      <c r="SD2" s="59"/>
      <c r="SE2" s="59"/>
      <c r="SF2" s="59"/>
      <c r="SG2" s="59"/>
      <c r="SH2" s="59"/>
      <c r="SI2" s="59"/>
      <c r="SJ2" s="59"/>
      <c r="SK2" s="59"/>
      <c r="SL2" s="59"/>
      <c r="SM2" s="59"/>
      <c r="SN2" s="59"/>
      <c r="SO2" s="59"/>
      <c r="SP2" s="59"/>
      <c r="SQ2" s="59"/>
      <c r="SR2" s="59"/>
      <c r="SS2" s="59"/>
      <c r="ST2" s="59"/>
      <c r="SU2" s="59"/>
      <c r="SV2" s="59"/>
      <c r="SW2" s="59"/>
      <c r="SX2" s="59"/>
      <c r="SY2" s="59"/>
      <c r="SZ2" s="59"/>
      <c r="TA2" s="59"/>
      <c r="TB2" s="59"/>
      <c r="TC2" s="59"/>
      <c r="TD2" s="59"/>
      <c r="TE2" s="59"/>
      <c r="TF2" s="59"/>
      <c r="TG2" s="59"/>
      <c r="TH2" s="59"/>
      <c r="TI2" s="59"/>
      <c r="TJ2" s="59"/>
      <c r="TK2" s="59"/>
      <c r="TL2" s="59"/>
      <c r="TM2" s="59"/>
      <c r="TN2" s="59"/>
      <c r="TO2" s="59"/>
      <c r="TP2" s="59"/>
      <c r="TQ2" s="59"/>
      <c r="TR2" s="59"/>
      <c r="TS2" s="59"/>
      <c r="TT2" s="59"/>
      <c r="TU2" s="59"/>
      <c r="TV2" s="59"/>
      <c r="TW2" s="59"/>
      <c r="TX2" s="59"/>
      <c r="TY2" s="59"/>
      <c r="TZ2" s="59"/>
      <c r="UA2" s="59"/>
      <c r="UB2" s="59"/>
      <c r="UC2" s="59"/>
      <c r="UD2" s="59"/>
      <c r="UE2" s="59"/>
      <c r="UF2" s="59"/>
      <c r="UG2" s="59"/>
      <c r="UH2" s="59"/>
      <c r="UI2" s="59"/>
      <c r="UJ2" s="59"/>
      <c r="UK2" s="59"/>
      <c r="UL2" s="59"/>
      <c r="UM2" s="59"/>
      <c r="UN2" s="59"/>
      <c r="UO2" s="59"/>
      <c r="UP2" s="59"/>
      <c r="UQ2" s="59"/>
      <c r="UR2" s="59"/>
      <c r="US2" s="59"/>
      <c r="UT2" s="59"/>
      <c r="UU2" s="59"/>
      <c r="UV2" s="59"/>
      <c r="UW2" s="59"/>
      <c r="UX2" s="59"/>
      <c r="UY2" s="59"/>
      <c r="UZ2" s="59"/>
      <c r="VA2" s="59"/>
      <c r="VB2" s="59"/>
      <c r="VC2" s="59"/>
      <c r="VD2" s="59"/>
      <c r="VE2" s="59"/>
      <c r="VF2" s="59"/>
      <c r="VG2" s="59"/>
      <c r="VH2" s="59"/>
      <c r="VI2" s="59"/>
      <c r="VJ2" s="59"/>
      <c r="VK2" s="59"/>
      <c r="VL2" s="59"/>
      <c r="VM2" s="59"/>
      <c r="VN2" s="59"/>
      <c r="VO2" s="59"/>
      <c r="VP2" s="59"/>
      <c r="VQ2" s="59"/>
      <c r="VR2" s="59"/>
      <c r="VS2" s="59"/>
      <c r="VT2" s="59"/>
      <c r="VU2" s="59"/>
      <c r="VV2" s="59"/>
      <c r="VW2" s="59"/>
      <c r="VX2" s="59"/>
      <c r="VY2" s="59"/>
      <c r="VZ2" s="59"/>
      <c r="WA2" s="59"/>
      <c r="WB2" s="59"/>
      <c r="WC2" s="59"/>
      <c r="WD2" s="59"/>
      <c r="WE2" s="59"/>
      <c r="WF2" s="59"/>
      <c r="WG2" s="59"/>
      <c r="WH2" s="59"/>
      <c r="WI2" s="59"/>
      <c r="WJ2" s="59"/>
      <c r="WK2" s="59"/>
      <c r="WL2" s="59"/>
      <c r="WM2" s="59"/>
      <c r="WN2" s="59"/>
      <c r="WO2" s="59"/>
      <c r="WP2" s="59"/>
      <c r="WQ2" s="59"/>
      <c r="WR2" s="59"/>
      <c r="WS2" s="59"/>
      <c r="WT2" s="59"/>
      <c r="WU2" s="59"/>
      <c r="WV2" s="59"/>
      <c r="WW2" s="59"/>
      <c r="WX2" s="59"/>
      <c r="WY2" s="59"/>
      <c r="WZ2" s="59"/>
      <c r="XA2" s="59"/>
      <c r="XB2" s="59"/>
      <c r="XC2" s="59"/>
      <c r="XD2" s="59"/>
      <c r="XE2" s="59"/>
      <c r="XF2" s="59"/>
      <c r="XG2" s="59"/>
      <c r="XH2" s="59"/>
      <c r="XI2" s="59"/>
      <c r="XJ2" s="59"/>
      <c r="XK2" s="59"/>
      <c r="XL2" s="59"/>
      <c r="XM2" s="59"/>
      <c r="XN2" s="59"/>
      <c r="XO2" s="59"/>
      <c r="XP2" s="59"/>
      <c r="XQ2" s="59"/>
      <c r="XR2" s="59"/>
      <c r="XS2" s="59"/>
      <c r="XT2" s="59"/>
      <c r="XU2" s="59"/>
      <c r="XV2" s="59"/>
      <c r="XW2" s="59"/>
      <c r="XX2" s="59"/>
      <c r="XY2" s="59"/>
      <c r="XZ2" s="59"/>
      <c r="YA2" s="59"/>
      <c r="YB2" s="59"/>
      <c r="YC2" s="59"/>
      <c r="YD2" s="59"/>
      <c r="YE2" s="59"/>
      <c r="YF2" s="59"/>
      <c r="YG2" s="59"/>
      <c r="YH2" s="59"/>
      <c r="YI2" s="59"/>
      <c r="YJ2" s="59"/>
      <c r="YK2" s="59"/>
      <c r="YL2" s="59"/>
      <c r="YM2" s="59"/>
      <c r="YN2" s="59"/>
      <c r="YO2" s="59"/>
      <c r="YP2" s="59"/>
      <c r="YQ2" s="59"/>
      <c r="YR2" s="59"/>
      <c r="YS2" s="59"/>
      <c r="YT2" s="59"/>
      <c r="YU2" s="59"/>
      <c r="YV2" s="59"/>
      <c r="YW2" s="59"/>
      <c r="YX2" s="59"/>
      <c r="YY2" s="59"/>
      <c r="YZ2" s="59"/>
      <c r="ZA2" s="59"/>
      <c r="ZB2" s="59"/>
      <c r="ZC2" s="59"/>
      <c r="ZD2" s="59"/>
      <c r="ZE2" s="59"/>
      <c r="ZF2" s="59"/>
      <c r="ZG2" s="59"/>
      <c r="ZH2" s="59"/>
      <c r="ZI2" s="59"/>
      <c r="ZJ2" s="59"/>
      <c r="ZK2" s="59"/>
      <c r="ZL2" s="59"/>
      <c r="ZM2" s="59"/>
      <c r="ZN2" s="59"/>
      <c r="ZO2" s="59"/>
      <c r="ZP2" s="59"/>
      <c r="ZQ2" s="59"/>
      <c r="ZR2" s="59"/>
      <c r="ZS2" s="59"/>
      <c r="ZT2" s="59"/>
      <c r="ZU2" s="59"/>
      <c r="ZV2" s="59"/>
      <c r="ZW2" s="59"/>
      <c r="ZX2" s="59"/>
      <c r="ZY2" s="59"/>
      <c r="ZZ2" s="59"/>
      <c r="AAA2" s="59"/>
      <c r="AAB2" s="59"/>
      <c r="AAC2" s="59"/>
      <c r="AAD2" s="59"/>
      <c r="AAE2" s="59"/>
      <c r="AAF2" s="59"/>
      <c r="AAG2" s="59"/>
      <c r="AAH2" s="59"/>
      <c r="AAI2" s="59"/>
      <c r="AAJ2" s="59"/>
      <c r="AAK2" s="59"/>
      <c r="AAL2" s="59"/>
      <c r="AAM2" s="59"/>
      <c r="AAN2" s="59"/>
      <c r="AAO2" s="59"/>
      <c r="AAP2" s="59"/>
      <c r="AAQ2" s="59"/>
      <c r="AAR2" s="59"/>
      <c r="AAS2" s="59"/>
      <c r="AAT2" s="59"/>
      <c r="AAU2" s="59"/>
      <c r="AAV2" s="59"/>
      <c r="AAW2" s="59"/>
      <c r="AAX2" s="59"/>
      <c r="AAY2" s="59"/>
      <c r="AAZ2" s="59"/>
      <c r="ABA2" s="59"/>
      <c r="ABB2" s="59"/>
      <c r="ABC2" s="59"/>
      <c r="ABD2" s="59"/>
      <c r="ABE2" s="59"/>
      <c r="ABF2" s="59"/>
      <c r="ABG2" s="59"/>
      <c r="ABH2" s="59"/>
      <c r="ABI2" s="59"/>
      <c r="ABJ2" s="59"/>
      <c r="ABK2" s="59"/>
      <c r="ABL2" s="59"/>
      <c r="ABM2" s="59"/>
      <c r="ABN2" s="59"/>
      <c r="ABO2" s="59"/>
      <c r="ABP2" s="59"/>
      <c r="ABQ2" s="59"/>
      <c r="ABR2" s="59"/>
      <c r="ABS2" s="59"/>
      <c r="ABT2" s="59"/>
      <c r="ABU2" s="59"/>
      <c r="ABV2" s="59"/>
      <c r="ABW2" s="59"/>
      <c r="ABX2" s="59"/>
      <c r="ABY2" s="59"/>
      <c r="ABZ2" s="59"/>
      <c r="ACA2" s="59"/>
      <c r="ACB2" s="59"/>
      <c r="ACC2" s="59"/>
      <c r="ACD2" s="59"/>
      <c r="ACE2" s="59"/>
      <c r="ACF2" s="59"/>
      <c r="ACG2" s="59"/>
      <c r="ACH2" s="59"/>
      <c r="ACI2" s="59"/>
      <c r="ACJ2" s="59"/>
      <c r="ACK2" s="59"/>
      <c r="ACL2" s="59"/>
      <c r="ACM2" s="59"/>
      <c r="ACN2" s="59"/>
      <c r="ACO2" s="59"/>
      <c r="ACP2" s="59"/>
      <c r="ACQ2" s="59"/>
      <c r="ACR2" s="59"/>
      <c r="ACS2" s="59"/>
      <c r="ACT2" s="59"/>
      <c r="ACU2" s="59"/>
      <c r="ACV2" s="59"/>
      <c r="ACW2" s="59"/>
      <c r="ACX2" s="59"/>
      <c r="ACY2" s="59"/>
      <c r="ACZ2" s="59"/>
      <c r="ADA2" s="59"/>
      <c r="ADB2" s="59"/>
      <c r="ADC2" s="59"/>
      <c r="ADD2" s="59"/>
      <c r="ADE2" s="59"/>
      <c r="ADF2" s="59"/>
      <c r="ADG2" s="59"/>
      <c r="ADH2" s="59"/>
      <c r="ADI2" s="59"/>
      <c r="ADJ2" s="59"/>
      <c r="ADK2" s="59"/>
      <c r="ADL2" s="59"/>
      <c r="ADM2" s="59"/>
      <c r="ADN2" s="59"/>
      <c r="ADO2" s="59"/>
      <c r="ADP2" s="59"/>
      <c r="ADQ2" s="59"/>
      <c r="ADR2" s="59"/>
      <c r="ADS2" s="59"/>
      <c r="ADT2" s="59"/>
      <c r="ADU2" s="59"/>
      <c r="ADV2" s="59"/>
      <c r="ADW2" s="59"/>
      <c r="ADX2" s="59"/>
      <c r="ADY2" s="59"/>
      <c r="ADZ2" s="59"/>
      <c r="AEA2" s="59"/>
      <c r="AEB2" s="59"/>
      <c r="AEC2" s="59"/>
      <c r="AED2" s="59"/>
      <c r="AEE2" s="59"/>
      <c r="AEF2" s="59"/>
      <c r="AEG2" s="59"/>
      <c r="AEH2" s="59"/>
      <c r="AEI2" s="59"/>
      <c r="AEJ2" s="59"/>
      <c r="AEK2" s="59"/>
      <c r="AEL2" s="59"/>
      <c r="AEM2" s="59"/>
      <c r="AEN2" s="59"/>
      <c r="AEO2" s="59"/>
      <c r="AEP2" s="59"/>
      <c r="AEQ2" s="59"/>
      <c r="AER2" s="59"/>
      <c r="AES2" s="59"/>
      <c r="AET2" s="59"/>
      <c r="AEU2" s="59"/>
      <c r="AEV2" s="59"/>
      <c r="AEW2" s="59"/>
      <c r="AEX2" s="59"/>
      <c r="AEY2" s="59"/>
      <c r="AEZ2" s="59"/>
      <c r="AFA2" s="59"/>
      <c r="AFB2" s="59"/>
      <c r="AFC2" s="59"/>
      <c r="AFD2" s="59"/>
      <c r="AFE2" s="59"/>
      <c r="AFF2" s="59"/>
      <c r="AFG2" s="59"/>
      <c r="AFH2" s="59"/>
      <c r="AFI2" s="59"/>
      <c r="AFJ2" s="59"/>
      <c r="AFK2" s="59"/>
      <c r="AFL2" s="59"/>
      <c r="AFM2" s="59"/>
      <c r="AFN2" s="59"/>
      <c r="AFO2" s="59"/>
      <c r="AFP2" s="59"/>
      <c r="AFQ2" s="59"/>
      <c r="AFR2" s="59"/>
      <c r="AFS2" s="59"/>
      <c r="AFT2" s="59"/>
      <c r="AFU2" s="59"/>
      <c r="AFV2" s="59"/>
      <c r="AFW2" s="59"/>
      <c r="AFX2" s="59"/>
      <c r="AFY2" s="59"/>
      <c r="AFZ2" s="59"/>
      <c r="AGA2" s="59"/>
      <c r="AGB2" s="59"/>
      <c r="AGC2" s="59"/>
      <c r="AGD2" s="59"/>
      <c r="AGE2" s="59"/>
      <c r="AGF2" s="59"/>
      <c r="AGG2" s="59"/>
      <c r="AGH2" s="59"/>
      <c r="AGI2" s="59"/>
      <c r="AGJ2" s="59"/>
      <c r="AGK2" s="59"/>
      <c r="AGL2" s="59"/>
      <c r="AGM2" s="59"/>
      <c r="AGN2" s="59"/>
      <c r="AGO2" s="59"/>
      <c r="AGP2" s="59"/>
      <c r="AGQ2" s="59"/>
      <c r="AGR2" s="59"/>
      <c r="AGS2" s="59"/>
      <c r="AGT2" s="59"/>
      <c r="AGU2" s="59"/>
      <c r="AGV2" s="59"/>
      <c r="AGW2" s="59"/>
      <c r="AGX2" s="59"/>
      <c r="AGY2" s="59"/>
      <c r="AGZ2" s="59"/>
      <c r="AHA2" s="59"/>
      <c r="AHB2" s="59"/>
      <c r="AHC2" s="59"/>
      <c r="AHD2" s="59"/>
      <c r="AHE2" s="59"/>
      <c r="AHF2" s="59"/>
      <c r="AHG2" s="59"/>
      <c r="AHH2" s="59"/>
      <c r="AHI2" s="59"/>
      <c r="AHJ2" s="59"/>
      <c r="AHK2" s="59"/>
      <c r="AHL2" s="59"/>
      <c r="AHM2" s="59"/>
      <c r="AHN2" s="59"/>
      <c r="AHO2" s="59"/>
      <c r="AHP2" s="59"/>
      <c r="AHQ2" s="59"/>
      <c r="AHR2" s="59"/>
      <c r="AHS2" s="59"/>
      <c r="AHT2" s="59"/>
      <c r="AHU2" s="59"/>
      <c r="AHV2" s="59"/>
      <c r="AHW2" s="59"/>
      <c r="AHX2" s="59"/>
      <c r="AHY2" s="59"/>
      <c r="AHZ2" s="59"/>
      <c r="AIA2" s="59"/>
      <c r="AIB2" s="59"/>
      <c r="AIC2" s="59"/>
      <c r="AID2" s="59"/>
      <c r="AIE2" s="59"/>
      <c r="AIF2" s="59"/>
      <c r="AIG2" s="59"/>
      <c r="AIH2" s="59"/>
      <c r="AII2" s="59"/>
      <c r="AIJ2" s="59"/>
      <c r="AIK2" s="59"/>
      <c r="AIL2" s="59"/>
      <c r="AIM2" s="59"/>
      <c r="AIN2" s="59"/>
      <c r="AIO2" s="59"/>
      <c r="AIP2" s="59"/>
      <c r="AIQ2" s="59"/>
      <c r="AIR2" s="59"/>
      <c r="AIS2" s="59"/>
      <c r="AIT2" s="59"/>
      <c r="AIU2" s="59"/>
      <c r="AIV2" s="59"/>
      <c r="AIW2" s="59"/>
      <c r="AIX2" s="59"/>
      <c r="AIY2" s="59"/>
      <c r="AIZ2" s="59"/>
      <c r="AJA2" s="59"/>
      <c r="AJB2" s="59"/>
      <c r="AJC2" s="59"/>
      <c r="AJD2" s="59"/>
      <c r="AJE2" s="59"/>
      <c r="AJF2" s="59"/>
      <c r="AJG2" s="59"/>
      <c r="AJH2" s="59"/>
      <c r="AJI2" s="59"/>
      <c r="AJJ2" s="59"/>
      <c r="AJK2" s="59"/>
      <c r="AJL2" s="59"/>
      <c r="AJM2" s="59"/>
      <c r="AJN2" s="59"/>
      <c r="AJO2" s="59"/>
      <c r="AJP2" s="59"/>
      <c r="AJQ2" s="59"/>
      <c r="AJR2" s="59"/>
      <c r="AJS2" s="59"/>
      <c r="AJT2" s="59"/>
      <c r="AJU2" s="59"/>
      <c r="AJV2" s="59"/>
      <c r="AJW2" s="59"/>
      <c r="AJX2" s="59"/>
      <c r="AJY2" s="59"/>
      <c r="AJZ2" s="59"/>
      <c r="AKA2" s="59"/>
      <c r="AKB2" s="59"/>
      <c r="AKC2" s="59"/>
      <c r="AKD2" s="59"/>
      <c r="AKE2" s="59"/>
      <c r="AKF2" s="59"/>
      <c r="AKG2" s="59"/>
      <c r="AKH2" s="59"/>
      <c r="AKI2" s="59"/>
      <c r="AKJ2" s="59"/>
      <c r="AKK2" s="59"/>
      <c r="AKL2" s="59"/>
      <c r="AKM2" s="59"/>
      <c r="AKN2" s="59"/>
      <c r="AKO2" s="59"/>
      <c r="AKP2" s="59"/>
      <c r="AKQ2" s="59"/>
      <c r="AKR2" s="59"/>
      <c r="AKS2" s="59"/>
      <c r="AKT2" s="59"/>
      <c r="AKU2" s="59"/>
      <c r="AKV2" s="59"/>
      <c r="AKW2" s="59"/>
      <c r="AKX2" s="59"/>
      <c r="AKY2" s="59"/>
      <c r="AKZ2" s="59"/>
      <c r="ALA2" s="59"/>
      <c r="ALB2" s="59"/>
      <c r="ALC2" s="59"/>
      <c r="ALD2" s="59"/>
      <c r="ALE2" s="59"/>
      <c r="ALF2" s="59"/>
      <c r="ALG2" s="59"/>
      <c r="ALH2" s="59"/>
      <c r="ALI2" s="59"/>
      <c r="ALJ2" s="59"/>
      <c r="ALK2" s="59"/>
      <c r="ALL2" s="59"/>
      <c r="ALM2" s="59"/>
      <c r="ALN2" s="59"/>
      <c r="ALO2" s="59"/>
      <c r="ALP2" s="59"/>
      <c r="ALQ2" s="59"/>
      <c r="ALR2" s="59"/>
      <c r="ALS2" s="59"/>
      <c r="ALT2" s="59"/>
      <c r="ALU2" s="59"/>
      <c r="ALV2" s="59"/>
      <c r="ALW2" s="59"/>
      <c r="ALX2" s="59"/>
      <c r="ALY2" s="59"/>
      <c r="ALZ2" s="59"/>
      <c r="AMA2" s="59"/>
      <c r="AMB2" s="59"/>
      <c r="AMC2" s="59"/>
      <c r="AMD2" s="59"/>
      <c r="AME2" s="59"/>
      <c r="AMF2" s="59"/>
      <c r="AMG2" s="59"/>
      <c r="AMH2" s="59"/>
      <c r="AMI2" s="59"/>
      <c r="AMJ2" s="59"/>
      <c r="AMK2" s="59"/>
      <c r="AML2" s="59"/>
      <c r="AMM2" s="59"/>
      <c r="AMN2" s="59"/>
      <c r="AMO2" s="59"/>
      <c r="AMP2" s="59"/>
      <c r="AMQ2" s="59"/>
      <c r="AMR2" s="59"/>
      <c r="AMS2" s="59"/>
      <c r="AMT2" s="59"/>
      <c r="AMU2" s="59"/>
      <c r="AMV2" s="59"/>
      <c r="AMW2" s="59"/>
      <c r="AMX2" s="59"/>
      <c r="AMY2" s="59"/>
      <c r="AMZ2" s="59"/>
      <c r="ANA2" s="59"/>
      <c r="ANB2" s="59"/>
      <c r="ANC2" s="59"/>
      <c r="AND2" s="59"/>
      <c r="ANE2" s="59"/>
      <c r="ANF2" s="59"/>
      <c r="ANG2" s="59"/>
      <c r="ANH2" s="59"/>
      <c r="ANI2" s="59"/>
      <c r="ANJ2" s="59"/>
      <c r="ANK2" s="59"/>
      <c r="ANL2" s="59"/>
      <c r="ANM2" s="59"/>
      <c r="ANN2" s="59"/>
      <c r="ANO2" s="59"/>
      <c r="ANP2" s="59"/>
      <c r="ANQ2" s="59"/>
      <c r="ANR2" s="59"/>
      <c r="ANS2" s="59"/>
      <c r="ANT2" s="59"/>
      <c r="ANU2" s="59"/>
      <c r="ANV2" s="59"/>
      <c r="ANW2" s="59"/>
      <c r="ANX2" s="59"/>
      <c r="ANY2" s="59"/>
      <c r="ANZ2" s="59"/>
      <c r="AOA2" s="59"/>
      <c r="AOB2" s="59"/>
      <c r="AOC2" s="59"/>
      <c r="AOD2" s="59"/>
      <c r="AOE2" s="59"/>
      <c r="AOF2" s="59"/>
      <c r="AOG2" s="59"/>
      <c r="AOH2" s="59"/>
      <c r="AOI2" s="59"/>
      <c r="AOJ2" s="59"/>
      <c r="AOK2" s="59"/>
      <c r="AOL2" s="59"/>
      <c r="AOM2" s="59"/>
      <c r="AON2" s="59"/>
      <c r="AOO2" s="59"/>
      <c r="AOP2" s="59"/>
      <c r="AOQ2" s="59"/>
      <c r="AOR2" s="59"/>
      <c r="AOS2" s="59"/>
      <c r="AOT2" s="59"/>
      <c r="AOU2" s="59"/>
      <c r="AOV2" s="59"/>
      <c r="AOW2" s="59"/>
      <c r="AOX2" s="59"/>
      <c r="AOY2" s="59"/>
      <c r="AOZ2" s="59"/>
      <c r="APA2" s="59"/>
      <c r="APB2" s="59"/>
      <c r="APC2" s="59"/>
      <c r="APD2" s="59"/>
      <c r="APE2" s="59"/>
      <c r="APF2" s="59"/>
      <c r="APG2" s="59"/>
      <c r="APH2" s="59"/>
      <c r="API2" s="59"/>
      <c r="APJ2" s="59"/>
      <c r="APK2" s="59"/>
      <c r="APL2" s="59"/>
      <c r="APM2" s="59"/>
      <c r="APN2" s="59"/>
      <c r="APO2" s="59"/>
      <c r="APP2" s="59"/>
      <c r="APQ2" s="59"/>
      <c r="APR2" s="59"/>
      <c r="APS2" s="59"/>
      <c r="APT2" s="59"/>
      <c r="APU2" s="59"/>
      <c r="APV2" s="59"/>
      <c r="APW2" s="59"/>
      <c r="APX2" s="59"/>
      <c r="APY2" s="59"/>
      <c r="APZ2" s="59"/>
      <c r="AQA2" s="59"/>
      <c r="AQB2" s="59"/>
      <c r="AQC2" s="59"/>
      <c r="AQD2" s="59"/>
      <c r="AQE2" s="59"/>
      <c r="AQF2" s="59"/>
      <c r="AQG2" s="59"/>
      <c r="AQH2" s="59"/>
      <c r="AQI2" s="59"/>
      <c r="AQJ2" s="59"/>
      <c r="AQK2" s="59"/>
      <c r="AQL2" s="59"/>
      <c r="AQM2" s="59"/>
      <c r="AQN2" s="59"/>
      <c r="AQO2" s="59"/>
      <c r="AQP2" s="59"/>
      <c r="AQQ2" s="59"/>
      <c r="AQR2" s="59"/>
      <c r="AQS2" s="59"/>
      <c r="AQT2" s="59"/>
      <c r="AQU2" s="59"/>
      <c r="AQV2" s="59"/>
      <c r="AQW2" s="59"/>
      <c r="AQX2" s="59"/>
      <c r="AQY2" s="59"/>
      <c r="AQZ2" s="59"/>
      <c r="ARA2" s="59"/>
      <c r="ARB2" s="59"/>
      <c r="ARC2" s="59"/>
      <c r="ARD2" s="59"/>
      <c r="ARE2" s="59"/>
      <c r="ARF2" s="59"/>
      <c r="ARG2" s="59"/>
      <c r="ARH2" s="59"/>
      <c r="ARI2" s="59"/>
      <c r="ARJ2" s="59"/>
      <c r="ARK2" s="59"/>
      <c r="ARL2" s="59"/>
      <c r="ARM2" s="59"/>
      <c r="ARN2" s="59"/>
      <c r="ARO2" s="59"/>
      <c r="ARP2" s="59"/>
      <c r="ARQ2" s="59"/>
      <c r="ARR2" s="59"/>
      <c r="ARS2" s="59"/>
      <c r="ART2" s="59"/>
      <c r="ARU2" s="59"/>
      <c r="ARV2" s="59"/>
      <c r="ARW2" s="59"/>
      <c r="ARX2" s="59"/>
      <c r="ARY2" s="59"/>
      <c r="ARZ2" s="59"/>
      <c r="ASA2" s="59"/>
      <c r="ASB2" s="59"/>
      <c r="ASC2" s="59"/>
      <c r="ASD2" s="59"/>
      <c r="ASE2" s="59"/>
      <c r="ASF2" s="59"/>
      <c r="ASG2" s="59"/>
      <c r="ASH2" s="59"/>
      <c r="ASI2" s="59"/>
      <c r="ASJ2" s="59"/>
      <c r="ASK2" s="59"/>
      <c r="ASL2" s="59"/>
      <c r="ASM2" s="59"/>
      <c r="ASN2" s="59"/>
      <c r="ASO2" s="59"/>
      <c r="ASP2" s="59"/>
      <c r="ASQ2" s="59"/>
      <c r="ASR2" s="59"/>
      <c r="ASS2" s="59"/>
      <c r="AST2" s="59"/>
      <c r="ASU2" s="59"/>
      <c r="ASV2" s="59"/>
      <c r="ASW2" s="59"/>
      <c r="ASX2" s="59"/>
      <c r="ASY2" s="59"/>
      <c r="ASZ2" s="59"/>
      <c r="ATA2" s="59"/>
      <c r="ATB2" s="59"/>
      <c r="ATC2" s="59"/>
      <c r="ATD2" s="59"/>
      <c r="ATE2" s="59"/>
      <c r="ATF2" s="59"/>
      <c r="ATG2" s="59"/>
      <c r="ATH2" s="59"/>
      <c r="ATI2" s="59"/>
      <c r="ATJ2" s="59"/>
      <c r="ATK2" s="59"/>
      <c r="ATL2" s="59"/>
      <c r="ATM2" s="59"/>
      <c r="ATN2" s="59"/>
      <c r="ATO2" s="59"/>
      <c r="ATP2" s="59"/>
      <c r="ATQ2" s="59"/>
      <c r="ATR2" s="59"/>
      <c r="ATS2" s="59"/>
      <c r="ATT2" s="59"/>
      <c r="ATU2" s="59"/>
      <c r="ATV2" s="59"/>
      <c r="ATW2" s="59"/>
      <c r="ATX2" s="59"/>
      <c r="ATY2" s="59"/>
      <c r="ATZ2" s="59"/>
      <c r="AUA2" s="59"/>
      <c r="AUB2" s="59"/>
      <c r="AUC2" s="59"/>
      <c r="AUD2" s="59"/>
      <c r="AUE2" s="59"/>
      <c r="AUF2" s="59"/>
      <c r="AUG2" s="59"/>
      <c r="AUH2" s="59"/>
      <c r="AUI2" s="59"/>
      <c r="AUJ2" s="59"/>
      <c r="AUK2" s="59"/>
      <c r="AUL2" s="59"/>
      <c r="AUM2" s="59"/>
      <c r="AUN2" s="59"/>
      <c r="AUO2" s="59"/>
      <c r="AUP2" s="59"/>
      <c r="AUQ2" s="59"/>
      <c r="AUR2" s="59"/>
      <c r="AUS2" s="59"/>
      <c r="AUT2" s="59"/>
      <c r="AUU2" s="59"/>
      <c r="AUV2" s="59"/>
      <c r="AUW2" s="59"/>
      <c r="AUX2" s="59"/>
      <c r="AUY2" s="59"/>
      <c r="AUZ2" s="59"/>
      <c r="AVA2" s="59"/>
      <c r="AVB2" s="59"/>
      <c r="AVC2" s="59"/>
      <c r="AVD2" s="59"/>
      <c r="AVE2" s="59"/>
      <c r="AVF2" s="59"/>
      <c r="AVG2" s="59"/>
      <c r="AVH2" s="59"/>
      <c r="AVI2" s="59"/>
      <c r="AVJ2" s="59"/>
      <c r="AVK2" s="59"/>
      <c r="AVL2" s="59"/>
      <c r="AVM2" s="59"/>
      <c r="AVN2" s="59"/>
      <c r="AVO2" s="59"/>
      <c r="AVP2" s="59"/>
      <c r="AVQ2" s="59"/>
      <c r="AVR2" s="59"/>
      <c r="AVS2" s="59"/>
      <c r="AVT2" s="59"/>
      <c r="AVU2" s="59"/>
      <c r="AVV2" s="59"/>
      <c r="AVW2" s="59"/>
      <c r="AVX2" s="59"/>
      <c r="AVY2" s="59"/>
      <c r="AVZ2" s="59"/>
      <c r="AWA2" s="59"/>
      <c r="AWB2" s="59"/>
      <c r="AWC2" s="59"/>
      <c r="AWD2" s="59"/>
      <c r="AWE2" s="59"/>
      <c r="AWF2" s="59"/>
      <c r="AWG2" s="59"/>
      <c r="AWH2" s="59"/>
      <c r="AWI2" s="59"/>
      <c r="AWJ2" s="59"/>
      <c r="AWK2" s="59"/>
      <c r="AWL2" s="59"/>
      <c r="AWM2" s="59"/>
      <c r="AWN2" s="59"/>
      <c r="AWO2" s="59"/>
      <c r="AWP2" s="59"/>
      <c r="AWQ2" s="59"/>
      <c r="AWR2" s="59"/>
      <c r="AWS2" s="59"/>
      <c r="AWT2" s="59"/>
      <c r="AWU2" s="59"/>
      <c r="AWV2" s="59"/>
      <c r="AWW2" s="59"/>
      <c r="AWX2" s="59"/>
      <c r="AWY2" s="59"/>
      <c r="AWZ2" s="59"/>
      <c r="AXA2" s="59"/>
      <c r="AXB2" s="59"/>
      <c r="AXC2" s="59"/>
      <c r="AXD2" s="59"/>
      <c r="AXE2" s="59"/>
      <c r="AXF2" s="59"/>
      <c r="AXG2" s="59"/>
      <c r="AXH2" s="59"/>
      <c r="AXI2" s="59"/>
      <c r="AXJ2" s="59"/>
      <c r="AXK2" s="59"/>
      <c r="AXL2" s="59"/>
      <c r="AXM2" s="59"/>
      <c r="AXN2" s="59"/>
      <c r="AXO2" s="59"/>
      <c r="AXP2" s="59"/>
      <c r="AXQ2" s="59"/>
      <c r="AXR2" s="59"/>
      <c r="AXS2" s="59"/>
      <c r="AXT2" s="59"/>
      <c r="AXU2" s="59"/>
      <c r="AXV2" s="59"/>
      <c r="AXW2" s="59"/>
      <c r="AXX2" s="59"/>
      <c r="AXY2" s="59"/>
      <c r="AXZ2" s="59"/>
      <c r="AYA2" s="59"/>
      <c r="AYB2" s="59"/>
      <c r="AYC2" s="59"/>
      <c r="AYD2" s="59"/>
      <c r="AYE2" s="59"/>
      <c r="AYF2" s="59"/>
      <c r="AYG2" s="59"/>
      <c r="AYH2" s="59"/>
      <c r="AYI2" s="59"/>
      <c r="AYJ2" s="59"/>
      <c r="AYK2" s="59"/>
      <c r="AYL2" s="59"/>
      <c r="AYM2" s="59"/>
      <c r="AYN2" s="59"/>
      <c r="AYO2" s="59"/>
      <c r="AYP2" s="59"/>
      <c r="AYQ2" s="59"/>
      <c r="AYR2" s="59"/>
      <c r="AYS2" s="59"/>
      <c r="AYT2" s="59"/>
      <c r="AYU2" s="59"/>
      <c r="AYV2" s="59"/>
      <c r="AYW2" s="59"/>
      <c r="AYX2" s="59"/>
      <c r="AYY2" s="59"/>
      <c r="AYZ2" s="59"/>
      <c r="AZA2" s="59"/>
      <c r="AZB2" s="59"/>
      <c r="AZC2" s="59"/>
      <c r="AZD2" s="59"/>
      <c r="AZE2" s="59"/>
      <c r="AZF2" s="59"/>
      <c r="AZG2" s="59"/>
      <c r="AZH2" s="59"/>
      <c r="AZI2" s="59"/>
      <c r="AZJ2" s="59"/>
      <c r="AZK2" s="59"/>
      <c r="AZL2" s="59"/>
      <c r="AZM2" s="59"/>
      <c r="AZN2" s="59"/>
      <c r="AZO2" s="59"/>
      <c r="AZP2" s="59"/>
      <c r="AZQ2" s="59"/>
      <c r="AZR2" s="59"/>
      <c r="AZS2" s="59"/>
      <c r="AZT2" s="59"/>
      <c r="AZU2" s="59"/>
      <c r="AZV2" s="59"/>
      <c r="AZW2" s="59"/>
      <c r="AZX2" s="59"/>
      <c r="AZY2" s="59"/>
      <c r="AZZ2" s="59"/>
      <c r="BAA2" s="59"/>
      <c r="BAB2" s="59"/>
      <c r="BAC2" s="59"/>
      <c r="BAD2" s="59"/>
      <c r="BAE2" s="59"/>
      <c r="BAF2" s="59"/>
      <c r="BAG2" s="59"/>
      <c r="BAH2" s="59"/>
      <c r="BAI2" s="59"/>
      <c r="BAJ2" s="59"/>
      <c r="BAK2" s="59"/>
      <c r="BAL2" s="59"/>
      <c r="BAM2" s="59"/>
      <c r="BAN2" s="59"/>
      <c r="BAO2" s="59"/>
      <c r="BAP2" s="59"/>
      <c r="BAQ2" s="59"/>
      <c r="BAR2" s="59"/>
      <c r="BAS2" s="59"/>
      <c r="BAT2" s="59"/>
      <c r="BAU2" s="59"/>
      <c r="BAV2" s="59"/>
      <c r="BAW2" s="59"/>
      <c r="BAX2" s="59"/>
      <c r="BAY2" s="59"/>
      <c r="BAZ2" s="59"/>
      <c r="BBA2" s="59"/>
      <c r="BBB2" s="59"/>
      <c r="BBC2" s="59"/>
      <c r="BBD2" s="59"/>
      <c r="BBE2" s="59"/>
      <c r="BBF2" s="59"/>
      <c r="BBG2" s="59"/>
      <c r="BBH2" s="59"/>
      <c r="BBI2" s="59"/>
      <c r="BBJ2" s="59"/>
      <c r="BBK2" s="59"/>
      <c r="BBL2" s="59"/>
      <c r="BBM2" s="59"/>
      <c r="BBN2" s="59"/>
      <c r="BBO2" s="59"/>
      <c r="BBP2" s="59"/>
      <c r="BBQ2" s="59"/>
      <c r="BBR2" s="59"/>
      <c r="BBS2" s="59"/>
      <c r="BBT2" s="59"/>
      <c r="BBU2" s="59"/>
      <c r="BBV2" s="59"/>
      <c r="BBW2" s="59"/>
      <c r="BBX2" s="59"/>
      <c r="BBY2" s="59"/>
      <c r="BBZ2" s="59"/>
      <c r="BCA2" s="59"/>
      <c r="BCB2" s="59"/>
      <c r="BCC2" s="59"/>
      <c r="BCD2" s="59"/>
      <c r="BCE2" s="59"/>
      <c r="BCF2" s="59"/>
      <c r="BCG2" s="59"/>
      <c r="BCH2" s="59"/>
      <c r="BCI2" s="59"/>
      <c r="BCJ2" s="59"/>
      <c r="BCK2" s="59"/>
      <c r="BCL2" s="59"/>
      <c r="BCM2" s="59"/>
      <c r="BCN2" s="59"/>
      <c r="BCO2" s="59"/>
      <c r="BCP2" s="59"/>
      <c r="BCQ2" s="59"/>
      <c r="BCR2" s="59"/>
      <c r="BCS2" s="59"/>
      <c r="BCT2" s="59"/>
      <c r="BCU2" s="59"/>
      <c r="BCV2" s="59"/>
      <c r="BCW2" s="59"/>
      <c r="BCX2" s="59"/>
      <c r="BCY2" s="59"/>
      <c r="BCZ2" s="59"/>
      <c r="BDA2" s="59"/>
      <c r="BDB2" s="59"/>
      <c r="BDC2" s="59"/>
      <c r="BDD2" s="59"/>
      <c r="BDE2" s="59"/>
      <c r="BDF2" s="59"/>
      <c r="BDG2" s="59"/>
      <c r="BDH2" s="59"/>
      <c r="BDI2" s="59"/>
      <c r="BDJ2" s="59"/>
      <c r="BDK2" s="59"/>
      <c r="BDL2" s="59"/>
      <c r="BDM2" s="59"/>
      <c r="BDN2" s="59"/>
      <c r="BDO2" s="59"/>
      <c r="BDP2" s="59"/>
      <c r="BDQ2" s="59"/>
      <c r="BDR2" s="59"/>
      <c r="BDS2" s="59"/>
      <c r="BDT2" s="59"/>
      <c r="BDU2" s="59"/>
      <c r="BDV2" s="59"/>
      <c r="BDW2" s="59"/>
      <c r="BDX2" s="59"/>
      <c r="BDY2" s="59"/>
      <c r="BDZ2" s="59"/>
      <c r="BEA2" s="59"/>
      <c r="BEB2" s="59"/>
      <c r="BEC2" s="59"/>
      <c r="BED2" s="59"/>
      <c r="BEE2" s="59"/>
      <c r="BEF2" s="59"/>
      <c r="BEG2" s="59"/>
      <c r="BEH2" s="59"/>
      <c r="BEI2" s="59"/>
      <c r="BEJ2" s="59"/>
      <c r="BEK2" s="59"/>
      <c r="BEL2" s="59"/>
      <c r="BEM2" s="59"/>
      <c r="BEN2" s="59"/>
      <c r="BEO2" s="59"/>
      <c r="BEP2" s="59"/>
      <c r="BEQ2" s="59"/>
      <c r="BER2" s="59"/>
      <c r="BES2" s="59"/>
      <c r="BET2" s="59"/>
      <c r="BEU2" s="59"/>
      <c r="BEV2" s="59"/>
      <c r="BEW2" s="59"/>
      <c r="BEX2" s="59"/>
      <c r="BEY2" s="59"/>
      <c r="BEZ2" s="59"/>
      <c r="BFA2" s="59"/>
      <c r="BFB2" s="59"/>
      <c r="BFC2" s="59"/>
      <c r="BFD2" s="59"/>
      <c r="BFE2" s="59"/>
      <c r="BFF2" s="59"/>
      <c r="BFG2" s="59"/>
      <c r="BFH2" s="59"/>
      <c r="BFI2" s="59"/>
      <c r="BFJ2" s="59"/>
      <c r="BFK2" s="59"/>
      <c r="BFL2" s="59"/>
      <c r="BFM2" s="59"/>
      <c r="BFN2" s="59"/>
      <c r="BFO2" s="59"/>
      <c r="BFP2" s="59"/>
      <c r="BFQ2" s="59"/>
      <c r="BFR2" s="59"/>
      <c r="BFS2" s="59"/>
      <c r="BFT2" s="59"/>
      <c r="BFU2" s="59"/>
      <c r="BFV2" s="59"/>
      <c r="BFW2" s="59"/>
      <c r="BFX2" s="59"/>
      <c r="BFY2" s="59"/>
      <c r="BFZ2" s="59"/>
      <c r="BGA2" s="59"/>
      <c r="BGB2" s="59"/>
      <c r="BGC2" s="59"/>
      <c r="BGD2" s="59"/>
      <c r="BGE2" s="59"/>
      <c r="BGF2" s="59"/>
      <c r="BGG2" s="59"/>
      <c r="BGH2" s="59"/>
      <c r="BGI2" s="59"/>
      <c r="BGJ2" s="59"/>
      <c r="BGK2" s="59"/>
      <c r="BGL2" s="59"/>
      <c r="BGM2" s="59"/>
      <c r="BGN2" s="59"/>
      <c r="BGO2" s="59"/>
      <c r="BGP2" s="59"/>
      <c r="BGQ2" s="59"/>
      <c r="BGR2" s="59"/>
      <c r="BGS2" s="59"/>
      <c r="BGT2" s="59"/>
      <c r="BGU2" s="59"/>
      <c r="BGV2" s="59"/>
      <c r="BGW2" s="59"/>
      <c r="BGX2" s="59"/>
      <c r="BGY2" s="59"/>
      <c r="BGZ2" s="59"/>
      <c r="BHA2" s="59"/>
      <c r="BHB2" s="59"/>
      <c r="BHC2" s="59"/>
      <c r="BHD2" s="59"/>
      <c r="BHE2" s="59"/>
      <c r="BHF2" s="59"/>
      <c r="BHG2" s="59"/>
      <c r="BHH2" s="59"/>
      <c r="BHI2" s="59"/>
      <c r="BHJ2" s="59"/>
      <c r="BHK2" s="59"/>
      <c r="BHL2" s="59"/>
      <c r="BHM2" s="59"/>
      <c r="BHN2" s="59"/>
      <c r="BHO2" s="59"/>
      <c r="BHP2" s="59"/>
      <c r="BHQ2" s="59"/>
      <c r="BHR2" s="59"/>
      <c r="BHS2" s="59"/>
      <c r="BHT2" s="59"/>
      <c r="BHU2" s="59"/>
      <c r="BHV2" s="59"/>
      <c r="BHW2" s="59"/>
      <c r="BHX2" s="59"/>
      <c r="BHY2" s="59"/>
      <c r="BHZ2" s="59"/>
      <c r="BIA2" s="59"/>
      <c r="BIB2" s="59"/>
      <c r="BIC2" s="59"/>
      <c r="BID2" s="59"/>
      <c r="BIE2" s="59"/>
      <c r="BIF2" s="59"/>
      <c r="BIG2" s="59"/>
      <c r="BIH2" s="59"/>
      <c r="BII2" s="59"/>
      <c r="BIJ2" s="59"/>
      <c r="BIK2" s="59"/>
      <c r="BIL2" s="59"/>
      <c r="BIM2" s="59"/>
      <c r="BIN2" s="59"/>
      <c r="BIO2" s="59"/>
      <c r="BIP2" s="59"/>
      <c r="BIQ2" s="59"/>
      <c r="BIR2" s="59"/>
      <c r="BIS2" s="59"/>
      <c r="BIT2" s="59"/>
      <c r="BIU2" s="59"/>
      <c r="BIV2" s="59"/>
      <c r="BIW2" s="59"/>
      <c r="BIX2" s="59"/>
      <c r="BIY2" s="59"/>
      <c r="BIZ2" s="59"/>
      <c r="BJA2" s="59"/>
      <c r="BJB2" s="59"/>
      <c r="BJC2" s="59"/>
      <c r="BJD2" s="59"/>
      <c r="BJE2" s="59"/>
      <c r="BJF2" s="59"/>
      <c r="BJG2" s="59"/>
      <c r="BJH2" s="59"/>
      <c r="BJI2" s="59"/>
      <c r="BJJ2" s="59"/>
      <c r="BJK2" s="59"/>
      <c r="BJL2" s="59"/>
      <c r="BJM2" s="59"/>
      <c r="BJN2" s="59"/>
      <c r="BJO2" s="59"/>
      <c r="BJP2" s="59"/>
      <c r="BJQ2" s="59"/>
      <c r="BJR2" s="59"/>
      <c r="BJS2" s="59"/>
      <c r="BJT2" s="59"/>
      <c r="BJU2" s="59"/>
      <c r="BJV2" s="59"/>
      <c r="BJW2" s="59"/>
      <c r="BJX2" s="59"/>
      <c r="BJY2" s="59"/>
      <c r="BJZ2" s="59"/>
      <c r="BKA2" s="59"/>
      <c r="BKB2" s="59"/>
      <c r="BKC2" s="59"/>
      <c r="BKD2" s="59"/>
      <c r="BKE2" s="59"/>
      <c r="BKF2" s="59"/>
      <c r="BKG2" s="59"/>
      <c r="BKH2" s="59"/>
      <c r="BKI2" s="59"/>
      <c r="BKJ2" s="59"/>
      <c r="BKK2" s="59"/>
      <c r="BKL2" s="59"/>
      <c r="BKM2" s="59"/>
      <c r="BKN2" s="59"/>
      <c r="BKO2" s="59"/>
      <c r="BKP2" s="59"/>
      <c r="BKQ2" s="59"/>
      <c r="BKR2" s="59"/>
      <c r="BKS2" s="59"/>
      <c r="BKT2" s="59"/>
      <c r="BKU2" s="59"/>
      <c r="BKV2" s="59"/>
      <c r="BKW2" s="59"/>
      <c r="BKX2" s="59"/>
      <c r="BKY2" s="59"/>
      <c r="BKZ2" s="59"/>
      <c r="BLA2" s="59"/>
      <c r="BLB2" s="59"/>
      <c r="BLC2" s="59"/>
      <c r="BLD2" s="59"/>
      <c r="BLE2" s="59"/>
      <c r="BLF2" s="59"/>
      <c r="BLG2" s="59"/>
      <c r="BLH2" s="59"/>
      <c r="BLI2" s="59"/>
      <c r="BLJ2" s="59"/>
      <c r="BLK2" s="59"/>
      <c r="BLL2" s="59"/>
      <c r="BLM2" s="59"/>
      <c r="BLN2" s="59"/>
      <c r="BLO2" s="59"/>
      <c r="BLP2" s="59"/>
      <c r="BLQ2" s="59"/>
      <c r="BLR2" s="59"/>
      <c r="BLS2" s="59"/>
      <c r="BLT2" s="59"/>
      <c r="BLU2" s="59"/>
      <c r="BLV2" s="59"/>
      <c r="BLW2" s="59"/>
      <c r="BLX2" s="59"/>
      <c r="BLY2" s="59"/>
      <c r="BLZ2" s="59"/>
      <c r="BMA2" s="59"/>
      <c r="BMB2" s="59"/>
      <c r="BMC2" s="59"/>
      <c r="BMD2" s="59"/>
      <c r="BME2" s="59"/>
      <c r="BMF2" s="59"/>
      <c r="BMG2" s="59"/>
      <c r="BMH2" s="59"/>
      <c r="BMI2" s="59"/>
      <c r="BMJ2" s="59"/>
      <c r="BMK2" s="59"/>
      <c r="BML2" s="59"/>
      <c r="BMM2" s="59"/>
      <c r="BMN2" s="59"/>
      <c r="BMO2" s="59"/>
      <c r="BMP2" s="59"/>
      <c r="BMQ2" s="59"/>
      <c r="BMR2" s="59"/>
      <c r="BMS2" s="59"/>
      <c r="BMT2" s="59"/>
      <c r="BMU2" s="59"/>
      <c r="BMV2" s="59"/>
      <c r="BMW2" s="59"/>
      <c r="BMX2" s="59"/>
      <c r="BMY2" s="59"/>
      <c r="BMZ2" s="59"/>
      <c r="BNA2" s="59"/>
      <c r="BNB2" s="59"/>
      <c r="BNC2" s="59"/>
      <c r="BND2" s="59"/>
      <c r="BNE2" s="59"/>
      <c r="BNF2" s="59"/>
      <c r="BNG2" s="59"/>
      <c r="BNH2" s="59"/>
      <c r="BNI2" s="59"/>
      <c r="BNJ2" s="59"/>
      <c r="BNK2" s="59"/>
      <c r="BNL2" s="59"/>
      <c r="BNM2" s="59"/>
      <c r="BNN2" s="59"/>
      <c r="BNO2" s="59"/>
      <c r="BNP2" s="59"/>
      <c r="BNQ2" s="59"/>
      <c r="BNR2" s="59"/>
      <c r="BNS2" s="59"/>
      <c r="BNT2" s="59"/>
      <c r="BNU2" s="59"/>
      <c r="BNV2" s="59"/>
      <c r="BNW2" s="59"/>
      <c r="BNX2" s="59"/>
      <c r="BNY2" s="59"/>
      <c r="BNZ2" s="59"/>
      <c r="BOA2" s="59"/>
      <c r="BOB2" s="59"/>
      <c r="BOC2" s="59"/>
      <c r="BOD2" s="59"/>
      <c r="BOE2" s="59"/>
      <c r="BOF2" s="59"/>
      <c r="BOG2" s="59"/>
      <c r="BOH2" s="59"/>
      <c r="BOI2" s="59"/>
      <c r="BOJ2" s="59"/>
      <c r="BOK2" s="59"/>
      <c r="BOL2" s="59"/>
      <c r="BOM2" s="59"/>
      <c r="BON2" s="59"/>
      <c r="BOO2" s="59"/>
      <c r="BOP2" s="59"/>
      <c r="BOQ2" s="59"/>
      <c r="BOR2" s="59"/>
      <c r="BOS2" s="59"/>
      <c r="BOT2" s="59"/>
      <c r="BOU2" s="59"/>
      <c r="BOV2" s="59"/>
      <c r="BOW2" s="59"/>
      <c r="BOX2" s="59"/>
      <c r="BOY2" s="59"/>
      <c r="BOZ2" s="59"/>
      <c r="BPA2" s="59"/>
      <c r="BPB2" s="59"/>
      <c r="BPC2" s="59"/>
      <c r="BPD2" s="59"/>
      <c r="BPE2" s="59"/>
      <c r="BPF2" s="59"/>
      <c r="BPG2" s="59"/>
      <c r="BPH2" s="59"/>
      <c r="BPI2" s="59"/>
      <c r="BPJ2" s="59"/>
      <c r="BPK2" s="59"/>
      <c r="BPL2" s="59"/>
      <c r="BPM2" s="59"/>
      <c r="BPN2" s="59"/>
      <c r="BPO2" s="59"/>
      <c r="BPP2" s="59"/>
      <c r="BPQ2" s="59"/>
      <c r="BPR2" s="59"/>
      <c r="BPS2" s="59"/>
      <c r="BPT2" s="59"/>
      <c r="BPU2" s="59"/>
      <c r="BPV2" s="59"/>
      <c r="BPW2" s="59"/>
      <c r="BPX2" s="59"/>
      <c r="BPY2" s="59"/>
      <c r="BPZ2" s="59"/>
      <c r="BQA2" s="59"/>
      <c r="BQB2" s="59"/>
      <c r="BQC2" s="59"/>
      <c r="BQD2" s="59"/>
      <c r="BQE2" s="59"/>
      <c r="BQF2" s="59"/>
      <c r="BQG2" s="59"/>
      <c r="BQH2" s="59"/>
      <c r="BQI2" s="59"/>
      <c r="BQJ2" s="59"/>
      <c r="BQK2" s="59"/>
      <c r="BQL2" s="59"/>
      <c r="BQM2" s="59"/>
      <c r="BQN2" s="59"/>
      <c r="BQO2" s="59"/>
      <c r="BQP2" s="59"/>
      <c r="BQQ2" s="59"/>
      <c r="BQR2" s="59"/>
      <c r="BQS2" s="59"/>
      <c r="BQT2" s="59"/>
      <c r="BQU2" s="59"/>
      <c r="BQV2" s="59"/>
      <c r="BQW2" s="59"/>
      <c r="BQX2" s="59"/>
      <c r="BQY2" s="59"/>
      <c r="BQZ2" s="59"/>
      <c r="BRA2" s="59"/>
      <c r="BRB2" s="59"/>
      <c r="BRC2" s="59"/>
      <c r="BRD2" s="59"/>
      <c r="BRE2" s="59"/>
      <c r="BRF2" s="59"/>
      <c r="BRG2" s="59"/>
      <c r="BRH2" s="59"/>
      <c r="BRI2" s="59"/>
      <c r="BRJ2" s="59"/>
      <c r="BRK2" s="59"/>
      <c r="BRL2" s="59"/>
      <c r="BRM2" s="59"/>
      <c r="BRN2" s="59"/>
      <c r="BRO2" s="59"/>
      <c r="BRP2" s="59"/>
      <c r="BRQ2" s="59"/>
      <c r="BRR2" s="59"/>
      <c r="BRS2" s="59"/>
      <c r="BRT2" s="59"/>
      <c r="BRU2" s="59"/>
      <c r="BRV2" s="59"/>
      <c r="BRW2" s="59"/>
      <c r="BRX2" s="59"/>
      <c r="BRY2" s="59"/>
      <c r="BRZ2" s="59"/>
      <c r="BSA2" s="59"/>
      <c r="BSB2" s="59"/>
      <c r="BSC2" s="59"/>
      <c r="BSD2" s="59"/>
      <c r="BSE2" s="59"/>
      <c r="BSF2" s="59"/>
      <c r="BSG2" s="59"/>
      <c r="BSH2" s="59"/>
      <c r="BSI2" s="59"/>
      <c r="BSJ2" s="59"/>
      <c r="BSK2" s="59"/>
      <c r="BSL2" s="59"/>
      <c r="BSM2" s="59"/>
      <c r="BSN2" s="59"/>
      <c r="BSO2" s="59"/>
      <c r="BSP2" s="59"/>
      <c r="BSQ2" s="59"/>
      <c r="BSR2" s="59"/>
      <c r="BSS2" s="59"/>
      <c r="BST2" s="59"/>
      <c r="BSU2" s="59"/>
      <c r="BSV2" s="59"/>
      <c r="BSW2" s="59"/>
      <c r="BSX2" s="59"/>
      <c r="BSY2" s="59"/>
      <c r="BSZ2" s="59"/>
      <c r="BTA2" s="59"/>
      <c r="BTB2" s="59"/>
      <c r="BTC2" s="59"/>
      <c r="BTD2" s="59"/>
      <c r="BTE2" s="59"/>
      <c r="BTF2" s="59"/>
      <c r="BTG2" s="59"/>
      <c r="BTH2" s="59"/>
      <c r="BTI2" s="59"/>
      <c r="BTJ2" s="59"/>
      <c r="BTK2" s="59"/>
      <c r="BTL2" s="59"/>
      <c r="BTM2" s="59"/>
      <c r="BTN2" s="59"/>
      <c r="BTO2" s="59"/>
      <c r="BTP2" s="59"/>
      <c r="BTQ2" s="59"/>
      <c r="BTR2" s="59"/>
      <c r="BTS2" s="59"/>
      <c r="BTT2" s="59"/>
      <c r="BTU2" s="59"/>
      <c r="BTV2" s="59"/>
      <c r="BTW2" s="59"/>
      <c r="BTX2" s="59"/>
      <c r="BTY2" s="59"/>
      <c r="BTZ2" s="59"/>
      <c r="BUA2" s="59"/>
      <c r="BUB2" s="59"/>
      <c r="BUC2" s="59"/>
      <c r="BUD2" s="59"/>
      <c r="BUE2" s="59"/>
      <c r="BUF2" s="59"/>
      <c r="BUG2" s="59"/>
      <c r="BUH2" s="59"/>
      <c r="BUI2" s="59"/>
      <c r="BUJ2" s="59"/>
      <c r="BUK2" s="59"/>
      <c r="BUL2" s="59"/>
      <c r="BUM2" s="59"/>
      <c r="BUN2" s="59"/>
      <c r="BUO2" s="59"/>
      <c r="BUP2" s="59"/>
      <c r="BUQ2" s="59"/>
      <c r="BUR2" s="59"/>
      <c r="BUS2" s="59"/>
      <c r="BUT2" s="59"/>
      <c r="BUU2" s="59"/>
      <c r="BUV2" s="59"/>
      <c r="BUW2" s="59"/>
      <c r="BUX2" s="59"/>
      <c r="BUY2" s="59"/>
      <c r="BUZ2" s="59"/>
      <c r="BVA2" s="59"/>
      <c r="BVB2" s="59"/>
      <c r="BVC2" s="59"/>
      <c r="BVD2" s="59"/>
      <c r="BVE2" s="59"/>
      <c r="BVF2" s="59"/>
      <c r="BVG2" s="59"/>
      <c r="BVH2" s="59"/>
      <c r="BVI2" s="59"/>
      <c r="BVJ2" s="59"/>
      <c r="BVK2" s="59"/>
      <c r="BVL2" s="59"/>
      <c r="BVM2" s="59"/>
      <c r="BVN2" s="59"/>
      <c r="BVO2" s="59"/>
      <c r="BVP2" s="59"/>
      <c r="BVQ2" s="59"/>
      <c r="BVR2" s="59"/>
      <c r="BVS2" s="59"/>
      <c r="BVT2" s="59"/>
      <c r="BVU2" s="59"/>
      <c r="BVV2" s="59"/>
      <c r="BVW2" s="59"/>
      <c r="BVX2" s="59"/>
      <c r="BVY2" s="59"/>
      <c r="BVZ2" s="59"/>
      <c r="BWA2" s="59"/>
      <c r="BWB2" s="59"/>
      <c r="BWC2" s="59"/>
      <c r="BWD2" s="59"/>
      <c r="BWE2" s="59"/>
      <c r="BWF2" s="59"/>
      <c r="BWG2" s="59"/>
      <c r="BWH2" s="59"/>
      <c r="BWI2" s="59"/>
      <c r="BWJ2" s="59"/>
      <c r="BWK2" s="59"/>
      <c r="BWL2" s="59"/>
      <c r="BWM2" s="59"/>
      <c r="BWN2" s="59"/>
      <c r="BWO2" s="59"/>
      <c r="BWP2" s="59"/>
      <c r="BWQ2" s="59"/>
      <c r="BWR2" s="59"/>
      <c r="BWS2" s="59"/>
      <c r="BWT2" s="59"/>
      <c r="BWU2" s="59"/>
      <c r="BWV2" s="59"/>
      <c r="BWW2" s="59"/>
      <c r="BWX2" s="59"/>
      <c r="BWY2" s="59"/>
      <c r="BWZ2" s="59"/>
      <c r="BXA2" s="59"/>
      <c r="BXB2" s="59"/>
      <c r="BXC2" s="59"/>
      <c r="BXD2" s="59"/>
      <c r="BXE2" s="59"/>
      <c r="BXF2" s="59"/>
      <c r="BXG2" s="59"/>
      <c r="BXH2" s="59"/>
      <c r="BXI2" s="59"/>
      <c r="BXJ2" s="59"/>
      <c r="BXK2" s="59"/>
      <c r="BXL2" s="59"/>
      <c r="BXM2" s="59"/>
      <c r="BXN2" s="59"/>
      <c r="BXO2" s="59"/>
      <c r="BXP2" s="59"/>
      <c r="BXQ2" s="59"/>
      <c r="BXR2" s="59"/>
      <c r="BXS2" s="59"/>
      <c r="BXT2" s="59"/>
      <c r="BXU2" s="59"/>
      <c r="BXV2" s="59"/>
      <c r="BXW2" s="59"/>
      <c r="BXX2" s="59"/>
      <c r="BXY2" s="59"/>
      <c r="BXZ2" s="59"/>
      <c r="BYA2" s="59"/>
      <c r="BYB2" s="59"/>
      <c r="BYC2" s="59"/>
      <c r="BYD2" s="59"/>
      <c r="BYE2" s="59"/>
      <c r="BYF2" s="59"/>
      <c r="BYG2" s="59"/>
      <c r="BYH2" s="59"/>
      <c r="BYI2" s="59"/>
      <c r="BYJ2" s="59"/>
      <c r="BYK2" s="59"/>
      <c r="BYL2" s="59"/>
      <c r="BYM2" s="59"/>
      <c r="BYN2" s="59"/>
      <c r="BYO2" s="59"/>
      <c r="BYP2" s="59"/>
      <c r="BYQ2" s="59"/>
      <c r="BYR2" s="59"/>
      <c r="BYS2" s="59"/>
      <c r="BYT2" s="59"/>
      <c r="BYU2" s="59"/>
      <c r="BYV2" s="59"/>
      <c r="BYW2" s="59"/>
      <c r="BYX2" s="59"/>
      <c r="BYY2" s="59"/>
      <c r="BYZ2" s="59"/>
      <c r="BZA2" s="59"/>
      <c r="BZB2" s="59"/>
      <c r="BZC2" s="59"/>
      <c r="BZD2" s="59"/>
      <c r="BZE2" s="59"/>
      <c r="BZF2" s="59"/>
      <c r="BZG2" s="59"/>
      <c r="BZH2" s="59"/>
      <c r="BZI2" s="59"/>
      <c r="BZJ2" s="59"/>
      <c r="BZK2" s="59"/>
      <c r="BZL2" s="59"/>
      <c r="BZM2" s="59"/>
      <c r="BZN2" s="59"/>
      <c r="BZO2" s="59"/>
      <c r="BZP2" s="59"/>
      <c r="BZQ2" s="59"/>
      <c r="BZR2" s="59"/>
      <c r="BZS2" s="59"/>
      <c r="BZT2" s="59"/>
      <c r="BZU2" s="59"/>
      <c r="BZV2" s="59"/>
      <c r="BZW2" s="59"/>
      <c r="BZX2" s="59"/>
      <c r="BZY2" s="59"/>
      <c r="BZZ2" s="59"/>
      <c r="CAA2" s="59"/>
      <c r="CAB2" s="59"/>
      <c r="CAC2" s="59"/>
      <c r="CAD2" s="59"/>
      <c r="CAE2" s="59"/>
      <c r="CAF2" s="59"/>
      <c r="CAG2" s="59"/>
      <c r="CAH2" s="59"/>
      <c r="CAI2" s="59"/>
      <c r="CAJ2" s="59"/>
      <c r="CAK2" s="59"/>
      <c r="CAL2" s="59"/>
      <c r="CAM2" s="59"/>
      <c r="CAN2" s="59"/>
      <c r="CAO2" s="59"/>
      <c r="CAP2" s="59"/>
      <c r="CAQ2" s="59"/>
      <c r="CAR2" s="59"/>
      <c r="CAS2" s="59"/>
      <c r="CAT2" s="59"/>
      <c r="CAU2" s="59"/>
      <c r="CAV2" s="59"/>
      <c r="CAW2" s="59"/>
      <c r="CAX2" s="59"/>
      <c r="CAY2" s="59"/>
      <c r="CAZ2" s="59"/>
      <c r="CBA2" s="59"/>
      <c r="CBB2" s="59"/>
      <c r="CBC2" s="59"/>
      <c r="CBD2" s="59"/>
      <c r="CBE2" s="59"/>
      <c r="CBF2" s="59"/>
      <c r="CBG2" s="59"/>
      <c r="CBH2" s="59"/>
      <c r="CBI2" s="59"/>
      <c r="CBJ2" s="59"/>
      <c r="CBK2" s="59"/>
      <c r="CBL2" s="59"/>
      <c r="CBM2" s="59"/>
      <c r="CBN2" s="59"/>
      <c r="CBO2" s="59"/>
      <c r="CBP2" s="59"/>
      <c r="CBQ2" s="59"/>
      <c r="CBR2" s="59"/>
      <c r="CBS2" s="59"/>
      <c r="CBT2" s="59"/>
      <c r="CBU2" s="59"/>
      <c r="CBV2" s="59"/>
      <c r="CBW2" s="59"/>
      <c r="CBX2" s="59"/>
      <c r="CBY2" s="59"/>
      <c r="CBZ2" s="59"/>
      <c r="CCA2" s="59"/>
      <c r="CCB2" s="59"/>
      <c r="CCC2" s="59"/>
      <c r="CCD2" s="59"/>
      <c r="CCE2" s="59"/>
      <c r="CCF2" s="59"/>
      <c r="CCG2" s="59"/>
      <c r="CCH2" s="59"/>
      <c r="CCI2" s="59"/>
      <c r="CCJ2" s="59"/>
      <c r="CCK2" s="59"/>
      <c r="CCL2" s="59"/>
      <c r="CCM2" s="59"/>
      <c r="CCN2" s="59"/>
      <c r="CCO2" s="59"/>
      <c r="CCP2" s="59"/>
      <c r="CCQ2" s="59"/>
      <c r="CCR2" s="59"/>
      <c r="CCS2" s="59"/>
      <c r="CCT2" s="59"/>
      <c r="CCU2" s="59"/>
      <c r="CCV2" s="59"/>
      <c r="CCW2" s="59"/>
      <c r="CCX2" s="59"/>
      <c r="CCY2" s="59"/>
      <c r="CCZ2" s="59"/>
      <c r="CDA2" s="59"/>
      <c r="CDB2" s="59"/>
      <c r="CDC2" s="59"/>
      <c r="CDD2" s="59"/>
      <c r="CDE2" s="59"/>
      <c r="CDF2" s="59"/>
      <c r="CDG2" s="59"/>
      <c r="CDH2" s="59"/>
      <c r="CDI2" s="59"/>
      <c r="CDJ2" s="59"/>
      <c r="CDK2" s="59"/>
      <c r="CDL2" s="59"/>
      <c r="CDM2" s="59"/>
      <c r="CDN2" s="59"/>
      <c r="CDO2" s="59"/>
      <c r="CDP2" s="59"/>
      <c r="CDQ2" s="59"/>
      <c r="CDR2" s="59"/>
      <c r="CDS2" s="59"/>
      <c r="CDT2" s="59"/>
      <c r="CDU2" s="59"/>
      <c r="CDV2" s="59"/>
      <c r="CDW2" s="59"/>
      <c r="CDX2" s="59"/>
      <c r="CDY2" s="59"/>
      <c r="CDZ2" s="59"/>
      <c r="CEA2" s="59"/>
      <c r="CEB2" s="59"/>
      <c r="CEC2" s="59"/>
      <c r="CED2" s="59"/>
      <c r="CEE2" s="59"/>
      <c r="CEF2" s="59"/>
      <c r="CEG2" s="59"/>
      <c r="CEH2" s="59"/>
      <c r="CEI2" s="59"/>
      <c r="CEJ2" s="59"/>
      <c r="CEK2" s="59"/>
      <c r="CEL2" s="59"/>
      <c r="CEM2" s="59"/>
      <c r="CEN2" s="59"/>
      <c r="CEO2" s="59"/>
      <c r="CEP2" s="59"/>
      <c r="CEQ2" s="59"/>
      <c r="CER2" s="59"/>
      <c r="CES2" s="59"/>
      <c r="CET2" s="59"/>
      <c r="CEU2" s="59"/>
      <c r="CEV2" s="59"/>
      <c r="CEW2" s="59"/>
      <c r="CEX2" s="59"/>
      <c r="CEY2" s="59"/>
      <c r="CEZ2" s="59"/>
      <c r="CFA2" s="59"/>
      <c r="CFB2" s="59"/>
      <c r="CFC2" s="59"/>
      <c r="CFD2" s="59"/>
      <c r="CFE2" s="59"/>
      <c r="CFF2" s="59"/>
      <c r="CFG2" s="59"/>
      <c r="CFH2" s="59"/>
      <c r="CFI2" s="59"/>
      <c r="CFJ2" s="59"/>
      <c r="CFK2" s="59"/>
      <c r="CFL2" s="59"/>
      <c r="CFM2" s="59"/>
      <c r="CFN2" s="59"/>
      <c r="CFO2" s="59"/>
      <c r="CFP2" s="59"/>
      <c r="CFQ2" s="59"/>
      <c r="CFR2" s="59"/>
      <c r="CFS2" s="59"/>
      <c r="CFT2" s="59"/>
      <c r="CFU2" s="59"/>
      <c r="CFV2" s="59"/>
      <c r="CFW2" s="59"/>
      <c r="CFX2" s="59"/>
      <c r="CFY2" s="59"/>
      <c r="CFZ2" s="59"/>
      <c r="CGA2" s="59"/>
      <c r="CGB2" s="59"/>
      <c r="CGC2" s="59"/>
      <c r="CGD2" s="59"/>
      <c r="CGE2" s="59"/>
      <c r="CGF2" s="59"/>
      <c r="CGG2" s="59"/>
      <c r="CGH2" s="59"/>
      <c r="CGI2" s="59"/>
      <c r="CGJ2" s="59"/>
      <c r="CGK2" s="59"/>
      <c r="CGL2" s="59"/>
      <c r="CGM2" s="59"/>
      <c r="CGN2" s="59"/>
      <c r="CGO2" s="59"/>
      <c r="CGP2" s="59"/>
      <c r="CGQ2" s="59"/>
      <c r="CGR2" s="59"/>
      <c r="CGS2" s="59"/>
      <c r="CGT2" s="59"/>
      <c r="CGU2" s="59"/>
      <c r="CGV2" s="59"/>
      <c r="CGW2" s="59"/>
      <c r="CGX2" s="59"/>
      <c r="CGY2" s="59"/>
      <c r="CGZ2" s="59"/>
      <c r="CHA2" s="59"/>
      <c r="CHB2" s="59"/>
      <c r="CHC2" s="59"/>
      <c r="CHD2" s="59"/>
      <c r="CHE2" s="59"/>
      <c r="CHF2" s="59"/>
      <c r="CHG2" s="59"/>
      <c r="CHH2" s="59"/>
      <c r="CHI2" s="59"/>
      <c r="CHJ2" s="59"/>
      <c r="CHK2" s="59"/>
      <c r="CHL2" s="59"/>
      <c r="CHM2" s="59"/>
      <c r="CHN2" s="59"/>
      <c r="CHO2" s="59"/>
      <c r="CHP2" s="59"/>
      <c r="CHQ2" s="59"/>
      <c r="CHR2" s="59"/>
      <c r="CHS2" s="59"/>
      <c r="CHT2" s="59"/>
      <c r="CHU2" s="59"/>
      <c r="CHV2" s="59"/>
      <c r="CHW2" s="59"/>
      <c r="CHX2" s="59"/>
      <c r="CHY2" s="59"/>
      <c r="CHZ2" s="59"/>
      <c r="CIA2" s="59"/>
      <c r="CIB2" s="59"/>
      <c r="CIC2" s="59"/>
      <c r="CID2" s="59"/>
      <c r="CIE2" s="59"/>
      <c r="CIF2" s="59"/>
      <c r="CIG2" s="59"/>
      <c r="CIH2" s="59"/>
      <c r="CII2" s="59"/>
      <c r="CIJ2" s="59"/>
      <c r="CIK2" s="59"/>
      <c r="CIL2" s="59"/>
      <c r="CIM2" s="59"/>
      <c r="CIN2" s="59"/>
      <c r="CIO2" s="59"/>
      <c r="CIP2" s="59"/>
      <c r="CIQ2" s="59"/>
      <c r="CIR2" s="59"/>
      <c r="CIS2" s="59"/>
      <c r="CIT2" s="59"/>
      <c r="CIU2" s="59"/>
      <c r="CIV2" s="59"/>
      <c r="CIW2" s="59"/>
      <c r="CIX2" s="59"/>
      <c r="CIY2" s="59"/>
      <c r="CIZ2" s="59"/>
      <c r="CJA2" s="59"/>
      <c r="CJB2" s="59"/>
      <c r="CJC2" s="59"/>
      <c r="CJD2" s="59"/>
      <c r="CJE2" s="59"/>
      <c r="CJF2" s="59"/>
      <c r="CJG2" s="59"/>
      <c r="CJH2" s="59"/>
      <c r="CJI2" s="59"/>
      <c r="CJJ2" s="59"/>
      <c r="CJK2" s="59"/>
      <c r="CJL2" s="59"/>
      <c r="CJM2" s="59"/>
      <c r="CJN2" s="59"/>
      <c r="CJO2" s="59"/>
      <c r="CJP2" s="59"/>
      <c r="CJQ2" s="59"/>
      <c r="CJR2" s="59"/>
      <c r="CJS2" s="59"/>
      <c r="CJT2" s="59"/>
      <c r="CJU2" s="59"/>
      <c r="CJV2" s="59"/>
      <c r="CJW2" s="59"/>
      <c r="CJX2" s="59"/>
      <c r="CJY2" s="59"/>
      <c r="CJZ2" s="59"/>
      <c r="CKA2" s="59"/>
      <c r="CKB2" s="59"/>
      <c r="CKC2" s="59"/>
      <c r="CKD2" s="59"/>
      <c r="CKE2" s="59"/>
      <c r="CKF2" s="59"/>
      <c r="CKG2" s="59"/>
      <c r="CKH2" s="59"/>
      <c r="CKI2" s="59"/>
      <c r="CKJ2" s="59"/>
      <c r="CKK2" s="59"/>
      <c r="CKL2" s="59"/>
      <c r="CKM2" s="59"/>
      <c r="CKN2" s="59"/>
      <c r="CKO2" s="59"/>
      <c r="CKP2" s="59"/>
      <c r="CKQ2" s="59"/>
      <c r="CKR2" s="59"/>
      <c r="CKS2" s="59"/>
      <c r="CKT2" s="59"/>
      <c r="CKU2" s="59"/>
      <c r="CKV2" s="59"/>
      <c r="CKW2" s="59"/>
      <c r="CKX2" s="59"/>
      <c r="CKY2" s="59"/>
      <c r="CKZ2" s="59"/>
      <c r="CLA2" s="59"/>
      <c r="CLB2" s="59"/>
      <c r="CLC2" s="59"/>
      <c r="CLD2" s="59"/>
      <c r="CLE2" s="59"/>
      <c r="CLF2" s="59"/>
      <c r="CLG2" s="59"/>
      <c r="CLH2" s="59"/>
      <c r="CLI2" s="59"/>
      <c r="CLJ2" s="59"/>
      <c r="CLK2" s="59"/>
      <c r="CLL2" s="59"/>
      <c r="CLM2" s="59"/>
      <c r="CLN2" s="59"/>
      <c r="CLO2" s="59"/>
      <c r="CLP2" s="59"/>
      <c r="CLQ2" s="59"/>
      <c r="CLR2" s="59"/>
      <c r="CLS2" s="59"/>
      <c r="CLT2" s="59"/>
      <c r="CLU2" s="59"/>
      <c r="CLV2" s="59"/>
      <c r="CLW2" s="59"/>
      <c r="CLX2" s="59"/>
      <c r="CLY2" s="59"/>
      <c r="CLZ2" s="59"/>
      <c r="CMA2" s="59"/>
      <c r="CMB2" s="59"/>
      <c r="CMC2" s="59"/>
      <c r="CMD2" s="59"/>
      <c r="CME2" s="59"/>
      <c r="CMF2" s="59"/>
      <c r="CMG2" s="59"/>
      <c r="CMH2" s="59"/>
      <c r="CMI2" s="59"/>
      <c r="CMJ2" s="59"/>
      <c r="CMK2" s="59"/>
      <c r="CML2" s="59"/>
      <c r="CMM2" s="59"/>
      <c r="CMN2" s="59"/>
      <c r="CMO2" s="59"/>
      <c r="CMP2" s="59"/>
      <c r="CMQ2" s="59"/>
      <c r="CMR2" s="59"/>
      <c r="CMS2" s="59"/>
      <c r="CMT2" s="59"/>
      <c r="CMU2" s="59"/>
      <c r="CMV2" s="59"/>
      <c r="CMW2" s="59"/>
      <c r="CMX2" s="59"/>
      <c r="CMY2" s="59"/>
      <c r="CMZ2" s="59"/>
      <c r="CNA2" s="59"/>
      <c r="CNB2" s="59"/>
      <c r="CNC2" s="59"/>
      <c r="CND2" s="59"/>
      <c r="CNE2" s="59"/>
      <c r="CNF2" s="59"/>
      <c r="CNG2" s="59"/>
      <c r="CNH2" s="59"/>
      <c r="CNI2" s="59"/>
      <c r="CNJ2" s="59"/>
      <c r="CNK2" s="59"/>
      <c r="CNL2" s="59"/>
      <c r="CNM2" s="59"/>
      <c r="CNN2" s="59"/>
      <c r="CNO2" s="59"/>
      <c r="CNP2" s="59"/>
      <c r="CNQ2" s="59"/>
      <c r="CNR2" s="59"/>
      <c r="CNS2" s="59"/>
      <c r="CNT2" s="59"/>
      <c r="CNU2" s="59"/>
      <c r="CNV2" s="59"/>
      <c r="CNW2" s="59"/>
      <c r="CNX2" s="59"/>
      <c r="CNY2" s="59"/>
      <c r="CNZ2" s="59"/>
      <c r="COA2" s="59"/>
      <c r="COB2" s="59"/>
      <c r="COC2" s="59"/>
      <c r="COD2" s="59"/>
      <c r="COE2" s="59"/>
      <c r="COF2" s="59"/>
      <c r="COG2" s="59"/>
      <c r="COH2" s="59"/>
      <c r="COI2" s="59"/>
      <c r="COJ2" s="59"/>
      <c r="COK2" s="59"/>
      <c r="COL2" s="59"/>
      <c r="COM2" s="59"/>
      <c r="CON2" s="59"/>
      <c r="COO2" s="59"/>
      <c r="COP2" s="59"/>
      <c r="COQ2" s="59"/>
      <c r="COR2" s="59"/>
      <c r="COS2" s="59"/>
      <c r="COT2" s="59"/>
      <c r="COU2" s="59"/>
      <c r="COV2" s="59"/>
      <c r="COW2" s="59"/>
      <c r="COX2" s="59"/>
      <c r="COY2" s="59"/>
      <c r="COZ2" s="59"/>
      <c r="CPA2" s="59"/>
      <c r="CPB2" s="59"/>
      <c r="CPC2" s="59"/>
      <c r="CPD2" s="59"/>
      <c r="CPE2" s="59"/>
      <c r="CPF2" s="59"/>
      <c r="CPG2" s="59"/>
      <c r="CPH2" s="59"/>
      <c r="CPI2" s="59"/>
      <c r="CPJ2" s="59"/>
      <c r="CPK2" s="59"/>
      <c r="CPL2" s="59"/>
      <c r="CPM2" s="59"/>
      <c r="CPN2" s="59"/>
      <c r="CPO2" s="59"/>
      <c r="CPP2" s="59"/>
      <c r="CPQ2" s="59"/>
      <c r="CPR2" s="59"/>
      <c r="CPS2" s="59"/>
      <c r="CPT2" s="59"/>
      <c r="CPU2" s="59"/>
      <c r="CPV2" s="59"/>
      <c r="CPW2" s="59"/>
      <c r="CPX2" s="59"/>
      <c r="CPY2" s="59"/>
      <c r="CPZ2" s="59"/>
      <c r="CQA2" s="59"/>
      <c r="CQB2" s="59"/>
      <c r="CQC2" s="59"/>
      <c r="CQD2" s="59"/>
      <c r="CQE2" s="59"/>
      <c r="CQF2" s="59"/>
      <c r="CQG2" s="59"/>
      <c r="CQH2" s="59"/>
      <c r="CQI2" s="59"/>
      <c r="CQJ2" s="59"/>
      <c r="CQK2" s="59"/>
      <c r="CQL2" s="59"/>
      <c r="CQM2" s="59"/>
      <c r="CQN2" s="59"/>
      <c r="CQO2" s="59"/>
      <c r="CQP2" s="59"/>
      <c r="CQQ2" s="59"/>
      <c r="CQR2" s="59"/>
      <c r="CQS2" s="59"/>
      <c r="CQT2" s="59"/>
      <c r="CQU2" s="59"/>
      <c r="CQV2" s="59"/>
      <c r="CQW2" s="59"/>
      <c r="CQX2" s="59"/>
      <c r="CQY2" s="59"/>
      <c r="CQZ2" s="59"/>
      <c r="CRA2" s="59"/>
      <c r="CRB2" s="59"/>
      <c r="CRC2" s="59"/>
      <c r="CRD2" s="59"/>
      <c r="CRE2" s="59"/>
      <c r="CRF2" s="59"/>
      <c r="CRG2" s="59"/>
      <c r="CRH2" s="59"/>
      <c r="CRI2" s="59"/>
      <c r="CRJ2" s="59"/>
      <c r="CRK2" s="59"/>
      <c r="CRL2" s="59"/>
      <c r="CRM2" s="59"/>
      <c r="CRN2" s="59"/>
      <c r="CRO2" s="59"/>
      <c r="CRP2" s="59"/>
      <c r="CRQ2" s="59"/>
      <c r="CRR2" s="59"/>
      <c r="CRS2" s="59"/>
      <c r="CRT2" s="59"/>
      <c r="CRU2" s="59"/>
      <c r="CRV2" s="59"/>
      <c r="CRW2" s="59"/>
      <c r="CRX2" s="59"/>
      <c r="CRY2" s="59"/>
      <c r="CRZ2" s="59"/>
      <c r="CSA2" s="59"/>
      <c r="CSB2" s="59"/>
      <c r="CSC2" s="59"/>
      <c r="CSD2" s="59"/>
      <c r="CSE2" s="59"/>
      <c r="CSF2" s="59"/>
      <c r="CSG2" s="59"/>
      <c r="CSH2" s="59"/>
      <c r="CSI2" s="59"/>
      <c r="CSJ2" s="59"/>
      <c r="CSK2" s="59"/>
      <c r="CSL2" s="59"/>
      <c r="CSM2" s="59"/>
      <c r="CSN2" s="59"/>
      <c r="CSO2" s="59"/>
      <c r="CSP2" s="59"/>
      <c r="CSQ2" s="59"/>
      <c r="CSR2" s="59"/>
      <c r="CSS2" s="59"/>
      <c r="CST2" s="59"/>
      <c r="CSU2" s="59"/>
      <c r="CSV2" s="59"/>
      <c r="CSW2" s="59"/>
      <c r="CSX2" s="59"/>
      <c r="CSY2" s="59"/>
      <c r="CSZ2" s="59"/>
      <c r="CTA2" s="59"/>
      <c r="CTB2" s="59"/>
      <c r="CTC2" s="59"/>
      <c r="CTD2" s="59"/>
      <c r="CTE2" s="59"/>
      <c r="CTF2" s="59"/>
      <c r="CTG2" s="59"/>
      <c r="CTH2" s="59"/>
      <c r="CTI2" s="59"/>
      <c r="CTJ2" s="59"/>
      <c r="CTK2" s="59"/>
      <c r="CTL2" s="59"/>
      <c r="CTM2" s="59"/>
      <c r="CTN2" s="59"/>
      <c r="CTO2" s="59"/>
      <c r="CTP2" s="59"/>
      <c r="CTQ2" s="59"/>
      <c r="CTR2" s="59"/>
      <c r="CTS2" s="59"/>
      <c r="CTT2" s="59"/>
      <c r="CTU2" s="59"/>
      <c r="CTV2" s="59"/>
      <c r="CTW2" s="59"/>
      <c r="CTX2" s="59"/>
      <c r="CTY2" s="59"/>
      <c r="CTZ2" s="59"/>
      <c r="CUA2" s="59"/>
      <c r="CUB2" s="59"/>
      <c r="CUC2" s="59"/>
      <c r="CUD2" s="59"/>
      <c r="CUE2" s="59"/>
      <c r="CUF2" s="59"/>
      <c r="CUG2" s="59"/>
      <c r="CUH2" s="59"/>
      <c r="CUI2" s="59"/>
      <c r="CUJ2" s="59"/>
      <c r="CUK2" s="59"/>
      <c r="CUL2" s="59"/>
      <c r="CUM2" s="59"/>
      <c r="CUN2" s="59"/>
      <c r="CUO2" s="59"/>
      <c r="CUP2" s="59"/>
      <c r="CUQ2" s="59"/>
      <c r="CUR2" s="59"/>
      <c r="CUS2" s="59"/>
      <c r="CUT2" s="59"/>
      <c r="CUU2" s="59"/>
      <c r="CUV2" s="59"/>
      <c r="CUW2" s="59"/>
      <c r="CUX2" s="59"/>
      <c r="CUY2" s="59"/>
      <c r="CUZ2" s="59"/>
      <c r="CVA2" s="59"/>
      <c r="CVB2" s="59"/>
      <c r="CVC2" s="59"/>
      <c r="CVD2" s="59"/>
      <c r="CVE2" s="59"/>
      <c r="CVF2" s="59"/>
      <c r="CVG2" s="59"/>
      <c r="CVH2" s="59"/>
      <c r="CVI2" s="59"/>
      <c r="CVJ2" s="59"/>
      <c r="CVK2" s="59"/>
      <c r="CVL2" s="59"/>
      <c r="CVM2" s="59"/>
      <c r="CVN2" s="59"/>
      <c r="CVO2" s="59"/>
      <c r="CVP2" s="59"/>
      <c r="CVQ2" s="59"/>
      <c r="CVR2" s="59"/>
      <c r="CVS2" s="59"/>
      <c r="CVT2" s="59"/>
      <c r="CVU2" s="59"/>
      <c r="CVV2" s="59"/>
      <c r="CVW2" s="59"/>
      <c r="CVX2" s="59"/>
      <c r="CVY2" s="59"/>
      <c r="CVZ2" s="59"/>
      <c r="CWA2" s="59"/>
      <c r="CWB2" s="59"/>
      <c r="CWC2" s="59"/>
      <c r="CWD2" s="59"/>
      <c r="CWE2" s="59"/>
      <c r="CWF2" s="59"/>
      <c r="CWG2" s="59"/>
      <c r="CWH2" s="59"/>
      <c r="CWI2" s="59"/>
      <c r="CWJ2" s="59"/>
      <c r="CWK2" s="59"/>
      <c r="CWL2" s="59"/>
      <c r="CWM2" s="59"/>
      <c r="CWN2" s="59"/>
      <c r="CWO2" s="59"/>
      <c r="CWP2" s="59"/>
      <c r="CWQ2" s="59"/>
      <c r="CWR2" s="59"/>
      <c r="CWS2" s="59"/>
      <c r="CWT2" s="59"/>
      <c r="CWU2" s="59"/>
      <c r="CWV2" s="59"/>
      <c r="CWW2" s="59"/>
      <c r="CWX2" s="59"/>
      <c r="CWY2" s="59"/>
      <c r="CWZ2" s="59"/>
      <c r="CXA2" s="59"/>
      <c r="CXB2" s="59"/>
      <c r="CXC2" s="59"/>
      <c r="CXD2" s="59"/>
      <c r="CXE2" s="59"/>
      <c r="CXF2" s="59"/>
      <c r="CXG2" s="59"/>
      <c r="CXH2" s="59"/>
      <c r="CXI2" s="59"/>
      <c r="CXJ2" s="59"/>
      <c r="CXK2" s="59"/>
      <c r="CXL2" s="59"/>
      <c r="CXM2" s="59"/>
      <c r="CXN2" s="59"/>
      <c r="CXO2" s="59"/>
      <c r="CXP2" s="59"/>
      <c r="CXQ2" s="59"/>
      <c r="CXR2" s="59"/>
      <c r="CXS2" s="59"/>
      <c r="CXT2" s="59"/>
      <c r="CXU2" s="59"/>
      <c r="CXV2" s="59"/>
      <c r="CXW2" s="59"/>
      <c r="CXX2" s="59"/>
      <c r="CXY2" s="59"/>
      <c r="CXZ2" s="59"/>
      <c r="CYA2" s="59"/>
      <c r="CYB2" s="59"/>
      <c r="CYC2" s="59"/>
      <c r="CYD2" s="59"/>
      <c r="CYE2" s="59"/>
      <c r="CYF2" s="59"/>
      <c r="CYG2" s="59"/>
      <c r="CYH2" s="59"/>
      <c r="CYI2" s="59"/>
      <c r="CYJ2" s="59"/>
      <c r="CYK2" s="59"/>
      <c r="CYL2" s="59"/>
      <c r="CYM2" s="59"/>
      <c r="CYN2" s="59"/>
      <c r="CYO2" s="59"/>
      <c r="CYP2" s="59"/>
      <c r="CYQ2" s="59"/>
      <c r="CYR2" s="59"/>
      <c r="CYS2" s="59"/>
      <c r="CYT2" s="59"/>
      <c r="CYU2" s="59"/>
      <c r="CYV2" s="59"/>
      <c r="CYW2" s="59"/>
      <c r="CYX2" s="59"/>
      <c r="CYY2" s="59"/>
      <c r="CYZ2" s="59"/>
      <c r="CZA2" s="59"/>
      <c r="CZB2" s="59"/>
      <c r="CZC2" s="59"/>
      <c r="CZD2" s="59"/>
      <c r="CZE2" s="59"/>
      <c r="CZF2" s="59"/>
      <c r="CZG2" s="59"/>
      <c r="CZH2" s="59"/>
      <c r="CZI2" s="59"/>
      <c r="CZJ2" s="59"/>
      <c r="CZK2" s="59"/>
      <c r="CZL2" s="59"/>
      <c r="CZM2" s="59"/>
      <c r="CZN2" s="59"/>
      <c r="CZO2" s="59"/>
      <c r="CZP2" s="59"/>
      <c r="CZQ2" s="59"/>
      <c r="CZR2" s="59"/>
      <c r="CZS2" s="59"/>
      <c r="CZT2" s="59"/>
      <c r="CZU2" s="59"/>
      <c r="CZV2" s="59"/>
      <c r="CZW2" s="59"/>
      <c r="CZX2" s="59"/>
      <c r="CZY2" s="59"/>
      <c r="CZZ2" s="59"/>
      <c r="DAA2" s="59"/>
      <c r="DAB2" s="59"/>
      <c r="DAC2" s="59"/>
      <c r="DAD2" s="59"/>
      <c r="DAE2" s="59"/>
      <c r="DAF2" s="59"/>
      <c r="DAG2" s="59"/>
      <c r="DAH2" s="59"/>
      <c r="DAI2" s="59"/>
      <c r="DAJ2" s="59"/>
      <c r="DAK2" s="59"/>
      <c r="DAL2" s="59"/>
      <c r="DAM2" s="59"/>
      <c r="DAN2" s="59"/>
      <c r="DAO2" s="59"/>
      <c r="DAP2" s="59"/>
      <c r="DAQ2" s="59"/>
      <c r="DAR2" s="59"/>
      <c r="DAS2" s="59"/>
      <c r="DAT2" s="59"/>
      <c r="DAU2" s="59"/>
      <c r="DAV2" s="59"/>
      <c r="DAW2" s="59"/>
      <c r="DAX2" s="59"/>
      <c r="DAY2" s="59"/>
      <c r="DAZ2" s="59"/>
      <c r="DBA2" s="59"/>
      <c r="DBB2" s="59"/>
      <c r="DBC2" s="59"/>
      <c r="DBD2" s="59"/>
      <c r="DBE2" s="59"/>
      <c r="DBF2" s="59"/>
      <c r="DBG2" s="59"/>
      <c r="DBH2" s="59"/>
      <c r="DBI2" s="59"/>
      <c r="DBJ2" s="59"/>
      <c r="DBK2" s="59"/>
      <c r="DBL2" s="59"/>
      <c r="DBM2" s="59"/>
      <c r="DBN2" s="59"/>
      <c r="DBO2" s="59"/>
      <c r="DBP2" s="59"/>
      <c r="DBQ2" s="59"/>
      <c r="DBR2" s="59"/>
      <c r="DBS2" s="59"/>
      <c r="DBT2" s="59"/>
      <c r="DBU2" s="59"/>
      <c r="DBV2" s="59"/>
      <c r="DBW2" s="59"/>
      <c r="DBX2" s="59"/>
      <c r="DBY2" s="59"/>
      <c r="DBZ2" s="59"/>
      <c r="DCA2" s="59"/>
      <c r="DCB2" s="59"/>
      <c r="DCC2" s="59"/>
      <c r="DCD2" s="59"/>
      <c r="DCE2" s="59"/>
      <c r="DCF2" s="59"/>
      <c r="DCG2" s="59"/>
      <c r="DCH2" s="59"/>
      <c r="DCI2" s="59"/>
      <c r="DCJ2" s="59"/>
      <c r="DCK2" s="59"/>
      <c r="DCL2" s="59"/>
      <c r="DCM2" s="59"/>
      <c r="DCN2" s="59"/>
      <c r="DCO2" s="59"/>
      <c r="DCP2" s="59"/>
      <c r="DCQ2" s="59"/>
      <c r="DCR2" s="59"/>
      <c r="DCS2" s="59"/>
      <c r="DCT2" s="59"/>
      <c r="DCU2" s="59"/>
      <c r="DCV2" s="59"/>
      <c r="DCW2" s="59"/>
      <c r="DCX2" s="59"/>
      <c r="DCY2" s="59"/>
      <c r="DCZ2" s="59"/>
      <c r="DDA2" s="59"/>
      <c r="DDB2" s="59"/>
      <c r="DDC2" s="59"/>
      <c r="DDD2" s="59"/>
      <c r="DDE2" s="59"/>
      <c r="DDF2" s="59"/>
      <c r="DDG2" s="59"/>
      <c r="DDH2" s="59"/>
      <c r="DDI2" s="59"/>
      <c r="DDJ2" s="59"/>
      <c r="DDK2" s="59"/>
      <c r="DDL2" s="59"/>
      <c r="DDM2" s="59"/>
      <c r="DDN2" s="59"/>
      <c r="DDO2" s="59"/>
      <c r="DDP2" s="59"/>
      <c r="DDQ2" s="59"/>
      <c r="DDR2" s="59"/>
      <c r="DDS2" s="59"/>
      <c r="DDT2" s="59"/>
      <c r="DDU2" s="59"/>
      <c r="DDV2" s="59"/>
      <c r="DDW2" s="59"/>
      <c r="DDX2" s="59"/>
      <c r="DDY2" s="59"/>
      <c r="DDZ2" s="59"/>
      <c r="DEA2" s="59"/>
      <c r="DEB2" s="59"/>
      <c r="DEC2" s="59"/>
      <c r="DED2" s="59"/>
      <c r="DEE2" s="59"/>
      <c r="DEF2" s="59"/>
      <c r="DEG2" s="59"/>
      <c r="DEH2" s="59"/>
      <c r="DEI2" s="59"/>
      <c r="DEJ2" s="59"/>
      <c r="DEK2" s="59"/>
      <c r="DEL2" s="59"/>
      <c r="DEM2" s="59"/>
      <c r="DEN2" s="59"/>
      <c r="DEO2" s="59"/>
      <c r="DEP2" s="59"/>
      <c r="DEQ2" s="59"/>
      <c r="DER2" s="59"/>
      <c r="DES2" s="59"/>
      <c r="DET2" s="59"/>
      <c r="DEU2" s="59"/>
      <c r="DEV2" s="59"/>
      <c r="DEW2" s="59"/>
      <c r="DEX2" s="59"/>
      <c r="DEY2" s="59"/>
      <c r="DEZ2" s="59"/>
      <c r="DFA2" s="59"/>
      <c r="DFB2" s="59"/>
      <c r="DFC2" s="59"/>
      <c r="DFD2" s="59"/>
      <c r="DFE2" s="59"/>
      <c r="DFF2" s="59"/>
      <c r="DFG2" s="59"/>
      <c r="DFH2" s="59"/>
      <c r="DFI2" s="59"/>
      <c r="DFJ2" s="59"/>
      <c r="DFK2" s="59"/>
      <c r="DFL2" s="59"/>
      <c r="DFM2" s="59"/>
      <c r="DFN2" s="59"/>
      <c r="DFO2" s="59"/>
      <c r="DFP2" s="59"/>
      <c r="DFQ2" s="59"/>
      <c r="DFR2" s="59"/>
      <c r="DFS2" s="59"/>
      <c r="DFT2" s="59"/>
      <c r="DFU2" s="59"/>
      <c r="DFV2" s="59"/>
      <c r="DFW2" s="59"/>
      <c r="DFX2" s="59"/>
      <c r="DFY2" s="59"/>
      <c r="DFZ2" s="59"/>
      <c r="DGA2" s="59"/>
      <c r="DGB2" s="59"/>
      <c r="DGC2" s="59"/>
      <c r="DGD2" s="59"/>
      <c r="DGE2" s="59"/>
      <c r="DGF2" s="59"/>
      <c r="DGG2" s="59"/>
      <c r="DGH2" s="59"/>
      <c r="DGI2" s="59"/>
      <c r="DGJ2" s="59"/>
      <c r="DGK2" s="59"/>
      <c r="DGL2" s="59"/>
      <c r="DGM2" s="59"/>
      <c r="DGN2" s="59"/>
      <c r="DGO2" s="59"/>
      <c r="DGP2" s="59"/>
      <c r="DGQ2" s="59"/>
      <c r="DGR2" s="59"/>
      <c r="DGS2" s="59"/>
      <c r="DGT2" s="59"/>
      <c r="DGU2" s="59"/>
      <c r="DGV2" s="59"/>
      <c r="DGW2" s="59"/>
      <c r="DGX2" s="59"/>
      <c r="DGY2" s="59"/>
      <c r="DGZ2" s="59"/>
      <c r="DHA2" s="59"/>
      <c r="DHB2" s="59"/>
      <c r="DHC2" s="59"/>
      <c r="DHD2" s="59"/>
      <c r="DHE2" s="59"/>
      <c r="DHF2" s="59"/>
      <c r="DHG2" s="59"/>
      <c r="DHH2" s="59"/>
      <c r="DHI2" s="59"/>
      <c r="DHJ2" s="59"/>
      <c r="DHK2" s="59"/>
      <c r="DHL2" s="59"/>
      <c r="DHM2" s="59"/>
      <c r="DHN2" s="59"/>
      <c r="DHO2" s="59"/>
      <c r="DHP2" s="59"/>
      <c r="DHQ2" s="59"/>
      <c r="DHR2" s="59"/>
      <c r="DHS2" s="59"/>
      <c r="DHT2" s="59"/>
      <c r="DHU2" s="59"/>
      <c r="DHV2" s="59"/>
      <c r="DHW2" s="59"/>
      <c r="DHX2" s="59"/>
      <c r="DHY2" s="59"/>
      <c r="DHZ2" s="59"/>
      <c r="DIA2" s="59"/>
      <c r="DIB2" s="59"/>
      <c r="DIC2" s="59"/>
      <c r="DID2" s="59"/>
      <c r="DIE2" s="59"/>
      <c r="DIF2" s="59"/>
      <c r="DIG2" s="59"/>
      <c r="DIH2" s="59"/>
      <c r="DII2" s="59"/>
      <c r="DIJ2" s="59"/>
      <c r="DIK2" s="59"/>
      <c r="DIL2" s="59"/>
      <c r="DIM2" s="59"/>
      <c r="DIN2" s="59"/>
      <c r="DIO2" s="59"/>
      <c r="DIP2" s="59"/>
      <c r="DIQ2" s="59"/>
      <c r="DIR2" s="59"/>
      <c r="DIS2" s="59"/>
      <c r="DIT2" s="59"/>
      <c r="DIU2" s="59"/>
      <c r="DIV2" s="59"/>
      <c r="DIW2" s="59"/>
      <c r="DIX2" s="59"/>
      <c r="DIY2" s="59"/>
      <c r="DIZ2" s="59"/>
      <c r="DJA2" s="59"/>
      <c r="DJB2" s="59"/>
      <c r="DJC2" s="59"/>
      <c r="DJD2" s="59"/>
      <c r="DJE2" s="59"/>
      <c r="DJF2" s="59"/>
      <c r="DJG2" s="59"/>
      <c r="DJH2" s="59"/>
      <c r="DJI2" s="59"/>
      <c r="DJJ2" s="59"/>
      <c r="DJK2" s="59"/>
      <c r="DJL2" s="59"/>
      <c r="DJM2" s="59"/>
      <c r="DJN2" s="59"/>
      <c r="DJO2" s="59"/>
      <c r="DJP2" s="59"/>
      <c r="DJQ2" s="59"/>
      <c r="DJR2" s="59"/>
      <c r="DJS2" s="59"/>
      <c r="DJT2" s="59"/>
      <c r="DJU2" s="59"/>
      <c r="DJV2" s="59"/>
      <c r="DJW2" s="59"/>
      <c r="DJX2" s="59"/>
      <c r="DJY2" s="59"/>
      <c r="DJZ2" s="59"/>
      <c r="DKA2" s="59"/>
      <c r="DKB2" s="59"/>
      <c r="DKC2" s="59"/>
      <c r="DKD2" s="59"/>
      <c r="DKE2" s="59"/>
      <c r="DKF2" s="59"/>
      <c r="DKG2" s="59"/>
      <c r="DKH2" s="59"/>
      <c r="DKI2" s="59"/>
      <c r="DKJ2" s="59"/>
      <c r="DKK2" s="59"/>
      <c r="DKL2" s="59"/>
      <c r="DKM2" s="59"/>
      <c r="DKN2" s="59"/>
      <c r="DKO2" s="59"/>
      <c r="DKP2" s="59"/>
      <c r="DKQ2" s="59"/>
      <c r="DKR2" s="59"/>
      <c r="DKS2" s="59"/>
      <c r="DKT2" s="59"/>
      <c r="DKU2" s="59"/>
      <c r="DKV2" s="59"/>
      <c r="DKW2" s="59"/>
      <c r="DKX2" s="59"/>
      <c r="DKY2" s="59"/>
      <c r="DKZ2" s="59"/>
      <c r="DLA2" s="59"/>
      <c r="DLB2" s="59"/>
      <c r="DLC2" s="59"/>
      <c r="DLD2" s="59"/>
      <c r="DLE2" s="59"/>
      <c r="DLF2" s="59"/>
      <c r="DLG2" s="59"/>
      <c r="DLH2" s="59"/>
      <c r="DLI2" s="59"/>
      <c r="DLJ2" s="59"/>
      <c r="DLK2" s="59"/>
      <c r="DLL2" s="59"/>
      <c r="DLM2" s="59"/>
      <c r="DLN2" s="59"/>
      <c r="DLO2" s="59"/>
      <c r="DLP2" s="59"/>
      <c r="DLQ2" s="59"/>
      <c r="DLR2" s="59"/>
      <c r="DLS2" s="59"/>
      <c r="DLT2" s="59"/>
      <c r="DLU2" s="59"/>
      <c r="DLV2" s="59"/>
      <c r="DLW2" s="59"/>
      <c r="DLX2" s="59"/>
      <c r="DLY2" s="59"/>
      <c r="DLZ2" s="59"/>
      <c r="DMA2" s="59"/>
      <c r="DMB2" s="59"/>
      <c r="DMC2" s="59"/>
      <c r="DMD2" s="59"/>
      <c r="DME2" s="59"/>
      <c r="DMF2" s="59"/>
      <c r="DMG2" s="59"/>
      <c r="DMH2" s="59"/>
      <c r="DMI2" s="59"/>
      <c r="DMJ2" s="59"/>
      <c r="DMK2" s="59"/>
      <c r="DML2" s="59"/>
      <c r="DMM2" s="59"/>
      <c r="DMN2" s="59"/>
      <c r="DMO2" s="59"/>
      <c r="DMP2" s="59"/>
      <c r="DMQ2" s="59"/>
      <c r="DMR2" s="59"/>
      <c r="DMS2" s="59"/>
      <c r="DMT2" s="59"/>
      <c r="DMU2" s="59"/>
      <c r="DMV2" s="59"/>
      <c r="DMW2" s="59"/>
      <c r="DMX2" s="59"/>
      <c r="DMY2" s="59"/>
      <c r="DMZ2" s="59"/>
      <c r="DNA2" s="59"/>
      <c r="DNB2" s="59"/>
      <c r="DNC2" s="59"/>
      <c r="DND2" s="59"/>
      <c r="DNE2" s="59"/>
      <c r="DNF2" s="59"/>
      <c r="DNG2" s="59"/>
      <c r="DNH2" s="59"/>
      <c r="DNI2" s="59"/>
      <c r="DNJ2" s="59"/>
      <c r="DNK2" s="59"/>
      <c r="DNL2" s="59"/>
      <c r="DNM2" s="59"/>
      <c r="DNN2" s="59"/>
      <c r="DNO2" s="59"/>
      <c r="DNP2" s="59"/>
      <c r="DNQ2" s="59"/>
      <c r="DNR2" s="59"/>
      <c r="DNS2" s="59"/>
      <c r="DNT2" s="59"/>
      <c r="DNU2" s="59"/>
      <c r="DNV2" s="59"/>
      <c r="DNW2" s="59"/>
      <c r="DNX2" s="59"/>
      <c r="DNY2" s="59"/>
      <c r="DNZ2" s="59"/>
      <c r="DOA2" s="59"/>
      <c r="DOB2" s="59"/>
      <c r="DOC2" s="59"/>
      <c r="DOD2" s="59"/>
      <c r="DOE2" s="59"/>
      <c r="DOF2" s="59"/>
      <c r="DOG2" s="59"/>
      <c r="DOH2" s="59"/>
      <c r="DOI2" s="59"/>
      <c r="DOJ2" s="59"/>
      <c r="DOK2" s="59"/>
      <c r="DOL2" s="59"/>
      <c r="DOM2" s="59"/>
      <c r="DON2" s="59"/>
      <c r="DOO2" s="59"/>
      <c r="DOP2" s="59"/>
      <c r="DOQ2" s="59"/>
      <c r="DOR2" s="59"/>
      <c r="DOS2" s="59"/>
      <c r="DOT2" s="59"/>
      <c r="DOU2" s="59"/>
      <c r="DOV2" s="59"/>
      <c r="DOW2" s="59"/>
      <c r="DOX2" s="59"/>
      <c r="DOY2" s="59"/>
      <c r="DOZ2" s="59"/>
      <c r="DPA2" s="59"/>
      <c r="DPB2" s="59"/>
      <c r="DPC2" s="59"/>
      <c r="DPD2" s="59"/>
      <c r="DPE2" s="59"/>
      <c r="DPF2" s="59"/>
      <c r="DPG2" s="59"/>
      <c r="DPH2" s="59"/>
      <c r="DPI2" s="59"/>
      <c r="DPJ2" s="59"/>
      <c r="DPK2" s="59"/>
      <c r="DPL2" s="59"/>
      <c r="DPM2" s="59"/>
      <c r="DPN2" s="59"/>
      <c r="DPO2" s="59"/>
      <c r="DPP2" s="59"/>
      <c r="DPQ2" s="59"/>
      <c r="DPR2" s="59"/>
      <c r="DPS2" s="59"/>
      <c r="DPT2" s="59"/>
      <c r="DPU2" s="59"/>
      <c r="DPV2" s="59"/>
      <c r="DPW2" s="59"/>
      <c r="DPX2" s="59"/>
      <c r="DPY2" s="59"/>
      <c r="DPZ2" s="59"/>
      <c r="DQA2" s="59"/>
      <c r="DQB2" s="59"/>
      <c r="DQC2" s="59"/>
      <c r="DQD2" s="59"/>
      <c r="DQE2" s="59"/>
      <c r="DQF2" s="59"/>
      <c r="DQG2" s="59"/>
      <c r="DQH2" s="59"/>
      <c r="DQI2" s="59"/>
      <c r="DQJ2" s="59"/>
      <c r="DQK2" s="59"/>
      <c r="DQL2" s="59"/>
      <c r="DQM2" s="59"/>
      <c r="DQN2" s="59"/>
      <c r="DQO2" s="59"/>
      <c r="DQP2" s="59"/>
      <c r="DQQ2" s="59"/>
      <c r="DQR2" s="59"/>
      <c r="DQS2" s="59"/>
      <c r="DQT2" s="59"/>
      <c r="DQU2" s="59"/>
      <c r="DQV2" s="59"/>
      <c r="DQW2" s="59"/>
      <c r="DQX2" s="59"/>
      <c r="DQY2" s="59"/>
      <c r="DQZ2" s="59"/>
      <c r="DRA2" s="59"/>
      <c r="DRB2" s="59"/>
      <c r="DRC2" s="59"/>
      <c r="DRD2" s="59"/>
      <c r="DRE2" s="59"/>
      <c r="DRF2" s="59"/>
      <c r="DRG2" s="59"/>
      <c r="DRH2" s="59"/>
      <c r="DRI2" s="59"/>
      <c r="DRJ2" s="59"/>
      <c r="DRK2" s="59"/>
      <c r="DRL2" s="59"/>
      <c r="DRM2" s="59"/>
      <c r="DRN2" s="59"/>
      <c r="DRO2" s="59"/>
      <c r="DRP2" s="59"/>
      <c r="DRQ2" s="59"/>
      <c r="DRR2" s="59"/>
      <c r="DRS2" s="59"/>
      <c r="DRT2" s="59"/>
      <c r="DRU2" s="59"/>
      <c r="DRV2" s="59"/>
      <c r="DRW2" s="59"/>
      <c r="DRX2" s="59"/>
      <c r="DRY2" s="59"/>
      <c r="DRZ2" s="59"/>
      <c r="DSA2" s="59"/>
      <c r="DSB2" s="59"/>
      <c r="DSC2" s="59"/>
      <c r="DSD2" s="59"/>
      <c r="DSE2" s="59"/>
      <c r="DSF2" s="59"/>
      <c r="DSG2" s="59"/>
      <c r="DSH2" s="59"/>
      <c r="DSI2" s="59"/>
      <c r="DSJ2" s="59"/>
      <c r="DSK2" s="59"/>
      <c r="DSL2" s="59"/>
      <c r="DSM2" s="59"/>
      <c r="DSN2" s="59"/>
      <c r="DSO2" s="59"/>
      <c r="DSP2" s="59"/>
      <c r="DSQ2" s="59"/>
      <c r="DSR2" s="59"/>
      <c r="DSS2" s="59"/>
      <c r="DST2" s="59"/>
      <c r="DSU2" s="59"/>
      <c r="DSV2" s="59"/>
      <c r="DSW2" s="59"/>
      <c r="DSX2" s="59"/>
      <c r="DSY2" s="59"/>
      <c r="DSZ2" s="59"/>
      <c r="DTA2" s="59"/>
      <c r="DTB2" s="59"/>
      <c r="DTC2" s="59"/>
      <c r="DTD2" s="59"/>
      <c r="DTE2" s="59"/>
      <c r="DTF2" s="59"/>
      <c r="DTG2" s="59"/>
      <c r="DTH2" s="59"/>
      <c r="DTI2" s="59"/>
      <c r="DTJ2" s="59"/>
      <c r="DTK2" s="59"/>
      <c r="DTL2" s="59"/>
      <c r="DTM2" s="59"/>
      <c r="DTN2" s="59"/>
      <c r="DTO2" s="59"/>
      <c r="DTP2" s="59"/>
      <c r="DTQ2" s="59"/>
      <c r="DTR2" s="59"/>
      <c r="DTS2" s="59"/>
      <c r="DTT2" s="59"/>
      <c r="DTU2" s="59"/>
      <c r="DTV2" s="59"/>
      <c r="DTW2" s="59"/>
      <c r="DTX2" s="59"/>
      <c r="DTY2" s="59"/>
      <c r="DTZ2" s="59"/>
      <c r="DUA2" s="59"/>
      <c r="DUB2" s="59"/>
      <c r="DUC2" s="59"/>
      <c r="DUD2" s="59"/>
      <c r="DUE2" s="59"/>
      <c r="DUF2" s="59"/>
      <c r="DUG2" s="59"/>
      <c r="DUH2" s="59"/>
      <c r="DUI2" s="59"/>
      <c r="DUJ2" s="59"/>
      <c r="DUK2" s="59"/>
      <c r="DUL2" s="59"/>
      <c r="DUM2" s="59"/>
      <c r="DUN2" s="59"/>
      <c r="DUO2" s="59"/>
      <c r="DUP2" s="59"/>
      <c r="DUQ2" s="59"/>
      <c r="DUR2" s="59"/>
      <c r="DUS2" s="59"/>
      <c r="DUT2" s="59"/>
      <c r="DUU2" s="59"/>
      <c r="DUV2" s="59"/>
      <c r="DUW2" s="59"/>
      <c r="DUX2" s="59"/>
      <c r="DUY2" s="59"/>
      <c r="DUZ2" s="59"/>
      <c r="DVA2" s="59"/>
      <c r="DVB2" s="59"/>
      <c r="DVC2" s="59"/>
      <c r="DVD2" s="59"/>
      <c r="DVE2" s="59"/>
      <c r="DVF2" s="59"/>
      <c r="DVG2" s="59"/>
      <c r="DVH2" s="59"/>
      <c r="DVI2" s="59"/>
      <c r="DVJ2" s="59"/>
      <c r="DVK2" s="59"/>
      <c r="DVL2" s="59"/>
      <c r="DVM2" s="59"/>
      <c r="DVN2" s="59"/>
      <c r="DVO2" s="59"/>
      <c r="DVP2" s="59"/>
      <c r="DVQ2" s="59"/>
      <c r="DVR2" s="59"/>
      <c r="DVS2" s="59"/>
      <c r="DVT2" s="59"/>
      <c r="DVU2" s="59"/>
      <c r="DVV2" s="59"/>
      <c r="DVW2" s="59"/>
      <c r="DVX2" s="59"/>
      <c r="DVY2" s="59"/>
      <c r="DVZ2" s="59"/>
      <c r="DWA2" s="59"/>
      <c r="DWB2" s="59"/>
      <c r="DWC2" s="59"/>
      <c r="DWD2" s="59"/>
      <c r="DWE2" s="59"/>
      <c r="DWF2" s="59"/>
      <c r="DWG2" s="59"/>
      <c r="DWH2" s="59"/>
      <c r="DWI2" s="59"/>
      <c r="DWJ2" s="59"/>
      <c r="DWK2" s="59"/>
      <c r="DWL2" s="59"/>
      <c r="DWM2" s="59"/>
      <c r="DWN2" s="59"/>
      <c r="DWO2" s="59"/>
      <c r="DWP2" s="59"/>
      <c r="DWQ2" s="59"/>
      <c r="DWR2" s="59"/>
      <c r="DWS2" s="59"/>
      <c r="DWT2" s="59"/>
      <c r="DWU2" s="59"/>
      <c r="DWV2" s="59"/>
      <c r="DWW2" s="59"/>
      <c r="DWX2" s="59"/>
      <c r="DWY2" s="59"/>
      <c r="DWZ2" s="59"/>
      <c r="DXA2" s="59"/>
      <c r="DXB2" s="59"/>
      <c r="DXC2" s="59"/>
      <c r="DXD2" s="59"/>
      <c r="DXE2" s="59"/>
      <c r="DXF2" s="59"/>
      <c r="DXG2" s="59"/>
      <c r="DXH2" s="59"/>
      <c r="DXI2" s="59"/>
      <c r="DXJ2" s="59"/>
      <c r="DXK2" s="59"/>
      <c r="DXL2" s="59"/>
      <c r="DXM2" s="59"/>
      <c r="DXN2" s="59"/>
      <c r="DXO2" s="59"/>
      <c r="DXP2" s="59"/>
      <c r="DXQ2" s="59"/>
      <c r="DXR2" s="59"/>
      <c r="DXS2" s="59"/>
      <c r="DXT2" s="59"/>
      <c r="DXU2" s="59"/>
      <c r="DXV2" s="59"/>
      <c r="DXW2" s="59"/>
      <c r="DXX2" s="59"/>
      <c r="DXY2" s="59"/>
      <c r="DXZ2" s="59"/>
      <c r="DYA2" s="59"/>
      <c r="DYB2" s="59"/>
      <c r="DYC2" s="59"/>
      <c r="DYD2" s="59"/>
      <c r="DYE2" s="59"/>
      <c r="DYF2" s="59"/>
      <c r="DYG2" s="59"/>
      <c r="DYH2" s="59"/>
      <c r="DYI2" s="59"/>
      <c r="DYJ2" s="59"/>
      <c r="DYK2" s="59"/>
      <c r="DYL2" s="59"/>
      <c r="DYM2" s="59"/>
      <c r="DYN2" s="59"/>
      <c r="DYO2" s="59"/>
      <c r="DYP2" s="59"/>
      <c r="DYQ2" s="59"/>
      <c r="DYR2" s="59"/>
      <c r="DYS2" s="59"/>
      <c r="DYT2" s="59"/>
      <c r="DYU2" s="59"/>
      <c r="DYV2" s="59"/>
      <c r="DYW2" s="59"/>
      <c r="DYX2" s="59"/>
      <c r="DYY2" s="59"/>
      <c r="DYZ2" s="59"/>
      <c r="DZA2" s="59"/>
      <c r="DZB2" s="59"/>
      <c r="DZC2" s="59"/>
      <c r="DZD2" s="59"/>
      <c r="DZE2" s="59"/>
      <c r="DZF2" s="59"/>
      <c r="DZG2" s="59"/>
      <c r="DZH2" s="59"/>
      <c r="DZI2" s="59"/>
      <c r="DZJ2" s="59"/>
      <c r="DZK2" s="59"/>
      <c r="DZL2" s="59"/>
      <c r="DZM2" s="59"/>
      <c r="DZN2" s="59"/>
      <c r="DZO2" s="59"/>
      <c r="DZP2" s="59"/>
      <c r="DZQ2" s="59"/>
      <c r="DZR2" s="59"/>
      <c r="DZS2" s="59"/>
      <c r="DZT2" s="59"/>
      <c r="DZU2" s="59"/>
      <c r="DZV2" s="59"/>
      <c r="DZW2" s="59"/>
      <c r="DZX2" s="59"/>
      <c r="DZY2" s="59"/>
      <c r="DZZ2" s="59"/>
      <c r="EAA2" s="59"/>
      <c r="EAB2" s="59"/>
      <c r="EAC2" s="59"/>
      <c r="EAD2" s="59"/>
      <c r="EAE2" s="59"/>
      <c r="EAF2" s="59"/>
      <c r="EAG2" s="59"/>
      <c r="EAH2" s="59"/>
      <c r="EAI2" s="59"/>
      <c r="EAJ2" s="59"/>
      <c r="EAK2" s="59"/>
      <c r="EAL2" s="59"/>
      <c r="EAM2" s="59"/>
      <c r="EAN2" s="59"/>
      <c r="EAO2" s="59"/>
      <c r="EAP2" s="59"/>
      <c r="EAQ2" s="59"/>
      <c r="EAR2" s="59"/>
      <c r="EAS2" s="59"/>
      <c r="EAT2" s="59"/>
      <c r="EAU2" s="59"/>
      <c r="EAV2" s="59"/>
      <c r="EAW2" s="59"/>
      <c r="EAX2" s="59"/>
      <c r="EAY2" s="59"/>
      <c r="EAZ2" s="59"/>
      <c r="EBA2" s="59"/>
      <c r="EBB2" s="59"/>
      <c r="EBC2" s="59"/>
      <c r="EBD2" s="59"/>
      <c r="EBE2" s="59"/>
      <c r="EBF2" s="59"/>
      <c r="EBG2" s="59"/>
      <c r="EBH2" s="59"/>
      <c r="EBI2" s="59"/>
      <c r="EBJ2" s="59"/>
      <c r="EBK2" s="59"/>
      <c r="EBL2" s="59"/>
      <c r="EBM2" s="59"/>
      <c r="EBN2" s="59"/>
      <c r="EBO2" s="59"/>
      <c r="EBP2" s="59"/>
      <c r="EBQ2" s="59"/>
      <c r="EBR2" s="59"/>
      <c r="EBS2" s="59"/>
      <c r="EBT2" s="59"/>
      <c r="EBU2" s="59"/>
      <c r="EBV2" s="59"/>
      <c r="EBW2" s="59"/>
      <c r="EBX2" s="59"/>
      <c r="EBY2" s="59"/>
      <c r="EBZ2" s="59"/>
      <c r="ECA2" s="59"/>
      <c r="ECB2" s="59"/>
      <c r="ECC2" s="59"/>
      <c r="ECD2" s="59"/>
      <c r="ECE2" s="59"/>
      <c r="ECF2" s="59"/>
      <c r="ECG2" s="59"/>
      <c r="ECH2" s="59"/>
      <c r="ECI2" s="59"/>
      <c r="ECJ2" s="59"/>
      <c r="ECK2" s="59"/>
      <c r="ECL2" s="59"/>
      <c r="ECM2" s="59"/>
      <c r="ECN2" s="59"/>
      <c r="ECO2" s="59"/>
      <c r="ECP2" s="59"/>
      <c r="ECQ2" s="59"/>
      <c r="ECR2" s="59"/>
      <c r="ECS2" s="59"/>
      <c r="ECT2" s="59"/>
      <c r="ECU2" s="59"/>
      <c r="ECV2" s="59"/>
      <c r="ECW2" s="59"/>
      <c r="ECX2" s="59"/>
      <c r="ECY2" s="59"/>
      <c r="ECZ2" s="59"/>
      <c r="EDA2" s="59"/>
      <c r="EDB2" s="59"/>
      <c r="EDC2" s="59"/>
      <c r="EDD2" s="59"/>
      <c r="EDE2" s="59"/>
      <c r="EDF2" s="59"/>
      <c r="EDG2" s="59"/>
      <c r="EDH2" s="59"/>
      <c r="EDI2" s="59"/>
      <c r="EDJ2" s="59"/>
      <c r="EDK2" s="59"/>
      <c r="EDL2" s="59"/>
      <c r="EDM2" s="59"/>
      <c r="EDN2" s="59"/>
      <c r="EDO2" s="59"/>
      <c r="EDP2" s="59"/>
      <c r="EDQ2" s="59"/>
      <c r="EDR2" s="59"/>
      <c r="EDS2" s="59"/>
      <c r="EDT2" s="59"/>
      <c r="EDU2" s="59"/>
      <c r="EDV2" s="59"/>
      <c r="EDW2" s="59"/>
      <c r="EDX2" s="59"/>
      <c r="EDY2" s="59"/>
      <c r="EDZ2" s="59"/>
      <c r="EEA2" s="59"/>
      <c r="EEB2" s="59"/>
      <c r="EEC2" s="59"/>
      <c r="EED2" s="59"/>
      <c r="EEE2" s="59"/>
      <c r="EEF2" s="59"/>
      <c r="EEG2" s="59"/>
      <c r="EEH2" s="59"/>
      <c r="EEI2" s="59"/>
      <c r="EEJ2" s="59"/>
      <c r="EEK2" s="59"/>
      <c r="EEL2" s="59"/>
      <c r="EEM2" s="59"/>
      <c r="EEN2" s="59"/>
      <c r="EEO2" s="59"/>
      <c r="EEP2" s="59"/>
      <c r="EEQ2" s="59"/>
      <c r="EER2" s="59"/>
      <c r="EES2" s="59"/>
      <c r="EET2" s="59"/>
      <c r="EEU2" s="59"/>
      <c r="EEV2" s="59"/>
      <c r="EEW2" s="59"/>
      <c r="EEX2" s="59"/>
      <c r="EEY2" s="59"/>
      <c r="EEZ2" s="59"/>
      <c r="EFA2" s="59"/>
      <c r="EFB2" s="59"/>
      <c r="EFC2" s="59"/>
      <c r="EFD2" s="59"/>
      <c r="EFE2" s="59"/>
      <c r="EFF2" s="59"/>
      <c r="EFG2" s="59"/>
      <c r="EFH2" s="59"/>
      <c r="EFI2" s="59"/>
      <c r="EFJ2" s="59"/>
      <c r="EFK2" s="59"/>
      <c r="EFL2" s="59"/>
      <c r="EFM2" s="59"/>
      <c r="EFN2" s="59"/>
      <c r="EFO2" s="59"/>
      <c r="EFP2" s="59"/>
      <c r="EFQ2" s="59"/>
      <c r="EFR2" s="59"/>
      <c r="EFS2" s="59"/>
      <c r="EFT2" s="59"/>
      <c r="EFU2" s="59"/>
      <c r="EFV2" s="59"/>
      <c r="EFW2" s="59"/>
      <c r="EFX2" s="59"/>
      <c r="EFY2" s="59"/>
      <c r="EFZ2" s="59"/>
      <c r="EGA2" s="59"/>
      <c r="EGB2" s="59"/>
      <c r="EGC2" s="59"/>
      <c r="EGD2" s="59"/>
      <c r="EGE2" s="59"/>
      <c r="EGF2" s="59"/>
      <c r="EGG2" s="59"/>
      <c r="EGH2" s="59"/>
      <c r="EGI2" s="59"/>
      <c r="EGJ2" s="59"/>
      <c r="EGK2" s="59"/>
      <c r="EGL2" s="59"/>
      <c r="EGM2" s="59"/>
      <c r="EGN2" s="59"/>
      <c r="EGO2" s="59"/>
      <c r="EGP2" s="59"/>
      <c r="EGQ2" s="59"/>
      <c r="EGR2" s="59"/>
      <c r="EGS2" s="59"/>
      <c r="EGT2" s="59"/>
      <c r="EGU2" s="59"/>
      <c r="EGV2" s="59"/>
      <c r="EGW2" s="59"/>
      <c r="EGX2" s="59"/>
      <c r="EGY2" s="59"/>
      <c r="EGZ2" s="59"/>
      <c r="EHA2" s="59"/>
      <c r="EHB2" s="59"/>
      <c r="EHC2" s="59"/>
      <c r="EHD2" s="59"/>
      <c r="EHE2" s="59"/>
      <c r="EHF2" s="59"/>
      <c r="EHG2" s="59"/>
      <c r="EHH2" s="59"/>
      <c r="EHI2" s="59"/>
      <c r="EHJ2" s="59"/>
      <c r="EHK2" s="59"/>
      <c r="EHL2" s="59"/>
      <c r="EHM2" s="59"/>
      <c r="EHN2" s="59"/>
      <c r="EHO2" s="59"/>
      <c r="EHP2" s="59"/>
      <c r="EHQ2" s="59"/>
      <c r="EHR2" s="59"/>
      <c r="EHS2" s="59"/>
      <c r="EHT2" s="59"/>
      <c r="EHU2" s="59"/>
      <c r="EHV2" s="59"/>
      <c r="EHW2" s="59"/>
      <c r="EHX2" s="59"/>
      <c r="EHY2" s="59"/>
      <c r="EHZ2" s="59"/>
      <c r="EIA2" s="59"/>
      <c r="EIB2" s="59"/>
      <c r="EIC2" s="59"/>
      <c r="EID2" s="59"/>
      <c r="EIE2" s="59"/>
      <c r="EIF2" s="59"/>
      <c r="EIG2" s="59"/>
      <c r="EIH2" s="59"/>
      <c r="EII2" s="59"/>
      <c r="EIJ2" s="59"/>
      <c r="EIK2" s="59"/>
      <c r="EIL2" s="59"/>
      <c r="EIM2" s="59"/>
      <c r="EIN2" s="59"/>
      <c r="EIO2" s="59"/>
      <c r="EIP2" s="59"/>
      <c r="EIQ2" s="59"/>
      <c r="EIR2" s="59"/>
      <c r="EIS2" s="59"/>
      <c r="EIT2" s="59"/>
      <c r="EIU2" s="59"/>
      <c r="EIV2" s="59"/>
      <c r="EIW2" s="59"/>
      <c r="EIX2" s="59"/>
      <c r="EIY2" s="59"/>
      <c r="EIZ2" s="59"/>
      <c r="EJA2" s="59"/>
      <c r="EJB2" s="59"/>
      <c r="EJC2" s="59"/>
      <c r="EJD2" s="59"/>
      <c r="EJE2" s="59"/>
      <c r="EJF2" s="59"/>
      <c r="EJG2" s="59"/>
      <c r="EJH2" s="59"/>
      <c r="EJI2" s="59"/>
      <c r="EJJ2" s="59"/>
      <c r="EJK2" s="59"/>
      <c r="EJL2" s="59"/>
      <c r="EJM2" s="59"/>
      <c r="EJN2" s="59"/>
      <c r="EJO2" s="59"/>
      <c r="EJP2" s="59"/>
      <c r="EJQ2" s="59"/>
      <c r="EJR2" s="59"/>
      <c r="EJS2" s="59"/>
      <c r="EJT2" s="59"/>
      <c r="EJU2" s="59"/>
      <c r="EJV2" s="59"/>
      <c r="EJW2" s="59"/>
      <c r="EJX2" s="59"/>
      <c r="EJY2" s="59"/>
      <c r="EJZ2" s="59"/>
      <c r="EKA2" s="59"/>
      <c r="EKB2" s="59"/>
      <c r="EKC2" s="59"/>
      <c r="EKD2" s="59"/>
      <c r="EKE2" s="59"/>
      <c r="EKF2" s="59"/>
      <c r="EKG2" s="59"/>
      <c r="EKH2" s="59"/>
      <c r="EKI2" s="59"/>
      <c r="EKJ2" s="59"/>
      <c r="EKK2" s="59"/>
      <c r="EKL2" s="59"/>
      <c r="EKM2" s="59"/>
      <c r="EKN2" s="59"/>
      <c r="EKO2" s="59"/>
      <c r="EKP2" s="59"/>
      <c r="EKQ2" s="59"/>
      <c r="EKR2" s="59"/>
      <c r="EKS2" s="59"/>
      <c r="EKT2" s="59"/>
      <c r="EKU2" s="59"/>
      <c r="EKV2" s="59"/>
      <c r="EKW2" s="59"/>
      <c r="EKX2" s="59"/>
      <c r="EKY2" s="59"/>
      <c r="EKZ2" s="59"/>
      <c r="ELA2" s="59"/>
      <c r="ELB2" s="59"/>
      <c r="ELC2" s="59"/>
      <c r="ELD2" s="59"/>
      <c r="ELE2" s="59"/>
      <c r="ELF2" s="59"/>
      <c r="ELG2" s="59"/>
      <c r="ELH2" s="59"/>
      <c r="ELI2" s="59"/>
      <c r="ELJ2" s="59"/>
      <c r="ELK2" s="59"/>
      <c r="ELL2" s="59"/>
      <c r="ELM2" s="59"/>
      <c r="ELN2" s="59"/>
      <c r="ELO2" s="59"/>
      <c r="ELP2" s="59"/>
      <c r="ELQ2" s="59"/>
      <c r="ELR2" s="59"/>
      <c r="ELS2" s="59"/>
      <c r="ELT2" s="59"/>
      <c r="ELU2" s="59"/>
      <c r="ELV2" s="59"/>
      <c r="ELW2" s="59"/>
      <c r="ELX2" s="59"/>
      <c r="ELY2" s="59"/>
      <c r="ELZ2" s="59"/>
      <c r="EMA2" s="59"/>
      <c r="EMB2" s="59"/>
      <c r="EMC2" s="59"/>
      <c r="EMD2" s="59"/>
      <c r="EME2" s="59"/>
      <c r="EMF2" s="59"/>
      <c r="EMG2" s="59"/>
      <c r="EMH2" s="59"/>
      <c r="EMI2" s="59"/>
      <c r="EMJ2" s="59"/>
      <c r="EMK2" s="59"/>
      <c r="EML2" s="59"/>
      <c r="EMM2" s="59"/>
      <c r="EMN2" s="59"/>
      <c r="EMO2" s="59"/>
      <c r="EMP2" s="59"/>
      <c r="EMQ2" s="59"/>
      <c r="EMR2" s="59"/>
      <c r="EMS2" s="59"/>
      <c r="EMT2" s="59"/>
      <c r="EMU2" s="59"/>
      <c r="EMV2" s="59"/>
      <c r="EMW2" s="59"/>
      <c r="EMX2" s="59"/>
      <c r="EMY2" s="59"/>
      <c r="EMZ2" s="59"/>
      <c r="ENA2" s="59"/>
      <c r="ENB2" s="59"/>
      <c r="ENC2" s="59"/>
      <c r="END2" s="59"/>
      <c r="ENE2" s="59"/>
      <c r="ENF2" s="59"/>
      <c r="ENG2" s="59"/>
      <c r="ENH2" s="59"/>
      <c r="ENI2" s="59"/>
      <c r="ENJ2" s="59"/>
      <c r="ENK2" s="59"/>
      <c r="ENL2" s="59"/>
      <c r="ENM2" s="59"/>
      <c r="ENN2" s="59"/>
      <c r="ENO2" s="59"/>
      <c r="ENP2" s="59"/>
      <c r="ENQ2" s="59"/>
      <c r="ENR2" s="59"/>
      <c r="ENS2" s="59"/>
      <c r="ENT2" s="59"/>
      <c r="ENU2" s="59"/>
      <c r="ENV2" s="59"/>
      <c r="ENW2" s="59"/>
      <c r="ENX2" s="59"/>
      <c r="ENY2" s="59"/>
      <c r="ENZ2" s="59"/>
      <c r="EOA2" s="59"/>
      <c r="EOB2" s="59"/>
      <c r="EOC2" s="59"/>
      <c r="EOD2" s="59"/>
      <c r="EOE2" s="59"/>
      <c r="EOF2" s="59"/>
      <c r="EOG2" s="59"/>
      <c r="EOH2" s="59"/>
      <c r="EOI2" s="59"/>
      <c r="EOJ2" s="59"/>
      <c r="EOK2" s="59"/>
      <c r="EOL2" s="59"/>
      <c r="EOM2" s="59"/>
      <c r="EON2" s="59"/>
      <c r="EOO2" s="59"/>
      <c r="EOP2" s="59"/>
      <c r="EOQ2" s="59"/>
      <c r="EOR2" s="59"/>
      <c r="EOS2" s="59"/>
      <c r="EOT2" s="59"/>
      <c r="EOU2" s="59"/>
      <c r="EOV2" s="59"/>
      <c r="EOW2" s="59"/>
      <c r="EOX2" s="59"/>
      <c r="EOY2" s="59"/>
      <c r="EOZ2" s="59"/>
      <c r="EPA2" s="59"/>
      <c r="EPB2" s="59"/>
      <c r="EPC2" s="59"/>
      <c r="EPD2" s="59"/>
      <c r="EPE2" s="59"/>
      <c r="EPF2" s="59"/>
      <c r="EPG2" s="59"/>
      <c r="EPH2" s="59"/>
      <c r="EPI2" s="59"/>
      <c r="EPJ2" s="59"/>
      <c r="EPK2" s="59"/>
      <c r="EPL2" s="59"/>
      <c r="EPM2" s="59"/>
      <c r="EPN2" s="59"/>
      <c r="EPO2" s="59"/>
      <c r="EPP2" s="59"/>
      <c r="EPQ2" s="59"/>
      <c r="EPR2" s="59"/>
      <c r="EPS2" s="59"/>
      <c r="EPT2" s="59"/>
      <c r="EPU2" s="59"/>
      <c r="EPV2" s="59"/>
      <c r="EPW2" s="59"/>
      <c r="EPX2" s="59"/>
      <c r="EPY2" s="59"/>
      <c r="EPZ2" s="59"/>
      <c r="EQA2" s="59"/>
      <c r="EQB2" s="59"/>
      <c r="EQC2" s="59"/>
      <c r="EQD2" s="59"/>
      <c r="EQE2" s="59"/>
      <c r="EQF2" s="59"/>
      <c r="EQG2" s="59"/>
      <c r="EQH2" s="59"/>
      <c r="EQI2" s="59"/>
      <c r="EQJ2" s="59"/>
      <c r="EQK2" s="59"/>
      <c r="EQL2" s="59"/>
      <c r="EQM2" s="59"/>
      <c r="EQN2" s="59"/>
      <c r="EQO2" s="59"/>
      <c r="EQP2" s="59"/>
      <c r="EQQ2" s="59"/>
      <c r="EQR2" s="59"/>
      <c r="EQS2" s="59"/>
      <c r="EQT2" s="59"/>
      <c r="EQU2" s="59"/>
      <c r="EQV2" s="59"/>
      <c r="EQW2" s="59"/>
      <c r="EQX2" s="59"/>
      <c r="EQY2" s="59"/>
      <c r="EQZ2" s="59"/>
      <c r="ERA2" s="59"/>
      <c r="ERB2" s="59"/>
      <c r="ERC2" s="59"/>
      <c r="ERD2" s="59"/>
      <c r="ERE2" s="59"/>
      <c r="ERF2" s="59"/>
      <c r="ERG2" s="59"/>
      <c r="ERH2" s="59"/>
      <c r="ERI2" s="59"/>
      <c r="ERJ2" s="59"/>
      <c r="ERK2" s="59"/>
      <c r="ERL2" s="59"/>
      <c r="ERM2" s="59"/>
      <c r="ERN2" s="59"/>
      <c r="ERO2" s="59"/>
      <c r="ERP2" s="59"/>
      <c r="ERQ2" s="59"/>
      <c r="ERR2" s="59"/>
      <c r="ERS2" s="59"/>
      <c r="ERT2" s="59"/>
      <c r="ERU2" s="59"/>
      <c r="ERV2" s="59"/>
      <c r="ERW2" s="59"/>
      <c r="ERX2" s="59"/>
      <c r="ERY2" s="59"/>
      <c r="ERZ2" s="59"/>
      <c r="ESA2" s="59"/>
      <c r="ESB2" s="59"/>
      <c r="ESC2" s="59"/>
      <c r="ESD2" s="59"/>
      <c r="ESE2" s="59"/>
      <c r="ESF2" s="59"/>
      <c r="ESG2" s="59"/>
      <c r="ESH2" s="59"/>
      <c r="ESI2" s="59"/>
      <c r="ESJ2" s="59"/>
      <c r="ESK2" s="59"/>
      <c r="ESL2" s="59"/>
      <c r="ESM2" s="59"/>
      <c r="ESN2" s="59"/>
      <c r="ESO2" s="59"/>
      <c r="ESP2" s="59"/>
      <c r="ESQ2" s="59"/>
      <c r="ESR2" s="59"/>
      <c r="ESS2" s="59"/>
      <c r="EST2" s="59"/>
      <c r="ESU2" s="59"/>
      <c r="ESV2" s="59"/>
      <c r="ESW2" s="59"/>
      <c r="ESX2" s="59"/>
      <c r="ESY2" s="59"/>
      <c r="ESZ2" s="59"/>
      <c r="ETA2" s="59"/>
      <c r="ETB2" s="59"/>
      <c r="ETC2" s="59"/>
      <c r="ETD2" s="59"/>
      <c r="ETE2" s="59"/>
      <c r="ETF2" s="59"/>
      <c r="ETG2" s="59"/>
      <c r="ETH2" s="59"/>
      <c r="ETI2" s="59"/>
      <c r="ETJ2" s="59"/>
      <c r="ETK2" s="59"/>
      <c r="ETL2" s="59"/>
      <c r="ETM2" s="59"/>
      <c r="ETN2" s="59"/>
      <c r="ETO2" s="59"/>
      <c r="ETP2" s="59"/>
      <c r="ETQ2" s="59"/>
      <c r="ETR2" s="59"/>
      <c r="ETS2" s="59"/>
      <c r="ETT2" s="59"/>
      <c r="ETU2" s="59"/>
      <c r="ETV2" s="59"/>
      <c r="ETW2" s="59"/>
      <c r="ETX2" s="59"/>
      <c r="ETY2" s="59"/>
      <c r="ETZ2" s="59"/>
      <c r="EUA2" s="59"/>
      <c r="EUB2" s="59"/>
      <c r="EUC2" s="59"/>
      <c r="EUD2" s="59"/>
      <c r="EUE2" s="59"/>
      <c r="EUF2" s="59"/>
      <c r="EUG2" s="59"/>
      <c r="EUH2" s="59"/>
      <c r="EUI2" s="59"/>
      <c r="EUJ2" s="59"/>
      <c r="EUK2" s="59"/>
      <c r="EUL2" s="59"/>
      <c r="EUM2" s="59"/>
      <c r="EUN2" s="59"/>
      <c r="EUO2" s="59"/>
      <c r="EUP2" s="59"/>
      <c r="EUQ2" s="59"/>
      <c r="EUR2" s="59"/>
      <c r="EUS2" s="59"/>
      <c r="EUT2" s="59"/>
      <c r="EUU2" s="59"/>
      <c r="EUV2" s="59"/>
      <c r="EUW2" s="59"/>
      <c r="EUX2" s="59"/>
      <c r="EUY2" s="59"/>
      <c r="EUZ2" s="59"/>
      <c r="EVA2" s="59"/>
      <c r="EVB2" s="59"/>
      <c r="EVC2" s="59"/>
      <c r="EVD2" s="59"/>
      <c r="EVE2" s="59"/>
      <c r="EVF2" s="59"/>
      <c r="EVG2" s="59"/>
      <c r="EVH2" s="59"/>
      <c r="EVI2" s="59"/>
      <c r="EVJ2" s="59"/>
      <c r="EVK2" s="59"/>
      <c r="EVL2" s="59"/>
      <c r="EVM2" s="59"/>
      <c r="EVN2" s="59"/>
      <c r="EVO2" s="59"/>
      <c r="EVP2" s="59"/>
      <c r="EVQ2" s="59"/>
      <c r="EVR2" s="59"/>
      <c r="EVS2" s="59"/>
      <c r="EVT2" s="59"/>
      <c r="EVU2" s="59"/>
      <c r="EVV2" s="59"/>
      <c r="EVW2" s="59"/>
      <c r="EVX2" s="59"/>
      <c r="EVY2" s="59"/>
      <c r="EVZ2" s="59"/>
      <c r="EWA2" s="59"/>
      <c r="EWB2" s="59"/>
      <c r="EWC2" s="59"/>
      <c r="EWD2" s="59"/>
      <c r="EWE2" s="59"/>
      <c r="EWF2" s="59"/>
      <c r="EWG2" s="59"/>
      <c r="EWH2" s="59"/>
      <c r="EWI2" s="59"/>
      <c r="EWJ2" s="59"/>
      <c r="EWK2" s="59"/>
      <c r="EWL2" s="59"/>
      <c r="EWM2" s="59"/>
      <c r="EWN2" s="59"/>
      <c r="EWO2" s="59"/>
      <c r="EWP2" s="59"/>
      <c r="EWQ2" s="59"/>
      <c r="EWR2" s="59"/>
      <c r="EWS2" s="59"/>
      <c r="EWT2" s="59"/>
      <c r="EWU2" s="59"/>
      <c r="EWV2" s="59"/>
      <c r="EWW2" s="59"/>
      <c r="EWX2" s="59"/>
      <c r="EWY2" s="59"/>
      <c r="EWZ2" s="59"/>
      <c r="EXA2" s="59"/>
      <c r="EXB2" s="59"/>
      <c r="EXC2" s="59"/>
      <c r="EXD2" s="59"/>
      <c r="EXE2" s="59"/>
      <c r="EXF2" s="59"/>
      <c r="EXG2" s="59"/>
      <c r="EXH2" s="59"/>
      <c r="EXI2" s="59"/>
      <c r="EXJ2" s="59"/>
      <c r="EXK2" s="59"/>
      <c r="EXL2" s="59"/>
      <c r="EXM2" s="59"/>
      <c r="EXN2" s="59"/>
      <c r="EXO2" s="59"/>
      <c r="EXP2" s="59"/>
      <c r="EXQ2" s="59"/>
      <c r="EXR2" s="59"/>
      <c r="EXS2" s="59"/>
      <c r="EXT2" s="59"/>
      <c r="EXU2" s="59"/>
      <c r="EXV2" s="59"/>
      <c r="EXW2" s="59"/>
      <c r="EXX2" s="59"/>
      <c r="EXY2" s="59"/>
      <c r="EXZ2" s="59"/>
      <c r="EYA2" s="59"/>
      <c r="EYB2" s="59"/>
      <c r="EYC2" s="59"/>
      <c r="EYD2" s="59"/>
      <c r="EYE2" s="59"/>
      <c r="EYF2" s="59"/>
      <c r="EYG2" s="59"/>
      <c r="EYH2" s="59"/>
      <c r="EYI2" s="59"/>
      <c r="EYJ2" s="59"/>
      <c r="EYK2" s="59"/>
      <c r="EYL2" s="59"/>
      <c r="EYM2" s="59"/>
      <c r="EYN2" s="59"/>
      <c r="EYO2" s="59"/>
      <c r="EYP2" s="59"/>
      <c r="EYQ2" s="59"/>
      <c r="EYR2" s="59"/>
      <c r="EYS2" s="59"/>
      <c r="EYT2" s="59"/>
      <c r="EYU2" s="59"/>
      <c r="EYV2" s="59"/>
      <c r="EYW2" s="59"/>
      <c r="EYX2" s="59"/>
      <c r="EYY2" s="59"/>
      <c r="EYZ2" s="59"/>
      <c r="EZA2" s="59"/>
      <c r="EZB2" s="59"/>
      <c r="EZC2" s="59"/>
      <c r="EZD2" s="59"/>
      <c r="EZE2" s="59"/>
      <c r="EZF2" s="59"/>
      <c r="EZG2" s="59"/>
      <c r="EZH2" s="59"/>
      <c r="EZI2" s="59"/>
      <c r="EZJ2" s="59"/>
      <c r="EZK2" s="59"/>
      <c r="EZL2" s="59"/>
      <c r="EZM2" s="59"/>
      <c r="EZN2" s="59"/>
      <c r="EZO2" s="59"/>
      <c r="EZP2" s="59"/>
      <c r="EZQ2" s="59"/>
      <c r="EZR2" s="59"/>
      <c r="EZS2" s="59"/>
      <c r="EZT2" s="59"/>
      <c r="EZU2" s="59"/>
      <c r="EZV2" s="59"/>
      <c r="EZW2" s="59"/>
      <c r="EZX2" s="59"/>
      <c r="EZY2" s="59"/>
      <c r="EZZ2" s="59"/>
      <c r="FAA2" s="59"/>
      <c r="FAB2" s="59"/>
      <c r="FAC2" s="59"/>
      <c r="FAD2" s="59"/>
      <c r="FAE2" s="59"/>
      <c r="FAF2" s="59"/>
      <c r="FAG2" s="59"/>
      <c r="FAH2" s="59"/>
      <c r="FAI2" s="59"/>
      <c r="FAJ2" s="59"/>
      <c r="FAK2" s="59"/>
      <c r="FAL2" s="59"/>
      <c r="FAM2" s="59"/>
      <c r="FAN2" s="59"/>
      <c r="FAO2" s="59"/>
      <c r="FAP2" s="59"/>
      <c r="FAQ2" s="59"/>
      <c r="FAR2" s="59"/>
      <c r="FAS2" s="59"/>
      <c r="FAT2" s="59"/>
      <c r="FAU2" s="59"/>
      <c r="FAV2" s="59"/>
      <c r="FAW2" s="59"/>
      <c r="FAX2" s="59"/>
      <c r="FAY2" s="59"/>
      <c r="FAZ2" s="59"/>
      <c r="FBA2" s="59"/>
      <c r="FBB2" s="59"/>
      <c r="FBC2" s="59"/>
      <c r="FBD2" s="59"/>
      <c r="FBE2" s="59"/>
      <c r="FBF2" s="59"/>
      <c r="FBG2" s="59"/>
      <c r="FBH2" s="59"/>
      <c r="FBI2" s="59"/>
      <c r="FBJ2" s="59"/>
      <c r="FBK2" s="59"/>
      <c r="FBL2" s="59"/>
      <c r="FBM2" s="59"/>
      <c r="FBN2" s="59"/>
      <c r="FBO2" s="59"/>
      <c r="FBP2" s="59"/>
      <c r="FBQ2" s="59"/>
      <c r="FBR2" s="59"/>
      <c r="FBS2" s="59"/>
      <c r="FBT2" s="59"/>
      <c r="FBU2" s="59"/>
      <c r="FBV2" s="59"/>
      <c r="FBW2" s="59"/>
      <c r="FBX2" s="59"/>
      <c r="FBY2" s="59"/>
      <c r="FBZ2" s="59"/>
      <c r="FCA2" s="59"/>
      <c r="FCB2" s="59"/>
      <c r="FCC2" s="59"/>
      <c r="FCD2" s="59"/>
      <c r="FCE2" s="59"/>
      <c r="FCF2" s="59"/>
      <c r="FCG2" s="59"/>
      <c r="FCH2" s="59"/>
      <c r="FCI2" s="59"/>
      <c r="FCJ2" s="59"/>
      <c r="FCK2" s="59"/>
      <c r="FCL2" s="59"/>
      <c r="FCM2" s="59"/>
      <c r="FCN2" s="59"/>
      <c r="FCO2" s="59"/>
      <c r="FCP2" s="59"/>
      <c r="FCQ2" s="59"/>
      <c r="FCR2" s="59"/>
      <c r="FCS2" s="59"/>
      <c r="FCT2" s="59"/>
      <c r="FCU2" s="59"/>
      <c r="FCV2" s="59"/>
      <c r="FCW2" s="59"/>
      <c r="FCX2" s="59"/>
      <c r="FCY2" s="59"/>
      <c r="FCZ2" s="59"/>
      <c r="FDA2" s="59"/>
      <c r="FDB2" s="59"/>
      <c r="FDC2" s="59"/>
      <c r="FDD2" s="59"/>
      <c r="FDE2" s="59"/>
      <c r="FDF2" s="59"/>
      <c r="FDG2" s="59"/>
      <c r="FDH2" s="59"/>
      <c r="FDI2" s="59"/>
      <c r="FDJ2" s="59"/>
      <c r="FDK2" s="59"/>
      <c r="FDL2" s="59"/>
      <c r="FDM2" s="59"/>
      <c r="FDN2" s="59"/>
      <c r="FDO2" s="59"/>
      <c r="FDP2" s="59"/>
      <c r="FDQ2" s="59"/>
      <c r="FDR2" s="59"/>
      <c r="FDS2" s="59"/>
      <c r="FDT2" s="59"/>
      <c r="FDU2" s="59"/>
      <c r="FDV2" s="59"/>
      <c r="FDW2" s="59"/>
      <c r="FDX2" s="59"/>
      <c r="FDY2" s="59"/>
      <c r="FDZ2" s="59"/>
      <c r="FEA2" s="59"/>
      <c r="FEB2" s="59"/>
      <c r="FEC2" s="59"/>
      <c r="FED2" s="59"/>
      <c r="FEE2" s="59"/>
      <c r="FEF2" s="59"/>
      <c r="FEG2" s="59"/>
      <c r="FEH2" s="59"/>
      <c r="FEI2" s="59"/>
      <c r="FEJ2" s="59"/>
      <c r="FEK2" s="59"/>
      <c r="FEL2" s="59"/>
      <c r="FEM2" s="59"/>
      <c r="FEN2" s="59"/>
      <c r="FEO2" s="59"/>
      <c r="FEP2" s="59"/>
      <c r="FEQ2" s="59"/>
      <c r="FER2" s="59"/>
      <c r="FES2" s="59"/>
      <c r="FET2" s="59"/>
      <c r="FEU2" s="59"/>
      <c r="FEV2" s="59"/>
      <c r="FEW2" s="59"/>
      <c r="FEX2" s="59"/>
      <c r="FEY2" s="59"/>
      <c r="FEZ2" s="59"/>
      <c r="FFA2" s="59"/>
      <c r="FFB2" s="59"/>
      <c r="FFC2" s="59"/>
      <c r="FFD2" s="59"/>
      <c r="FFE2" s="59"/>
      <c r="FFF2" s="59"/>
      <c r="FFG2" s="59"/>
      <c r="FFH2" s="59"/>
      <c r="FFI2" s="59"/>
      <c r="FFJ2" s="59"/>
      <c r="FFK2" s="59"/>
      <c r="FFL2" s="59"/>
      <c r="FFM2" s="59"/>
      <c r="FFN2" s="59"/>
      <c r="FFO2" s="59"/>
      <c r="FFP2" s="59"/>
      <c r="FFQ2" s="59"/>
      <c r="FFR2" s="59"/>
      <c r="FFS2" s="59"/>
      <c r="FFT2" s="59"/>
      <c r="FFU2" s="59"/>
      <c r="FFV2" s="59"/>
      <c r="FFW2" s="59"/>
      <c r="FFX2" s="59"/>
      <c r="FFY2" s="59"/>
      <c r="FFZ2" s="59"/>
      <c r="FGA2" s="59"/>
      <c r="FGB2" s="59"/>
      <c r="FGC2" s="59"/>
      <c r="FGD2" s="59"/>
      <c r="FGE2" s="59"/>
      <c r="FGF2" s="59"/>
      <c r="FGG2" s="59"/>
      <c r="FGH2" s="59"/>
      <c r="FGI2" s="59"/>
      <c r="FGJ2" s="59"/>
      <c r="FGK2" s="59"/>
      <c r="FGL2" s="59"/>
      <c r="FGM2" s="59"/>
      <c r="FGN2" s="59"/>
      <c r="FGO2" s="59"/>
      <c r="FGP2" s="59"/>
      <c r="FGQ2" s="59"/>
      <c r="FGR2" s="59"/>
      <c r="FGS2" s="59"/>
      <c r="FGT2" s="59"/>
      <c r="FGU2" s="59"/>
      <c r="FGV2" s="59"/>
      <c r="FGW2" s="59"/>
      <c r="FGX2" s="59"/>
      <c r="FGY2" s="59"/>
      <c r="FGZ2" s="59"/>
      <c r="FHA2" s="59"/>
      <c r="FHB2" s="59"/>
      <c r="FHC2" s="59"/>
      <c r="FHD2" s="59"/>
      <c r="FHE2" s="59"/>
      <c r="FHF2" s="59"/>
      <c r="FHG2" s="59"/>
      <c r="FHH2" s="59"/>
      <c r="FHI2" s="59"/>
      <c r="FHJ2" s="59"/>
      <c r="FHK2" s="59"/>
      <c r="FHL2" s="59"/>
      <c r="FHM2" s="59"/>
      <c r="FHN2" s="59"/>
      <c r="FHO2" s="59"/>
      <c r="FHP2" s="59"/>
      <c r="FHQ2" s="59"/>
      <c r="FHR2" s="59"/>
      <c r="FHS2" s="59"/>
      <c r="FHT2" s="59"/>
      <c r="FHU2" s="59"/>
      <c r="FHV2" s="59"/>
      <c r="FHW2" s="59"/>
      <c r="FHX2" s="59"/>
      <c r="FHY2" s="59"/>
      <c r="FHZ2" s="59"/>
      <c r="FIA2" s="59"/>
      <c r="FIB2" s="59"/>
      <c r="FIC2" s="59"/>
      <c r="FID2" s="59"/>
      <c r="FIE2" s="59"/>
      <c r="FIF2" s="59"/>
      <c r="FIG2" s="59"/>
      <c r="FIH2" s="59"/>
      <c r="FII2" s="59"/>
      <c r="FIJ2" s="59"/>
      <c r="FIK2" s="59"/>
      <c r="FIL2" s="59"/>
      <c r="FIM2" s="59"/>
      <c r="FIN2" s="59"/>
      <c r="FIO2" s="59"/>
      <c r="FIP2" s="59"/>
      <c r="FIQ2" s="59"/>
      <c r="FIR2" s="59"/>
      <c r="FIS2" s="59"/>
      <c r="FIT2" s="59"/>
      <c r="FIU2" s="59"/>
      <c r="FIV2" s="59"/>
      <c r="FIW2" s="59"/>
      <c r="FIX2" s="59"/>
      <c r="FIY2" s="59"/>
      <c r="FIZ2" s="59"/>
      <c r="FJA2" s="59"/>
      <c r="FJB2" s="59"/>
      <c r="FJC2" s="59"/>
      <c r="FJD2" s="59"/>
      <c r="FJE2" s="59"/>
      <c r="FJF2" s="59"/>
      <c r="FJG2" s="59"/>
      <c r="FJH2" s="59"/>
      <c r="FJI2" s="59"/>
      <c r="FJJ2" s="59"/>
      <c r="FJK2" s="59"/>
      <c r="FJL2" s="59"/>
      <c r="FJM2" s="59"/>
      <c r="FJN2" s="59"/>
      <c r="FJO2" s="59"/>
      <c r="FJP2" s="59"/>
      <c r="FJQ2" s="59"/>
      <c r="FJR2" s="59"/>
      <c r="FJS2" s="59"/>
      <c r="FJT2" s="59"/>
      <c r="FJU2" s="59"/>
      <c r="FJV2" s="59"/>
      <c r="FJW2" s="59"/>
      <c r="FJX2" s="59"/>
      <c r="FJY2" s="59"/>
      <c r="FJZ2" s="59"/>
      <c r="FKA2" s="59"/>
      <c r="FKB2" s="59"/>
      <c r="FKC2" s="59"/>
      <c r="FKD2" s="59"/>
      <c r="FKE2" s="59"/>
      <c r="FKF2" s="59"/>
      <c r="FKG2" s="59"/>
      <c r="FKH2" s="59"/>
      <c r="FKI2" s="59"/>
      <c r="FKJ2" s="59"/>
      <c r="FKK2" s="59"/>
      <c r="FKL2" s="59"/>
      <c r="FKM2" s="59"/>
      <c r="FKN2" s="59"/>
      <c r="FKO2" s="59"/>
      <c r="FKP2" s="59"/>
      <c r="FKQ2" s="59"/>
      <c r="FKR2" s="59"/>
      <c r="FKS2" s="59"/>
      <c r="FKT2" s="59"/>
      <c r="FKU2" s="59"/>
      <c r="FKV2" s="59"/>
      <c r="FKW2" s="59"/>
      <c r="FKX2" s="59"/>
      <c r="FKY2" s="59"/>
      <c r="FKZ2" s="59"/>
      <c r="FLA2" s="59"/>
      <c r="FLB2" s="59"/>
      <c r="FLC2" s="59"/>
      <c r="FLD2" s="59"/>
      <c r="FLE2" s="59"/>
      <c r="FLF2" s="59"/>
      <c r="FLG2" s="59"/>
      <c r="FLH2" s="59"/>
      <c r="FLI2" s="59"/>
      <c r="FLJ2" s="59"/>
      <c r="FLK2" s="59"/>
      <c r="FLL2" s="59"/>
      <c r="FLM2" s="59"/>
      <c r="FLN2" s="59"/>
      <c r="FLO2" s="59"/>
      <c r="FLP2" s="59"/>
      <c r="FLQ2" s="59"/>
      <c r="FLR2" s="59"/>
      <c r="FLS2" s="59"/>
      <c r="FLT2" s="59"/>
      <c r="FLU2" s="59"/>
      <c r="FLV2" s="59"/>
      <c r="FLW2" s="59"/>
      <c r="FLX2" s="59"/>
      <c r="FLY2" s="59"/>
      <c r="FLZ2" s="59"/>
      <c r="FMA2" s="59"/>
      <c r="FMB2" s="59"/>
      <c r="FMC2" s="59"/>
      <c r="FMD2" s="59"/>
      <c r="FME2" s="59"/>
      <c r="FMF2" s="59"/>
      <c r="FMG2" s="59"/>
      <c r="FMH2" s="59"/>
      <c r="FMI2" s="59"/>
      <c r="FMJ2" s="59"/>
      <c r="FMK2" s="59"/>
      <c r="FML2" s="59"/>
      <c r="FMM2" s="59"/>
      <c r="FMN2" s="59"/>
      <c r="FMO2" s="59"/>
      <c r="FMP2" s="59"/>
      <c r="FMQ2" s="59"/>
      <c r="FMR2" s="59"/>
      <c r="FMS2" s="59"/>
      <c r="FMT2" s="59"/>
      <c r="FMU2" s="59"/>
      <c r="FMV2" s="59"/>
      <c r="FMW2" s="59"/>
      <c r="FMX2" s="59"/>
      <c r="FMY2" s="59"/>
      <c r="FMZ2" s="59"/>
      <c r="FNA2" s="59"/>
      <c r="FNB2" s="59"/>
      <c r="FNC2" s="59"/>
      <c r="FND2" s="59"/>
      <c r="FNE2" s="59"/>
      <c r="FNF2" s="59"/>
      <c r="FNG2" s="59"/>
      <c r="FNH2" s="59"/>
      <c r="FNI2" s="59"/>
      <c r="FNJ2" s="59"/>
      <c r="FNK2" s="59"/>
      <c r="FNL2" s="59"/>
      <c r="FNM2" s="59"/>
      <c r="FNN2" s="59"/>
      <c r="FNO2" s="59"/>
      <c r="FNP2" s="59"/>
      <c r="FNQ2" s="59"/>
      <c r="FNR2" s="59"/>
      <c r="FNS2" s="59"/>
      <c r="FNT2" s="59"/>
      <c r="FNU2" s="59"/>
      <c r="FNV2" s="59"/>
      <c r="FNW2" s="59"/>
      <c r="FNX2" s="59"/>
      <c r="FNY2" s="59"/>
      <c r="FNZ2" s="59"/>
      <c r="FOA2" s="59"/>
      <c r="FOB2" s="59"/>
      <c r="FOC2" s="59"/>
      <c r="FOD2" s="59"/>
      <c r="FOE2" s="59"/>
      <c r="FOF2" s="59"/>
      <c r="FOG2" s="59"/>
      <c r="FOH2" s="59"/>
      <c r="FOI2" s="59"/>
      <c r="FOJ2" s="59"/>
      <c r="FOK2" s="59"/>
      <c r="FOL2" s="59"/>
      <c r="FOM2" s="59"/>
      <c r="FON2" s="59"/>
      <c r="FOO2" s="59"/>
      <c r="FOP2" s="59"/>
      <c r="FOQ2" s="59"/>
      <c r="FOR2" s="59"/>
      <c r="FOS2" s="59"/>
      <c r="FOT2" s="59"/>
      <c r="FOU2" s="59"/>
      <c r="FOV2" s="59"/>
      <c r="FOW2" s="59"/>
      <c r="FOX2" s="59"/>
      <c r="FOY2" s="59"/>
      <c r="FOZ2" s="59"/>
      <c r="FPA2" s="59"/>
      <c r="FPB2" s="59"/>
      <c r="FPC2" s="59"/>
      <c r="FPD2" s="59"/>
      <c r="FPE2" s="59"/>
      <c r="FPF2" s="59"/>
      <c r="FPG2" s="59"/>
      <c r="FPH2" s="59"/>
      <c r="FPI2" s="59"/>
      <c r="FPJ2" s="59"/>
      <c r="FPK2" s="59"/>
      <c r="FPL2" s="59"/>
      <c r="FPM2" s="59"/>
      <c r="FPN2" s="59"/>
      <c r="FPO2" s="59"/>
      <c r="FPP2" s="59"/>
      <c r="FPQ2" s="59"/>
      <c r="FPR2" s="59"/>
      <c r="FPS2" s="59"/>
      <c r="FPT2" s="59"/>
      <c r="FPU2" s="59"/>
      <c r="FPV2" s="59"/>
      <c r="FPW2" s="59"/>
      <c r="FPX2" s="59"/>
      <c r="FPY2" s="59"/>
      <c r="FPZ2" s="59"/>
      <c r="FQA2" s="59"/>
      <c r="FQB2" s="59"/>
      <c r="FQC2" s="59"/>
      <c r="FQD2" s="59"/>
      <c r="FQE2" s="59"/>
      <c r="FQF2" s="59"/>
      <c r="FQG2" s="59"/>
      <c r="FQH2" s="59"/>
      <c r="FQI2" s="59"/>
      <c r="FQJ2" s="59"/>
      <c r="FQK2" s="59"/>
      <c r="FQL2" s="59"/>
      <c r="FQM2" s="59"/>
      <c r="FQN2" s="59"/>
      <c r="FQO2" s="59"/>
      <c r="FQP2" s="59"/>
      <c r="FQQ2" s="59"/>
      <c r="FQR2" s="59"/>
      <c r="FQS2" s="59"/>
      <c r="FQT2" s="59"/>
      <c r="FQU2" s="59"/>
      <c r="FQV2" s="59"/>
      <c r="FQW2" s="59"/>
      <c r="FQX2" s="59"/>
      <c r="FQY2" s="59"/>
      <c r="FQZ2" s="59"/>
      <c r="FRA2" s="59"/>
      <c r="FRB2" s="59"/>
      <c r="FRC2" s="59"/>
      <c r="FRD2" s="59"/>
      <c r="FRE2" s="59"/>
      <c r="FRF2" s="59"/>
      <c r="FRG2" s="59"/>
      <c r="FRH2" s="59"/>
      <c r="FRI2" s="59"/>
      <c r="FRJ2" s="59"/>
      <c r="FRK2" s="59"/>
      <c r="FRL2" s="59"/>
      <c r="FRM2" s="59"/>
      <c r="FRN2" s="59"/>
      <c r="FRO2" s="59"/>
      <c r="FRP2" s="59"/>
      <c r="FRQ2" s="59"/>
      <c r="FRR2" s="59"/>
      <c r="FRS2" s="59"/>
      <c r="FRT2" s="59"/>
      <c r="FRU2" s="59"/>
      <c r="FRV2" s="59"/>
      <c r="FRW2" s="59"/>
      <c r="FRX2" s="59"/>
      <c r="FRY2" s="59"/>
      <c r="FRZ2" s="59"/>
      <c r="FSA2" s="59"/>
      <c r="FSB2" s="59"/>
      <c r="FSC2" s="59"/>
      <c r="FSD2" s="59"/>
      <c r="FSE2" s="59"/>
      <c r="FSF2" s="59"/>
      <c r="FSG2" s="59"/>
      <c r="FSH2" s="59"/>
      <c r="FSI2" s="59"/>
      <c r="FSJ2" s="59"/>
      <c r="FSK2" s="59"/>
      <c r="FSL2" s="59"/>
      <c r="FSM2" s="59"/>
      <c r="FSN2" s="59"/>
      <c r="FSO2" s="59"/>
      <c r="FSP2" s="59"/>
      <c r="FSQ2" s="59"/>
      <c r="FSR2" s="59"/>
      <c r="FSS2" s="59"/>
      <c r="FST2" s="59"/>
      <c r="FSU2" s="59"/>
      <c r="FSV2" s="59"/>
      <c r="FSW2" s="59"/>
      <c r="FSX2" s="59"/>
      <c r="FSY2" s="59"/>
      <c r="FSZ2" s="59"/>
      <c r="FTA2" s="59"/>
      <c r="FTB2" s="59"/>
      <c r="FTC2" s="59"/>
      <c r="FTD2" s="59"/>
      <c r="FTE2" s="59"/>
      <c r="FTF2" s="59"/>
      <c r="FTG2" s="59"/>
      <c r="FTH2" s="59"/>
      <c r="FTI2" s="59"/>
      <c r="FTJ2" s="59"/>
      <c r="FTK2" s="59"/>
      <c r="FTL2" s="59"/>
      <c r="FTM2" s="59"/>
      <c r="FTN2" s="59"/>
      <c r="FTO2" s="59"/>
      <c r="FTP2" s="59"/>
      <c r="FTQ2" s="59"/>
      <c r="FTR2" s="59"/>
      <c r="FTS2" s="59"/>
      <c r="FTT2" s="59"/>
      <c r="FTU2" s="59"/>
      <c r="FTV2" s="59"/>
      <c r="FTW2" s="59"/>
      <c r="FTX2" s="59"/>
      <c r="FTY2" s="59"/>
      <c r="FTZ2" s="59"/>
      <c r="FUA2" s="59"/>
      <c r="FUB2" s="59"/>
      <c r="FUC2" s="59"/>
      <c r="FUD2" s="59"/>
      <c r="FUE2" s="59"/>
      <c r="FUF2" s="59"/>
      <c r="FUG2" s="59"/>
      <c r="FUH2" s="59"/>
      <c r="FUI2" s="59"/>
      <c r="FUJ2" s="59"/>
      <c r="FUK2" s="59"/>
      <c r="FUL2" s="59"/>
      <c r="FUM2" s="59"/>
      <c r="FUN2" s="59"/>
      <c r="FUO2" s="59"/>
      <c r="FUP2" s="59"/>
      <c r="FUQ2" s="59"/>
      <c r="FUR2" s="59"/>
      <c r="FUS2" s="59"/>
      <c r="FUT2" s="59"/>
      <c r="FUU2" s="59"/>
      <c r="FUV2" s="59"/>
      <c r="FUW2" s="59"/>
      <c r="FUX2" s="59"/>
      <c r="FUY2" s="59"/>
      <c r="FUZ2" s="59"/>
      <c r="FVA2" s="59"/>
      <c r="FVB2" s="59"/>
      <c r="FVC2" s="59"/>
      <c r="FVD2" s="59"/>
      <c r="FVE2" s="59"/>
      <c r="FVF2" s="59"/>
      <c r="FVG2" s="59"/>
      <c r="FVH2" s="59"/>
      <c r="FVI2" s="59"/>
      <c r="FVJ2" s="59"/>
      <c r="FVK2" s="59"/>
      <c r="FVL2" s="59"/>
      <c r="FVM2" s="59"/>
      <c r="FVN2" s="59"/>
      <c r="FVO2" s="59"/>
      <c r="FVP2" s="59"/>
      <c r="FVQ2" s="59"/>
      <c r="FVR2" s="59"/>
      <c r="FVS2" s="59"/>
      <c r="FVT2" s="59"/>
      <c r="FVU2" s="59"/>
      <c r="FVV2" s="59"/>
      <c r="FVW2" s="59"/>
      <c r="FVX2" s="59"/>
      <c r="FVY2" s="59"/>
      <c r="FVZ2" s="59"/>
      <c r="FWA2" s="59"/>
      <c r="FWB2" s="59"/>
      <c r="FWC2" s="59"/>
      <c r="FWD2" s="59"/>
      <c r="FWE2" s="59"/>
      <c r="FWF2" s="59"/>
      <c r="FWG2" s="59"/>
      <c r="FWH2" s="59"/>
      <c r="FWI2" s="59"/>
      <c r="FWJ2" s="59"/>
      <c r="FWK2" s="59"/>
      <c r="FWL2" s="59"/>
      <c r="FWM2" s="59"/>
      <c r="FWN2" s="59"/>
      <c r="FWO2" s="59"/>
      <c r="FWP2" s="59"/>
      <c r="FWQ2" s="59"/>
      <c r="FWR2" s="59"/>
      <c r="FWS2" s="59"/>
      <c r="FWT2" s="59"/>
      <c r="FWU2" s="59"/>
      <c r="FWV2" s="59"/>
      <c r="FWW2" s="59"/>
      <c r="FWX2" s="59"/>
      <c r="FWY2" s="59"/>
      <c r="FWZ2" s="59"/>
      <c r="FXA2" s="59"/>
      <c r="FXB2" s="59"/>
      <c r="FXC2" s="59"/>
      <c r="FXD2" s="59"/>
      <c r="FXE2" s="59"/>
      <c r="FXF2" s="59"/>
      <c r="FXG2" s="59"/>
      <c r="FXH2" s="59"/>
      <c r="FXI2" s="59"/>
      <c r="FXJ2" s="59"/>
      <c r="FXK2" s="59"/>
      <c r="FXL2" s="59"/>
      <c r="FXM2" s="59"/>
      <c r="FXN2" s="59"/>
      <c r="FXO2" s="59"/>
      <c r="FXP2" s="59"/>
      <c r="FXQ2" s="59"/>
      <c r="FXR2" s="59"/>
      <c r="FXS2" s="59"/>
      <c r="FXT2" s="59"/>
      <c r="FXU2" s="59"/>
      <c r="FXV2" s="59"/>
      <c r="FXW2" s="59"/>
      <c r="FXX2" s="59"/>
      <c r="FXY2" s="59"/>
      <c r="FXZ2" s="59"/>
      <c r="FYA2" s="59"/>
      <c r="FYB2" s="59"/>
      <c r="FYC2" s="59"/>
      <c r="FYD2" s="59"/>
      <c r="FYE2" s="59"/>
      <c r="FYF2" s="59"/>
      <c r="FYG2" s="59"/>
      <c r="FYH2" s="59"/>
      <c r="FYI2" s="59"/>
      <c r="FYJ2" s="59"/>
      <c r="FYK2" s="59"/>
      <c r="FYL2" s="59"/>
      <c r="FYM2" s="59"/>
      <c r="FYN2" s="59"/>
      <c r="FYO2" s="59"/>
      <c r="FYP2" s="59"/>
      <c r="FYQ2" s="59"/>
      <c r="FYR2" s="59"/>
      <c r="FYS2" s="59"/>
      <c r="FYT2" s="59"/>
      <c r="FYU2" s="59"/>
      <c r="FYV2" s="59"/>
      <c r="FYW2" s="59"/>
      <c r="FYX2" s="59"/>
      <c r="FYY2" s="59"/>
      <c r="FYZ2" s="59"/>
      <c r="FZA2" s="59"/>
      <c r="FZB2" s="59"/>
      <c r="FZC2" s="59"/>
      <c r="FZD2" s="59"/>
      <c r="FZE2" s="59"/>
      <c r="FZF2" s="59"/>
      <c r="FZG2" s="59"/>
      <c r="FZH2" s="59"/>
      <c r="FZI2" s="59"/>
      <c r="FZJ2" s="59"/>
      <c r="FZK2" s="59"/>
      <c r="FZL2" s="59"/>
      <c r="FZM2" s="59"/>
      <c r="FZN2" s="59"/>
      <c r="FZO2" s="59"/>
      <c r="FZP2" s="59"/>
      <c r="FZQ2" s="59"/>
      <c r="FZR2" s="59"/>
      <c r="FZS2" s="59"/>
      <c r="FZT2" s="59"/>
      <c r="FZU2" s="59"/>
      <c r="FZV2" s="59"/>
      <c r="FZW2" s="59"/>
      <c r="FZX2" s="59"/>
      <c r="FZY2" s="59"/>
      <c r="FZZ2" s="59"/>
      <c r="GAA2" s="59"/>
      <c r="GAB2" s="59"/>
      <c r="GAC2" s="59"/>
      <c r="GAD2" s="59"/>
      <c r="GAE2" s="59"/>
      <c r="GAF2" s="59"/>
      <c r="GAG2" s="59"/>
      <c r="GAH2" s="59"/>
      <c r="GAI2" s="59"/>
      <c r="GAJ2" s="59"/>
      <c r="GAK2" s="59"/>
      <c r="GAL2" s="59"/>
      <c r="GAM2" s="59"/>
      <c r="GAN2" s="59"/>
      <c r="GAO2" s="59"/>
      <c r="GAP2" s="59"/>
      <c r="GAQ2" s="59"/>
      <c r="GAR2" s="59"/>
      <c r="GAS2" s="59"/>
      <c r="GAT2" s="59"/>
      <c r="GAU2" s="59"/>
      <c r="GAV2" s="59"/>
      <c r="GAW2" s="59"/>
      <c r="GAX2" s="59"/>
      <c r="GAY2" s="59"/>
      <c r="GAZ2" s="59"/>
      <c r="GBA2" s="59"/>
      <c r="GBB2" s="59"/>
      <c r="GBC2" s="59"/>
      <c r="GBD2" s="59"/>
      <c r="GBE2" s="59"/>
      <c r="GBF2" s="59"/>
      <c r="GBG2" s="59"/>
      <c r="GBH2" s="59"/>
      <c r="GBI2" s="59"/>
      <c r="GBJ2" s="59"/>
      <c r="GBK2" s="59"/>
      <c r="GBL2" s="59"/>
      <c r="GBM2" s="59"/>
      <c r="GBN2" s="59"/>
      <c r="GBO2" s="59"/>
      <c r="GBP2" s="59"/>
      <c r="GBQ2" s="59"/>
      <c r="GBR2" s="59"/>
      <c r="GBS2" s="59"/>
      <c r="GBT2" s="59"/>
      <c r="GBU2" s="59"/>
      <c r="GBV2" s="59"/>
      <c r="GBW2" s="59"/>
      <c r="GBX2" s="59"/>
      <c r="GBY2" s="59"/>
      <c r="GBZ2" s="59"/>
      <c r="GCA2" s="59"/>
      <c r="GCB2" s="59"/>
      <c r="GCC2" s="59"/>
      <c r="GCD2" s="59"/>
      <c r="GCE2" s="59"/>
      <c r="GCF2" s="59"/>
      <c r="GCG2" s="59"/>
      <c r="GCH2" s="59"/>
      <c r="GCI2" s="59"/>
      <c r="GCJ2" s="59"/>
      <c r="GCK2" s="59"/>
      <c r="GCL2" s="59"/>
      <c r="GCM2" s="59"/>
      <c r="GCN2" s="59"/>
      <c r="GCO2" s="59"/>
      <c r="GCP2" s="59"/>
      <c r="GCQ2" s="59"/>
      <c r="GCR2" s="59"/>
      <c r="GCS2" s="59"/>
      <c r="GCT2" s="59"/>
      <c r="GCU2" s="59"/>
      <c r="GCV2" s="59"/>
      <c r="GCW2" s="59"/>
      <c r="GCX2" s="59"/>
      <c r="GCY2" s="59"/>
      <c r="GCZ2" s="59"/>
      <c r="GDA2" s="59"/>
      <c r="GDB2" s="59"/>
      <c r="GDC2" s="59"/>
      <c r="GDD2" s="59"/>
      <c r="GDE2" s="59"/>
      <c r="GDF2" s="59"/>
      <c r="GDG2" s="59"/>
      <c r="GDH2" s="59"/>
      <c r="GDI2" s="59"/>
      <c r="GDJ2" s="59"/>
      <c r="GDK2" s="59"/>
      <c r="GDL2" s="59"/>
      <c r="GDM2" s="59"/>
      <c r="GDN2" s="59"/>
      <c r="GDO2" s="59"/>
      <c r="GDP2" s="59"/>
      <c r="GDQ2" s="59"/>
      <c r="GDR2" s="59"/>
      <c r="GDS2" s="59"/>
      <c r="GDT2" s="59"/>
      <c r="GDU2" s="59"/>
      <c r="GDV2" s="59"/>
      <c r="GDW2" s="59"/>
      <c r="GDX2" s="59"/>
      <c r="GDY2" s="59"/>
      <c r="GDZ2" s="59"/>
      <c r="GEA2" s="59"/>
      <c r="GEB2" s="59"/>
      <c r="GEC2" s="59"/>
      <c r="GED2" s="59"/>
      <c r="GEE2" s="59"/>
      <c r="GEF2" s="59"/>
      <c r="GEG2" s="59"/>
      <c r="GEH2" s="59"/>
      <c r="GEI2" s="59"/>
      <c r="GEJ2" s="59"/>
      <c r="GEK2" s="59"/>
      <c r="GEL2" s="59"/>
      <c r="GEM2" s="59"/>
      <c r="GEN2" s="59"/>
      <c r="GEO2" s="59"/>
      <c r="GEP2" s="59"/>
      <c r="GEQ2" s="59"/>
      <c r="GER2" s="59"/>
      <c r="GES2" s="59"/>
      <c r="GET2" s="59"/>
      <c r="GEU2" s="59"/>
      <c r="GEV2" s="59"/>
      <c r="GEW2" s="59"/>
      <c r="GEX2" s="59"/>
      <c r="GEY2" s="59"/>
      <c r="GEZ2" s="59"/>
      <c r="GFA2" s="59"/>
      <c r="GFB2" s="59"/>
      <c r="GFC2" s="59"/>
      <c r="GFD2" s="59"/>
      <c r="GFE2" s="59"/>
      <c r="GFF2" s="59"/>
      <c r="GFG2" s="59"/>
      <c r="GFH2" s="59"/>
      <c r="GFI2" s="59"/>
      <c r="GFJ2" s="59"/>
      <c r="GFK2" s="59"/>
      <c r="GFL2" s="59"/>
      <c r="GFM2" s="59"/>
      <c r="GFN2" s="59"/>
      <c r="GFO2" s="59"/>
      <c r="GFP2" s="59"/>
      <c r="GFQ2" s="59"/>
      <c r="GFR2" s="59"/>
      <c r="GFS2" s="59"/>
      <c r="GFT2" s="59"/>
      <c r="GFU2" s="59"/>
      <c r="GFV2" s="59"/>
      <c r="GFW2" s="59"/>
      <c r="GFX2" s="59"/>
      <c r="GFY2" s="59"/>
      <c r="GFZ2" s="59"/>
      <c r="GGA2" s="59"/>
      <c r="GGB2" s="59"/>
      <c r="GGC2" s="59"/>
      <c r="GGD2" s="59"/>
      <c r="GGE2" s="59"/>
      <c r="GGF2" s="59"/>
      <c r="GGG2" s="59"/>
      <c r="GGH2" s="59"/>
      <c r="GGI2" s="59"/>
      <c r="GGJ2" s="59"/>
      <c r="GGK2" s="59"/>
      <c r="GGL2" s="59"/>
      <c r="GGM2" s="59"/>
      <c r="GGN2" s="59"/>
      <c r="GGO2" s="59"/>
      <c r="GGP2" s="59"/>
      <c r="GGQ2" s="59"/>
      <c r="GGR2" s="59"/>
      <c r="GGS2" s="59"/>
      <c r="GGT2" s="59"/>
      <c r="GGU2" s="59"/>
      <c r="GGV2" s="59"/>
      <c r="GGW2" s="59"/>
      <c r="GGX2" s="59"/>
      <c r="GGY2" s="59"/>
      <c r="GGZ2" s="59"/>
      <c r="GHA2" s="59"/>
      <c r="GHB2" s="59"/>
      <c r="GHC2" s="59"/>
      <c r="GHD2" s="59"/>
      <c r="GHE2" s="59"/>
      <c r="GHF2" s="59"/>
      <c r="GHG2" s="59"/>
      <c r="GHH2" s="59"/>
      <c r="GHI2" s="59"/>
      <c r="GHJ2" s="59"/>
      <c r="GHK2" s="59"/>
      <c r="GHL2" s="59"/>
      <c r="GHM2" s="59"/>
      <c r="GHN2" s="59"/>
      <c r="GHO2" s="59"/>
      <c r="GHP2" s="59"/>
      <c r="GHQ2" s="59"/>
      <c r="GHR2" s="59"/>
      <c r="GHS2" s="59"/>
      <c r="GHT2" s="59"/>
      <c r="GHU2" s="59"/>
      <c r="GHV2" s="59"/>
      <c r="GHW2" s="59"/>
      <c r="GHX2" s="59"/>
      <c r="GHY2" s="59"/>
      <c r="GHZ2" s="59"/>
      <c r="GIA2" s="59"/>
      <c r="GIB2" s="59"/>
      <c r="GIC2" s="59"/>
      <c r="GID2" s="59"/>
      <c r="GIE2" s="59"/>
      <c r="GIF2" s="59"/>
      <c r="GIG2" s="59"/>
      <c r="GIH2" s="59"/>
      <c r="GII2" s="59"/>
      <c r="GIJ2" s="59"/>
      <c r="GIK2" s="59"/>
      <c r="GIL2" s="59"/>
      <c r="GIM2" s="59"/>
      <c r="GIN2" s="59"/>
      <c r="GIO2" s="59"/>
      <c r="GIP2" s="59"/>
      <c r="GIQ2" s="59"/>
      <c r="GIR2" s="59"/>
      <c r="GIS2" s="59"/>
      <c r="GIT2" s="59"/>
      <c r="GIU2" s="59"/>
      <c r="GIV2" s="59"/>
      <c r="GIW2" s="59"/>
      <c r="GIX2" s="59"/>
      <c r="GIY2" s="59"/>
      <c r="GIZ2" s="59"/>
      <c r="GJA2" s="59"/>
      <c r="GJB2" s="59"/>
      <c r="GJC2" s="59"/>
      <c r="GJD2" s="59"/>
      <c r="GJE2" s="59"/>
      <c r="GJF2" s="59"/>
      <c r="GJG2" s="59"/>
      <c r="GJH2" s="59"/>
      <c r="GJI2" s="59"/>
      <c r="GJJ2" s="59"/>
      <c r="GJK2" s="59"/>
      <c r="GJL2" s="59"/>
      <c r="GJM2" s="59"/>
      <c r="GJN2" s="59"/>
      <c r="GJO2" s="59"/>
      <c r="GJP2" s="59"/>
      <c r="GJQ2" s="59"/>
      <c r="GJR2" s="59"/>
      <c r="GJS2" s="59"/>
      <c r="GJT2" s="59"/>
      <c r="GJU2" s="59"/>
      <c r="GJV2" s="59"/>
      <c r="GJW2" s="59"/>
      <c r="GJX2" s="59"/>
      <c r="GJY2" s="59"/>
      <c r="GJZ2" s="59"/>
      <c r="GKA2" s="59"/>
      <c r="GKB2" s="59"/>
      <c r="GKC2" s="59"/>
      <c r="GKD2" s="59"/>
      <c r="GKE2" s="59"/>
      <c r="GKF2" s="59"/>
      <c r="GKG2" s="59"/>
      <c r="GKH2" s="59"/>
      <c r="GKI2" s="59"/>
      <c r="GKJ2" s="59"/>
      <c r="GKK2" s="59"/>
      <c r="GKL2" s="59"/>
      <c r="GKM2" s="59"/>
      <c r="GKN2" s="59"/>
      <c r="GKO2" s="59"/>
      <c r="GKP2" s="59"/>
      <c r="GKQ2" s="59"/>
      <c r="GKR2" s="59"/>
      <c r="GKS2" s="59"/>
      <c r="GKT2" s="59"/>
      <c r="GKU2" s="59"/>
      <c r="GKV2" s="59"/>
      <c r="GKW2" s="59"/>
      <c r="GKX2" s="59"/>
      <c r="GKY2" s="59"/>
      <c r="GKZ2" s="59"/>
      <c r="GLA2" s="59"/>
      <c r="GLB2" s="59"/>
      <c r="GLC2" s="59"/>
      <c r="GLD2" s="59"/>
      <c r="GLE2" s="59"/>
      <c r="GLF2" s="59"/>
      <c r="GLG2" s="59"/>
      <c r="GLH2" s="59"/>
      <c r="GLI2" s="59"/>
      <c r="GLJ2" s="59"/>
      <c r="GLK2" s="59"/>
      <c r="GLL2" s="59"/>
      <c r="GLM2" s="59"/>
      <c r="GLN2" s="59"/>
      <c r="GLO2" s="59"/>
      <c r="GLP2" s="59"/>
      <c r="GLQ2" s="59"/>
      <c r="GLR2" s="59"/>
      <c r="GLS2" s="59"/>
      <c r="GLT2" s="59"/>
      <c r="GLU2" s="59"/>
      <c r="GLV2" s="59"/>
      <c r="GLW2" s="59"/>
      <c r="GLX2" s="59"/>
      <c r="GLY2" s="59"/>
      <c r="GLZ2" s="59"/>
      <c r="GMA2" s="59"/>
      <c r="GMB2" s="59"/>
      <c r="GMC2" s="59"/>
      <c r="GMD2" s="59"/>
      <c r="GME2" s="59"/>
      <c r="GMF2" s="59"/>
      <c r="GMG2" s="59"/>
      <c r="GMH2" s="59"/>
      <c r="GMI2" s="59"/>
      <c r="GMJ2" s="59"/>
      <c r="GMK2" s="59"/>
      <c r="GML2" s="59"/>
      <c r="GMM2" s="59"/>
      <c r="GMN2" s="59"/>
      <c r="GMO2" s="59"/>
      <c r="GMP2" s="59"/>
      <c r="GMQ2" s="59"/>
      <c r="GMR2" s="59"/>
      <c r="GMS2" s="59"/>
      <c r="GMT2" s="59"/>
      <c r="GMU2" s="59"/>
      <c r="GMV2" s="59"/>
      <c r="GMW2" s="59"/>
      <c r="GMX2" s="59"/>
      <c r="GMY2" s="59"/>
      <c r="GMZ2" s="59"/>
      <c r="GNA2" s="59"/>
      <c r="GNB2" s="59"/>
      <c r="GNC2" s="59"/>
      <c r="GND2" s="59"/>
      <c r="GNE2" s="59"/>
      <c r="GNF2" s="59"/>
      <c r="GNG2" s="59"/>
      <c r="GNH2" s="59"/>
      <c r="GNI2" s="59"/>
      <c r="GNJ2" s="59"/>
      <c r="GNK2" s="59"/>
      <c r="GNL2" s="59"/>
      <c r="GNM2" s="59"/>
      <c r="GNN2" s="59"/>
      <c r="GNO2" s="59"/>
      <c r="GNP2" s="59"/>
      <c r="GNQ2" s="59"/>
      <c r="GNR2" s="59"/>
      <c r="GNS2" s="59"/>
      <c r="GNT2" s="59"/>
      <c r="GNU2" s="59"/>
      <c r="GNV2" s="59"/>
      <c r="GNW2" s="59"/>
      <c r="GNX2" s="59"/>
      <c r="GNY2" s="59"/>
      <c r="GNZ2" s="59"/>
      <c r="GOA2" s="59"/>
      <c r="GOB2" s="59"/>
      <c r="GOC2" s="59"/>
      <c r="GOD2" s="59"/>
      <c r="GOE2" s="59"/>
      <c r="GOF2" s="59"/>
      <c r="GOG2" s="59"/>
      <c r="GOH2" s="59"/>
      <c r="GOI2" s="59"/>
      <c r="GOJ2" s="59"/>
      <c r="GOK2" s="59"/>
      <c r="GOL2" s="59"/>
      <c r="GOM2" s="59"/>
      <c r="GON2" s="59"/>
      <c r="GOO2" s="59"/>
      <c r="GOP2" s="59"/>
      <c r="GOQ2" s="59"/>
      <c r="GOR2" s="59"/>
      <c r="GOS2" s="59"/>
      <c r="GOT2" s="59"/>
      <c r="GOU2" s="59"/>
      <c r="GOV2" s="59"/>
      <c r="GOW2" s="59"/>
      <c r="GOX2" s="59"/>
      <c r="GOY2" s="59"/>
      <c r="GOZ2" s="59"/>
      <c r="GPA2" s="59"/>
      <c r="GPB2" s="59"/>
      <c r="GPC2" s="59"/>
      <c r="GPD2" s="59"/>
      <c r="GPE2" s="59"/>
      <c r="GPF2" s="59"/>
      <c r="GPG2" s="59"/>
      <c r="GPH2" s="59"/>
      <c r="GPI2" s="59"/>
      <c r="GPJ2" s="59"/>
      <c r="GPK2" s="59"/>
      <c r="GPL2" s="59"/>
      <c r="GPM2" s="59"/>
      <c r="GPN2" s="59"/>
      <c r="GPO2" s="59"/>
      <c r="GPP2" s="59"/>
      <c r="GPQ2" s="59"/>
      <c r="GPR2" s="59"/>
      <c r="GPS2" s="59"/>
      <c r="GPT2" s="59"/>
      <c r="GPU2" s="59"/>
      <c r="GPV2" s="59"/>
      <c r="GPW2" s="59"/>
      <c r="GPX2" s="59"/>
      <c r="GPY2" s="59"/>
      <c r="GPZ2" s="59"/>
      <c r="GQA2" s="59"/>
      <c r="GQB2" s="59"/>
      <c r="GQC2" s="59"/>
      <c r="GQD2" s="59"/>
      <c r="GQE2" s="59"/>
      <c r="GQF2" s="59"/>
      <c r="GQG2" s="59"/>
      <c r="GQH2" s="59"/>
      <c r="GQI2" s="59"/>
      <c r="GQJ2" s="59"/>
      <c r="GQK2" s="59"/>
      <c r="GQL2" s="59"/>
      <c r="GQM2" s="59"/>
      <c r="GQN2" s="59"/>
      <c r="GQO2" s="59"/>
      <c r="GQP2" s="59"/>
      <c r="GQQ2" s="59"/>
      <c r="GQR2" s="59"/>
      <c r="GQS2" s="59"/>
      <c r="GQT2" s="59"/>
      <c r="GQU2" s="59"/>
      <c r="GQV2" s="59"/>
      <c r="GQW2" s="59"/>
      <c r="GQX2" s="59"/>
      <c r="GQY2" s="59"/>
      <c r="GQZ2" s="59"/>
      <c r="GRA2" s="59"/>
      <c r="GRB2" s="59"/>
      <c r="GRC2" s="59"/>
      <c r="GRD2" s="59"/>
      <c r="GRE2" s="59"/>
      <c r="GRF2" s="59"/>
      <c r="GRG2" s="59"/>
      <c r="GRH2" s="59"/>
      <c r="GRI2" s="59"/>
      <c r="GRJ2" s="59"/>
      <c r="GRK2" s="59"/>
      <c r="GRL2" s="59"/>
      <c r="GRM2" s="59"/>
      <c r="GRN2" s="59"/>
      <c r="GRO2" s="59"/>
      <c r="GRP2" s="59"/>
      <c r="GRQ2" s="59"/>
      <c r="GRR2" s="59"/>
      <c r="GRS2" s="59"/>
      <c r="GRT2" s="59"/>
      <c r="GRU2" s="59"/>
      <c r="GRV2" s="59"/>
      <c r="GRW2" s="59"/>
      <c r="GRX2" s="59"/>
      <c r="GRY2" s="59"/>
      <c r="GRZ2" s="59"/>
      <c r="GSA2" s="59"/>
      <c r="GSB2" s="59"/>
      <c r="GSC2" s="59"/>
      <c r="GSD2" s="59"/>
      <c r="GSE2" s="59"/>
      <c r="GSF2" s="59"/>
      <c r="GSG2" s="59"/>
      <c r="GSH2" s="59"/>
      <c r="GSI2" s="59"/>
      <c r="GSJ2" s="59"/>
      <c r="GSK2" s="59"/>
      <c r="GSL2" s="59"/>
      <c r="GSM2" s="59"/>
      <c r="GSN2" s="59"/>
      <c r="GSO2" s="59"/>
      <c r="GSP2" s="59"/>
      <c r="GSQ2" s="59"/>
      <c r="GSR2" s="59"/>
      <c r="GSS2" s="59"/>
      <c r="GST2" s="59"/>
      <c r="GSU2" s="59"/>
      <c r="GSV2" s="59"/>
      <c r="GSW2" s="59"/>
      <c r="GSX2" s="59"/>
      <c r="GSY2" s="59"/>
      <c r="GSZ2" s="59"/>
      <c r="GTA2" s="59"/>
      <c r="GTB2" s="59"/>
      <c r="GTC2" s="59"/>
      <c r="GTD2" s="59"/>
      <c r="GTE2" s="59"/>
      <c r="GTF2" s="59"/>
      <c r="GTG2" s="59"/>
      <c r="GTH2" s="59"/>
      <c r="GTI2" s="59"/>
      <c r="GTJ2" s="59"/>
      <c r="GTK2" s="59"/>
      <c r="GTL2" s="59"/>
      <c r="GTM2" s="59"/>
      <c r="GTN2" s="59"/>
      <c r="GTO2" s="59"/>
      <c r="GTP2" s="59"/>
      <c r="GTQ2" s="59"/>
      <c r="GTR2" s="59"/>
      <c r="GTS2" s="59"/>
      <c r="GTT2" s="59"/>
      <c r="GTU2" s="59"/>
      <c r="GTV2" s="59"/>
      <c r="GTW2" s="59"/>
      <c r="GTX2" s="59"/>
      <c r="GTY2" s="59"/>
      <c r="GTZ2" s="59"/>
      <c r="GUA2" s="59"/>
      <c r="GUB2" s="59"/>
      <c r="GUC2" s="59"/>
      <c r="GUD2" s="59"/>
      <c r="GUE2" s="59"/>
      <c r="GUF2" s="59"/>
      <c r="GUG2" s="59"/>
      <c r="GUH2" s="59"/>
      <c r="GUI2" s="59"/>
      <c r="GUJ2" s="59"/>
      <c r="GUK2" s="59"/>
      <c r="GUL2" s="59"/>
      <c r="GUM2" s="59"/>
      <c r="GUN2" s="59"/>
      <c r="GUO2" s="59"/>
      <c r="GUP2" s="59"/>
      <c r="GUQ2" s="59"/>
      <c r="GUR2" s="59"/>
      <c r="GUS2" s="59"/>
      <c r="GUT2" s="59"/>
      <c r="GUU2" s="59"/>
      <c r="GUV2" s="59"/>
      <c r="GUW2" s="59"/>
      <c r="GUX2" s="59"/>
      <c r="GUY2" s="59"/>
      <c r="GUZ2" s="59"/>
      <c r="GVA2" s="59"/>
      <c r="GVB2" s="59"/>
      <c r="GVC2" s="59"/>
      <c r="GVD2" s="59"/>
      <c r="GVE2" s="59"/>
      <c r="GVF2" s="59"/>
      <c r="GVG2" s="59"/>
      <c r="GVH2" s="59"/>
      <c r="GVI2" s="59"/>
      <c r="GVJ2" s="59"/>
      <c r="GVK2" s="59"/>
      <c r="GVL2" s="59"/>
      <c r="GVM2" s="59"/>
      <c r="GVN2" s="59"/>
      <c r="GVO2" s="59"/>
      <c r="GVP2" s="59"/>
      <c r="GVQ2" s="59"/>
      <c r="GVR2" s="59"/>
      <c r="GVS2" s="59"/>
      <c r="GVT2" s="59"/>
      <c r="GVU2" s="59"/>
      <c r="GVV2" s="59"/>
      <c r="GVW2" s="59"/>
      <c r="GVX2" s="59"/>
      <c r="GVY2" s="59"/>
      <c r="GVZ2" s="59"/>
      <c r="GWA2" s="59"/>
      <c r="GWB2" s="59"/>
      <c r="GWC2" s="59"/>
      <c r="GWD2" s="59"/>
      <c r="GWE2" s="59"/>
      <c r="GWF2" s="59"/>
      <c r="GWG2" s="59"/>
      <c r="GWH2" s="59"/>
      <c r="GWI2" s="59"/>
      <c r="GWJ2" s="59"/>
      <c r="GWK2" s="59"/>
      <c r="GWL2" s="59"/>
      <c r="GWM2" s="59"/>
      <c r="GWN2" s="59"/>
      <c r="GWO2" s="59"/>
      <c r="GWP2" s="59"/>
      <c r="GWQ2" s="59"/>
      <c r="GWR2" s="59"/>
      <c r="GWS2" s="59"/>
      <c r="GWT2" s="59"/>
      <c r="GWU2" s="59"/>
      <c r="GWV2" s="59"/>
      <c r="GWW2" s="59"/>
      <c r="GWX2" s="59"/>
      <c r="GWY2" s="59"/>
      <c r="GWZ2" s="59"/>
      <c r="GXA2" s="59"/>
      <c r="GXB2" s="59"/>
      <c r="GXC2" s="59"/>
      <c r="GXD2" s="59"/>
      <c r="GXE2" s="59"/>
      <c r="GXF2" s="59"/>
      <c r="GXG2" s="59"/>
      <c r="GXH2" s="59"/>
      <c r="GXI2" s="59"/>
      <c r="GXJ2" s="59"/>
      <c r="GXK2" s="59"/>
      <c r="GXL2" s="59"/>
      <c r="GXM2" s="59"/>
      <c r="GXN2" s="59"/>
      <c r="GXO2" s="59"/>
      <c r="GXP2" s="59"/>
      <c r="GXQ2" s="59"/>
      <c r="GXR2" s="59"/>
      <c r="GXS2" s="59"/>
      <c r="GXT2" s="59"/>
      <c r="GXU2" s="59"/>
      <c r="GXV2" s="59"/>
      <c r="GXW2" s="59"/>
      <c r="GXX2" s="59"/>
      <c r="GXY2" s="59"/>
      <c r="GXZ2" s="59"/>
      <c r="GYA2" s="59"/>
      <c r="GYB2" s="59"/>
      <c r="GYC2" s="59"/>
      <c r="GYD2" s="59"/>
      <c r="GYE2" s="59"/>
      <c r="GYF2" s="59"/>
      <c r="GYG2" s="59"/>
      <c r="GYH2" s="59"/>
      <c r="GYI2" s="59"/>
      <c r="GYJ2" s="59"/>
      <c r="GYK2" s="59"/>
      <c r="GYL2" s="59"/>
      <c r="GYM2" s="59"/>
      <c r="GYN2" s="59"/>
      <c r="GYO2" s="59"/>
      <c r="GYP2" s="59"/>
      <c r="GYQ2" s="59"/>
      <c r="GYR2" s="59"/>
      <c r="GYS2" s="59"/>
      <c r="GYT2" s="59"/>
      <c r="GYU2" s="59"/>
      <c r="GYV2" s="59"/>
      <c r="GYW2" s="59"/>
      <c r="GYX2" s="59"/>
      <c r="GYY2" s="59"/>
      <c r="GYZ2" s="59"/>
      <c r="GZA2" s="59"/>
      <c r="GZB2" s="59"/>
      <c r="GZC2" s="59"/>
      <c r="GZD2" s="59"/>
      <c r="GZE2" s="59"/>
      <c r="GZF2" s="59"/>
      <c r="GZG2" s="59"/>
      <c r="GZH2" s="59"/>
      <c r="GZI2" s="59"/>
      <c r="GZJ2" s="59"/>
      <c r="GZK2" s="59"/>
      <c r="GZL2" s="59"/>
      <c r="GZM2" s="59"/>
      <c r="GZN2" s="59"/>
      <c r="GZO2" s="59"/>
      <c r="GZP2" s="59"/>
      <c r="GZQ2" s="59"/>
      <c r="GZR2" s="59"/>
      <c r="GZS2" s="59"/>
      <c r="GZT2" s="59"/>
      <c r="GZU2" s="59"/>
      <c r="GZV2" s="59"/>
      <c r="GZW2" s="59"/>
      <c r="GZX2" s="59"/>
      <c r="GZY2" s="59"/>
      <c r="GZZ2" s="59"/>
      <c r="HAA2" s="59"/>
      <c r="HAB2" s="59"/>
      <c r="HAC2" s="59"/>
      <c r="HAD2" s="59"/>
      <c r="HAE2" s="59"/>
      <c r="HAF2" s="59"/>
      <c r="HAG2" s="59"/>
      <c r="HAH2" s="59"/>
      <c r="HAI2" s="59"/>
      <c r="HAJ2" s="59"/>
      <c r="HAK2" s="59"/>
      <c r="HAL2" s="59"/>
      <c r="HAM2" s="59"/>
      <c r="HAN2" s="59"/>
      <c r="HAO2" s="59"/>
      <c r="HAP2" s="59"/>
      <c r="HAQ2" s="59"/>
      <c r="HAR2" s="59"/>
      <c r="HAS2" s="59"/>
      <c r="HAT2" s="59"/>
      <c r="HAU2" s="59"/>
      <c r="HAV2" s="59"/>
      <c r="HAW2" s="59"/>
      <c r="HAX2" s="59"/>
      <c r="HAY2" s="59"/>
      <c r="HAZ2" s="59"/>
      <c r="HBA2" s="59"/>
      <c r="HBB2" s="59"/>
      <c r="HBC2" s="59"/>
      <c r="HBD2" s="59"/>
      <c r="HBE2" s="59"/>
      <c r="HBF2" s="59"/>
      <c r="HBG2" s="59"/>
      <c r="HBH2" s="59"/>
      <c r="HBI2" s="59"/>
      <c r="HBJ2" s="59"/>
      <c r="HBK2" s="59"/>
      <c r="HBL2" s="59"/>
      <c r="HBM2" s="59"/>
      <c r="HBN2" s="59"/>
      <c r="HBO2" s="59"/>
      <c r="HBP2" s="59"/>
      <c r="HBQ2" s="59"/>
      <c r="HBR2" s="59"/>
      <c r="HBS2" s="59"/>
      <c r="HBT2" s="59"/>
      <c r="HBU2" s="59"/>
      <c r="HBV2" s="59"/>
      <c r="HBW2" s="59"/>
      <c r="HBX2" s="59"/>
      <c r="HBY2" s="59"/>
      <c r="HBZ2" s="59"/>
      <c r="HCA2" s="59"/>
      <c r="HCB2" s="59"/>
      <c r="HCC2" s="59"/>
      <c r="HCD2" s="59"/>
      <c r="HCE2" s="59"/>
      <c r="HCF2" s="59"/>
      <c r="HCG2" s="59"/>
      <c r="HCH2" s="59"/>
      <c r="HCI2" s="59"/>
      <c r="HCJ2" s="59"/>
      <c r="HCK2" s="59"/>
      <c r="HCL2" s="59"/>
      <c r="HCM2" s="59"/>
      <c r="HCN2" s="59"/>
      <c r="HCO2" s="59"/>
      <c r="HCP2" s="59"/>
      <c r="HCQ2" s="59"/>
      <c r="HCR2" s="59"/>
      <c r="HCS2" s="59"/>
      <c r="HCT2" s="59"/>
      <c r="HCU2" s="59"/>
      <c r="HCV2" s="59"/>
      <c r="HCW2" s="59"/>
      <c r="HCX2" s="59"/>
      <c r="HCY2" s="59"/>
      <c r="HCZ2" s="59"/>
      <c r="HDA2" s="59"/>
      <c r="HDB2" s="59"/>
      <c r="HDC2" s="59"/>
      <c r="HDD2" s="59"/>
      <c r="HDE2" s="59"/>
      <c r="HDF2" s="59"/>
      <c r="HDG2" s="59"/>
      <c r="HDH2" s="59"/>
      <c r="HDI2" s="59"/>
      <c r="HDJ2" s="59"/>
      <c r="HDK2" s="59"/>
      <c r="HDL2" s="59"/>
      <c r="HDM2" s="59"/>
      <c r="HDN2" s="59"/>
      <c r="HDO2" s="59"/>
      <c r="HDP2" s="59"/>
      <c r="HDQ2" s="59"/>
      <c r="HDR2" s="59"/>
      <c r="HDS2" s="59"/>
      <c r="HDT2" s="59"/>
      <c r="HDU2" s="59"/>
      <c r="HDV2" s="59"/>
      <c r="HDW2" s="59"/>
      <c r="HDX2" s="59"/>
      <c r="HDY2" s="59"/>
      <c r="HDZ2" s="59"/>
      <c r="HEA2" s="59"/>
      <c r="HEB2" s="59"/>
      <c r="HEC2" s="59"/>
      <c r="HED2" s="59"/>
      <c r="HEE2" s="59"/>
      <c r="HEF2" s="59"/>
      <c r="HEG2" s="59"/>
      <c r="HEH2" s="59"/>
      <c r="HEI2" s="59"/>
      <c r="HEJ2" s="59"/>
      <c r="HEK2" s="59"/>
      <c r="HEL2" s="59"/>
      <c r="HEM2" s="59"/>
      <c r="HEN2" s="59"/>
      <c r="HEO2" s="59"/>
      <c r="HEP2" s="59"/>
      <c r="HEQ2" s="59"/>
      <c r="HER2" s="59"/>
      <c r="HES2" s="59"/>
      <c r="HET2" s="59"/>
      <c r="HEU2" s="59"/>
      <c r="HEV2" s="59"/>
      <c r="HEW2" s="59"/>
      <c r="HEX2" s="59"/>
      <c r="HEY2" s="59"/>
      <c r="HEZ2" s="59"/>
      <c r="HFA2" s="59"/>
      <c r="HFB2" s="59"/>
      <c r="HFC2" s="59"/>
      <c r="HFD2" s="59"/>
      <c r="HFE2" s="59"/>
      <c r="HFF2" s="59"/>
      <c r="HFG2" s="59"/>
      <c r="HFH2" s="59"/>
      <c r="HFI2" s="59"/>
      <c r="HFJ2" s="59"/>
      <c r="HFK2" s="59"/>
      <c r="HFL2" s="59"/>
      <c r="HFM2" s="59"/>
      <c r="HFN2" s="59"/>
      <c r="HFO2" s="59"/>
      <c r="HFP2" s="59"/>
      <c r="HFQ2" s="59"/>
      <c r="HFR2" s="59"/>
      <c r="HFS2" s="59"/>
      <c r="HFT2" s="59"/>
      <c r="HFU2" s="59"/>
      <c r="HFV2" s="59"/>
      <c r="HFW2" s="59"/>
      <c r="HFX2" s="59"/>
      <c r="HFY2" s="59"/>
      <c r="HFZ2" s="59"/>
      <c r="HGA2" s="59"/>
      <c r="HGB2" s="59"/>
      <c r="HGC2" s="59"/>
      <c r="HGD2" s="59"/>
      <c r="HGE2" s="59"/>
      <c r="HGF2" s="59"/>
      <c r="HGG2" s="59"/>
      <c r="HGH2" s="59"/>
      <c r="HGI2" s="59"/>
      <c r="HGJ2" s="59"/>
      <c r="HGK2" s="59"/>
      <c r="HGL2" s="59"/>
      <c r="HGM2" s="59"/>
      <c r="HGN2" s="59"/>
      <c r="HGO2" s="59"/>
      <c r="HGP2" s="59"/>
      <c r="HGQ2" s="59"/>
      <c r="HGR2" s="59"/>
      <c r="HGS2" s="59"/>
      <c r="HGT2" s="59"/>
      <c r="HGU2" s="59"/>
      <c r="HGV2" s="59"/>
      <c r="HGW2" s="59"/>
      <c r="HGX2" s="59"/>
      <c r="HGY2" s="59"/>
      <c r="HGZ2" s="59"/>
      <c r="HHA2" s="59"/>
      <c r="HHB2" s="59"/>
      <c r="HHC2" s="59"/>
      <c r="HHD2" s="59"/>
      <c r="HHE2" s="59"/>
      <c r="HHF2" s="59"/>
      <c r="HHG2" s="59"/>
      <c r="HHH2" s="59"/>
      <c r="HHI2" s="59"/>
      <c r="HHJ2" s="59"/>
      <c r="HHK2" s="59"/>
      <c r="HHL2" s="59"/>
      <c r="HHM2" s="59"/>
      <c r="HHN2" s="59"/>
      <c r="HHO2" s="59"/>
      <c r="HHP2" s="59"/>
      <c r="HHQ2" s="59"/>
      <c r="HHR2" s="59"/>
      <c r="HHS2" s="59"/>
      <c r="HHT2" s="59"/>
      <c r="HHU2" s="59"/>
      <c r="HHV2" s="59"/>
      <c r="HHW2" s="59"/>
      <c r="HHX2" s="59"/>
      <c r="HHY2" s="59"/>
      <c r="HHZ2" s="59"/>
      <c r="HIA2" s="59"/>
      <c r="HIB2" s="59"/>
      <c r="HIC2" s="59"/>
      <c r="HID2" s="59"/>
      <c r="HIE2" s="59"/>
      <c r="HIF2" s="59"/>
      <c r="HIG2" s="59"/>
      <c r="HIH2" s="59"/>
      <c r="HII2" s="59"/>
      <c r="HIJ2" s="59"/>
      <c r="HIK2" s="59"/>
      <c r="HIL2" s="59"/>
      <c r="HIM2" s="59"/>
      <c r="HIN2" s="59"/>
      <c r="HIO2" s="59"/>
      <c r="HIP2" s="59"/>
      <c r="HIQ2" s="59"/>
      <c r="HIR2" s="59"/>
      <c r="HIS2" s="59"/>
      <c r="HIT2" s="59"/>
      <c r="HIU2" s="59"/>
      <c r="HIV2" s="59"/>
      <c r="HIW2" s="59"/>
      <c r="HIX2" s="59"/>
      <c r="HIY2" s="59"/>
      <c r="HIZ2" s="59"/>
      <c r="HJA2" s="59"/>
      <c r="HJB2" s="59"/>
      <c r="HJC2" s="59"/>
      <c r="HJD2" s="59"/>
      <c r="HJE2" s="59"/>
      <c r="HJF2" s="59"/>
      <c r="HJG2" s="59"/>
      <c r="HJH2" s="59"/>
      <c r="HJI2" s="59"/>
      <c r="HJJ2" s="59"/>
      <c r="HJK2" s="59"/>
      <c r="HJL2" s="59"/>
      <c r="HJM2" s="59"/>
      <c r="HJN2" s="59"/>
      <c r="HJO2" s="59"/>
      <c r="HJP2" s="59"/>
      <c r="HJQ2" s="59"/>
      <c r="HJR2" s="59"/>
      <c r="HJS2" s="59"/>
      <c r="HJT2" s="59"/>
      <c r="HJU2" s="59"/>
      <c r="HJV2" s="59"/>
      <c r="HJW2" s="59"/>
      <c r="HJX2" s="59"/>
      <c r="HJY2" s="59"/>
      <c r="HJZ2" s="59"/>
      <c r="HKA2" s="59"/>
      <c r="HKB2" s="59"/>
      <c r="HKC2" s="59"/>
      <c r="HKD2" s="59"/>
      <c r="HKE2" s="59"/>
      <c r="HKF2" s="59"/>
      <c r="HKG2" s="59"/>
      <c r="HKH2" s="59"/>
      <c r="HKI2" s="59"/>
      <c r="HKJ2" s="59"/>
      <c r="HKK2" s="59"/>
      <c r="HKL2" s="59"/>
      <c r="HKM2" s="59"/>
      <c r="HKN2" s="59"/>
      <c r="HKO2" s="59"/>
      <c r="HKP2" s="59"/>
      <c r="HKQ2" s="59"/>
      <c r="HKR2" s="59"/>
      <c r="HKS2" s="59"/>
      <c r="HKT2" s="59"/>
      <c r="HKU2" s="59"/>
      <c r="HKV2" s="59"/>
      <c r="HKW2" s="59"/>
      <c r="HKX2" s="59"/>
      <c r="HKY2" s="59"/>
      <c r="HKZ2" s="59"/>
      <c r="HLA2" s="59"/>
      <c r="HLB2" s="59"/>
      <c r="HLC2" s="59"/>
      <c r="HLD2" s="59"/>
      <c r="HLE2" s="59"/>
      <c r="HLF2" s="59"/>
      <c r="HLG2" s="59"/>
      <c r="HLH2" s="59"/>
      <c r="HLI2" s="59"/>
      <c r="HLJ2" s="59"/>
      <c r="HLK2" s="59"/>
      <c r="HLL2" s="59"/>
      <c r="HLM2" s="59"/>
      <c r="HLN2" s="59"/>
      <c r="HLO2" s="59"/>
      <c r="HLP2" s="59"/>
      <c r="HLQ2" s="59"/>
      <c r="HLR2" s="59"/>
      <c r="HLS2" s="59"/>
      <c r="HLT2" s="59"/>
      <c r="HLU2" s="59"/>
      <c r="HLV2" s="59"/>
      <c r="HLW2" s="59"/>
      <c r="HLX2" s="59"/>
      <c r="HLY2" s="59"/>
      <c r="HLZ2" s="59"/>
      <c r="HMA2" s="59"/>
      <c r="HMB2" s="59"/>
      <c r="HMC2" s="59"/>
      <c r="HMD2" s="59"/>
      <c r="HME2" s="59"/>
      <c r="HMF2" s="59"/>
      <c r="HMG2" s="59"/>
      <c r="HMH2" s="59"/>
      <c r="HMI2" s="59"/>
      <c r="HMJ2" s="59"/>
      <c r="HMK2" s="59"/>
      <c r="HML2" s="59"/>
      <c r="HMM2" s="59"/>
      <c r="HMN2" s="59"/>
      <c r="HMO2" s="59"/>
      <c r="HMP2" s="59"/>
      <c r="HMQ2" s="59"/>
      <c r="HMR2" s="59"/>
      <c r="HMS2" s="59"/>
      <c r="HMT2" s="59"/>
      <c r="HMU2" s="59"/>
      <c r="HMV2" s="59"/>
      <c r="HMW2" s="59"/>
      <c r="HMX2" s="59"/>
      <c r="HMY2" s="59"/>
      <c r="HMZ2" s="59"/>
      <c r="HNA2" s="59"/>
      <c r="HNB2" s="59"/>
      <c r="HNC2" s="59"/>
      <c r="HND2" s="59"/>
      <c r="HNE2" s="59"/>
      <c r="HNF2" s="59"/>
      <c r="HNG2" s="59"/>
      <c r="HNH2" s="59"/>
      <c r="HNI2" s="59"/>
      <c r="HNJ2" s="59"/>
      <c r="HNK2" s="59"/>
      <c r="HNL2" s="59"/>
      <c r="HNM2" s="59"/>
      <c r="HNN2" s="59"/>
      <c r="HNO2" s="59"/>
      <c r="HNP2" s="59"/>
      <c r="HNQ2" s="59"/>
      <c r="HNR2" s="59"/>
      <c r="HNS2" s="59"/>
      <c r="HNT2" s="59"/>
      <c r="HNU2" s="59"/>
      <c r="HNV2" s="59"/>
      <c r="HNW2" s="59"/>
      <c r="HNX2" s="59"/>
      <c r="HNY2" s="59"/>
      <c r="HNZ2" s="59"/>
      <c r="HOA2" s="59"/>
      <c r="HOB2" s="59"/>
      <c r="HOC2" s="59"/>
      <c r="HOD2" s="59"/>
      <c r="HOE2" s="59"/>
      <c r="HOF2" s="59"/>
      <c r="HOG2" s="59"/>
      <c r="HOH2" s="59"/>
      <c r="HOI2" s="59"/>
      <c r="HOJ2" s="59"/>
      <c r="HOK2" s="59"/>
      <c r="HOL2" s="59"/>
      <c r="HOM2" s="59"/>
      <c r="HON2" s="59"/>
      <c r="HOO2" s="59"/>
      <c r="HOP2" s="59"/>
      <c r="HOQ2" s="59"/>
      <c r="HOR2" s="59"/>
      <c r="HOS2" s="59"/>
      <c r="HOT2" s="59"/>
      <c r="HOU2" s="59"/>
      <c r="HOV2" s="59"/>
      <c r="HOW2" s="59"/>
      <c r="HOX2" s="59"/>
      <c r="HOY2" s="59"/>
      <c r="HOZ2" s="59"/>
      <c r="HPA2" s="59"/>
      <c r="HPB2" s="59"/>
      <c r="HPC2" s="59"/>
      <c r="HPD2" s="59"/>
      <c r="HPE2" s="59"/>
      <c r="HPF2" s="59"/>
      <c r="HPG2" s="59"/>
      <c r="HPH2" s="59"/>
      <c r="HPI2" s="59"/>
      <c r="HPJ2" s="59"/>
      <c r="HPK2" s="59"/>
      <c r="HPL2" s="59"/>
      <c r="HPM2" s="59"/>
      <c r="HPN2" s="59"/>
      <c r="HPO2" s="59"/>
      <c r="HPP2" s="59"/>
      <c r="HPQ2" s="59"/>
      <c r="HPR2" s="59"/>
      <c r="HPS2" s="59"/>
      <c r="HPT2" s="59"/>
      <c r="HPU2" s="59"/>
      <c r="HPV2" s="59"/>
      <c r="HPW2" s="59"/>
      <c r="HPX2" s="59"/>
      <c r="HPY2" s="59"/>
      <c r="HPZ2" s="59"/>
      <c r="HQA2" s="59"/>
      <c r="HQB2" s="59"/>
      <c r="HQC2" s="59"/>
      <c r="HQD2" s="59"/>
      <c r="HQE2" s="59"/>
      <c r="HQF2" s="59"/>
      <c r="HQG2" s="59"/>
      <c r="HQH2" s="59"/>
      <c r="HQI2" s="59"/>
      <c r="HQJ2" s="59"/>
      <c r="HQK2" s="59"/>
      <c r="HQL2" s="59"/>
      <c r="HQM2" s="59"/>
      <c r="HQN2" s="59"/>
      <c r="HQO2" s="59"/>
      <c r="HQP2" s="59"/>
      <c r="HQQ2" s="59"/>
      <c r="HQR2" s="59"/>
      <c r="HQS2" s="59"/>
      <c r="HQT2" s="59"/>
      <c r="HQU2" s="59"/>
      <c r="HQV2" s="59"/>
      <c r="HQW2" s="59"/>
      <c r="HQX2" s="59"/>
      <c r="HQY2" s="59"/>
      <c r="HQZ2" s="59"/>
      <c r="HRA2" s="59"/>
      <c r="HRB2" s="59"/>
      <c r="HRC2" s="59"/>
      <c r="HRD2" s="59"/>
      <c r="HRE2" s="59"/>
      <c r="HRF2" s="59"/>
      <c r="HRG2" s="59"/>
      <c r="HRH2" s="59"/>
      <c r="HRI2" s="59"/>
      <c r="HRJ2" s="59"/>
      <c r="HRK2" s="59"/>
      <c r="HRL2" s="59"/>
      <c r="HRM2" s="59"/>
      <c r="HRN2" s="59"/>
      <c r="HRO2" s="59"/>
      <c r="HRP2" s="59"/>
      <c r="HRQ2" s="59"/>
      <c r="HRR2" s="59"/>
      <c r="HRS2" s="59"/>
      <c r="HRT2" s="59"/>
      <c r="HRU2" s="59"/>
      <c r="HRV2" s="59"/>
      <c r="HRW2" s="59"/>
      <c r="HRX2" s="59"/>
      <c r="HRY2" s="59"/>
      <c r="HRZ2" s="59"/>
      <c r="HSA2" s="59"/>
      <c r="HSB2" s="59"/>
      <c r="HSC2" s="59"/>
      <c r="HSD2" s="59"/>
      <c r="HSE2" s="59"/>
      <c r="HSF2" s="59"/>
      <c r="HSG2" s="59"/>
      <c r="HSH2" s="59"/>
      <c r="HSI2" s="59"/>
      <c r="HSJ2" s="59"/>
      <c r="HSK2" s="59"/>
      <c r="HSL2" s="59"/>
      <c r="HSM2" s="59"/>
      <c r="HSN2" s="59"/>
      <c r="HSO2" s="59"/>
      <c r="HSP2" s="59"/>
      <c r="HSQ2" s="59"/>
      <c r="HSR2" s="59"/>
      <c r="HSS2" s="59"/>
      <c r="HST2" s="59"/>
      <c r="HSU2" s="59"/>
      <c r="HSV2" s="59"/>
      <c r="HSW2" s="59"/>
      <c r="HSX2" s="59"/>
      <c r="HSY2" s="59"/>
      <c r="HSZ2" s="59"/>
      <c r="HTA2" s="59"/>
      <c r="HTB2" s="59"/>
      <c r="HTC2" s="59"/>
      <c r="HTD2" s="59"/>
      <c r="HTE2" s="59"/>
      <c r="HTF2" s="59"/>
      <c r="HTG2" s="59"/>
      <c r="HTH2" s="59"/>
      <c r="HTI2" s="59"/>
      <c r="HTJ2" s="59"/>
      <c r="HTK2" s="59"/>
      <c r="HTL2" s="59"/>
      <c r="HTM2" s="59"/>
      <c r="HTN2" s="59"/>
      <c r="HTO2" s="59"/>
      <c r="HTP2" s="59"/>
      <c r="HTQ2" s="59"/>
      <c r="HTR2" s="59"/>
      <c r="HTS2" s="59"/>
      <c r="HTT2" s="59"/>
      <c r="HTU2" s="59"/>
      <c r="HTV2" s="59"/>
      <c r="HTW2" s="59"/>
      <c r="HTX2" s="59"/>
      <c r="HTY2" s="59"/>
      <c r="HTZ2" s="59"/>
      <c r="HUA2" s="59"/>
      <c r="HUB2" s="59"/>
      <c r="HUC2" s="59"/>
      <c r="HUD2" s="59"/>
      <c r="HUE2" s="59"/>
      <c r="HUF2" s="59"/>
      <c r="HUG2" s="59"/>
      <c r="HUH2" s="59"/>
      <c r="HUI2" s="59"/>
      <c r="HUJ2" s="59"/>
      <c r="HUK2" s="59"/>
      <c r="HUL2" s="59"/>
      <c r="HUM2" s="59"/>
      <c r="HUN2" s="59"/>
      <c r="HUO2" s="59"/>
      <c r="HUP2" s="59"/>
      <c r="HUQ2" s="59"/>
      <c r="HUR2" s="59"/>
      <c r="HUS2" s="59"/>
      <c r="HUT2" s="59"/>
      <c r="HUU2" s="59"/>
      <c r="HUV2" s="59"/>
      <c r="HUW2" s="59"/>
      <c r="HUX2" s="59"/>
      <c r="HUY2" s="59"/>
      <c r="HUZ2" s="59"/>
      <c r="HVA2" s="59"/>
      <c r="HVB2" s="59"/>
      <c r="HVC2" s="59"/>
      <c r="HVD2" s="59"/>
      <c r="HVE2" s="59"/>
      <c r="HVF2" s="59"/>
      <c r="HVG2" s="59"/>
      <c r="HVH2" s="59"/>
      <c r="HVI2" s="59"/>
      <c r="HVJ2" s="59"/>
      <c r="HVK2" s="59"/>
      <c r="HVL2" s="59"/>
      <c r="HVM2" s="59"/>
      <c r="HVN2" s="59"/>
      <c r="HVO2" s="59"/>
      <c r="HVP2" s="59"/>
      <c r="HVQ2" s="59"/>
      <c r="HVR2" s="59"/>
      <c r="HVS2" s="59"/>
      <c r="HVT2" s="59"/>
      <c r="HVU2" s="59"/>
      <c r="HVV2" s="59"/>
      <c r="HVW2" s="59"/>
      <c r="HVX2" s="59"/>
      <c r="HVY2" s="59"/>
      <c r="HVZ2" s="59"/>
      <c r="HWA2" s="59"/>
      <c r="HWB2" s="59"/>
      <c r="HWC2" s="59"/>
      <c r="HWD2" s="59"/>
      <c r="HWE2" s="59"/>
      <c r="HWF2" s="59"/>
      <c r="HWG2" s="59"/>
      <c r="HWH2" s="59"/>
      <c r="HWI2" s="59"/>
      <c r="HWJ2" s="59"/>
      <c r="HWK2" s="59"/>
      <c r="HWL2" s="59"/>
      <c r="HWM2" s="59"/>
      <c r="HWN2" s="59"/>
      <c r="HWO2" s="59"/>
      <c r="HWP2" s="59"/>
      <c r="HWQ2" s="59"/>
      <c r="HWR2" s="59"/>
      <c r="HWS2" s="59"/>
      <c r="HWT2" s="59"/>
      <c r="HWU2" s="59"/>
      <c r="HWV2" s="59"/>
      <c r="HWW2" s="59"/>
      <c r="HWX2" s="59"/>
      <c r="HWY2" s="59"/>
      <c r="HWZ2" s="59"/>
      <c r="HXA2" s="59"/>
      <c r="HXB2" s="59"/>
      <c r="HXC2" s="59"/>
      <c r="HXD2" s="59"/>
      <c r="HXE2" s="59"/>
      <c r="HXF2" s="59"/>
      <c r="HXG2" s="59"/>
      <c r="HXH2" s="59"/>
      <c r="HXI2" s="59"/>
      <c r="HXJ2" s="59"/>
      <c r="HXK2" s="59"/>
      <c r="HXL2" s="59"/>
      <c r="HXM2" s="59"/>
      <c r="HXN2" s="59"/>
      <c r="HXO2" s="59"/>
      <c r="HXP2" s="59"/>
      <c r="HXQ2" s="59"/>
      <c r="HXR2" s="59"/>
      <c r="HXS2" s="59"/>
      <c r="HXT2" s="59"/>
      <c r="HXU2" s="59"/>
      <c r="HXV2" s="59"/>
      <c r="HXW2" s="59"/>
      <c r="HXX2" s="59"/>
      <c r="HXY2" s="59"/>
      <c r="HXZ2" s="59"/>
      <c r="HYA2" s="59"/>
      <c r="HYB2" s="59"/>
      <c r="HYC2" s="59"/>
      <c r="HYD2" s="59"/>
      <c r="HYE2" s="59"/>
      <c r="HYF2" s="59"/>
      <c r="HYG2" s="59"/>
      <c r="HYH2" s="59"/>
      <c r="HYI2" s="59"/>
      <c r="HYJ2" s="59"/>
      <c r="HYK2" s="59"/>
      <c r="HYL2" s="59"/>
      <c r="HYM2" s="59"/>
      <c r="HYN2" s="59"/>
      <c r="HYO2" s="59"/>
      <c r="HYP2" s="59"/>
      <c r="HYQ2" s="59"/>
      <c r="HYR2" s="59"/>
      <c r="HYS2" s="59"/>
      <c r="HYT2" s="59"/>
      <c r="HYU2" s="59"/>
      <c r="HYV2" s="59"/>
      <c r="HYW2" s="59"/>
      <c r="HYX2" s="59"/>
      <c r="HYY2" s="59"/>
      <c r="HYZ2" s="59"/>
      <c r="HZA2" s="59"/>
      <c r="HZB2" s="59"/>
      <c r="HZC2" s="59"/>
      <c r="HZD2" s="59"/>
      <c r="HZE2" s="59"/>
      <c r="HZF2" s="59"/>
      <c r="HZG2" s="59"/>
      <c r="HZH2" s="59"/>
      <c r="HZI2" s="59"/>
      <c r="HZJ2" s="59"/>
      <c r="HZK2" s="59"/>
      <c r="HZL2" s="59"/>
      <c r="HZM2" s="59"/>
      <c r="HZN2" s="59"/>
      <c r="HZO2" s="59"/>
      <c r="HZP2" s="59"/>
      <c r="HZQ2" s="59"/>
      <c r="HZR2" s="59"/>
      <c r="HZS2" s="59"/>
      <c r="HZT2" s="59"/>
      <c r="HZU2" s="59"/>
      <c r="HZV2" s="59"/>
      <c r="HZW2" s="59"/>
      <c r="HZX2" s="59"/>
      <c r="HZY2" s="59"/>
      <c r="HZZ2" s="59"/>
      <c r="IAA2" s="59"/>
      <c r="IAB2" s="59"/>
      <c r="IAC2" s="59"/>
      <c r="IAD2" s="59"/>
      <c r="IAE2" s="59"/>
      <c r="IAF2" s="59"/>
      <c r="IAG2" s="59"/>
      <c r="IAH2" s="59"/>
      <c r="IAI2" s="59"/>
      <c r="IAJ2" s="59"/>
      <c r="IAK2" s="59"/>
      <c r="IAL2" s="59"/>
      <c r="IAM2" s="59"/>
      <c r="IAN2" s="59"/>
      <c r="IAO2" s="59"/>
      <c r="IAP2" s="59"/>
      <c r="IAQ2" s="59"/>
      <c r="IAR2" s="59"/>
      <c r="IAS2" s="59"/>
      <c r="IAT2" s="59"/>
      <c r="IAU2" s="59"/>
      <c r="IAV2" s="59"/>
      <c r="IAW2" s="59"/>
      <c r="IAX2" s="59"/>
      <c r="IAY2" s="59"/>
      <c r="IAZ2" s="59"/>
      <c r="IBA2" s="59"/>
      <c r="IBB2" s="59"/>
      <c r="IBC2" s="59"/>
      <c r="IBD2" s="59"/>
      <c r="IBE2" s="59"/>
      <c r="IBF2" s="59"/>
      <c r="IBG2" s="59"/>
      <c r="IBH2" s="59"/>
      <c r="IBI2" s="59"/>
      <c r="IBJ2" s="59"/>
      <c r="IBK2" s="59"/>
      <c r="IBL2" s="59"/>
      <c r="IBM2" s="59"/>
      <c r="IBN2" s="59"/>
      <c r="IBO2" s="59"/>
      <c r="IBP2" s="59"/>
      <c r="IBQ2" s="59"/>
      <c r="IBR2" s="59"/>
      <c r="IBS2" s="59"/>
      <c r="IBT2" s="59"/>
      <c r="IBU2" s="59"/>
      <c r="IBV2" s="59"/>
      <c r="IBW2" s="59"/>
      <c r="IBX2" s="59"/>
      <c r="IBY2" s="59"/>
      <c r="IBZ2" s="59"/>
      <c r="ICA2" s="59"/>
      <c r="ICB2" s="59"/>
      <c r="ICC2" s="59"/>
      <c r="ICD2" s="59"/>
      <c r="ICE2" s="59"/>
      <c r="ICF2" s="59"/>
      <c r="ICG2" s="59"/>
      <c r="ICH2" s="59"/>
      <c r="ICI2" s="59"/>
      <c r="ICJ2" s="59"/>
      <c r="ICK2" s="59"/>
      <c r="ICL2" s="59"/>
      <c r="ICM2" s="59"/>
      <c r="ICN2" s="59"/>
      <c r="ICO2" s="59"/>
      <c r="ICP2" s="59"/>
      <c r="ICQ2" s="59"/>
      <c r="ICR2" s="59"/>
      <c r="ICS2" s="59"/>
      <c r="ICT2" s="59"/>
      <c r="ICU2" s="59"/>
      <c r="ICV2" s="59"/>
      <c r="ICW2" s="59"/>
      <c r="ICX2" s="59"/>
      <c r="ICY2" s="59"/>
      <c r="ICZ2" s="59"/>
      <c r="IDA2" s="59"/>
      <c r="IDB2" s="59"/>
      <c r="IDC2" s="59"/>
      <c r="IDD2" s="59"/>
      <c r="IDE2" s="59"/>
      <c r="IDF2" s="59"/>
      <c r="IDG2" s="59"/>
      <c r="IDH2" s="59"/>
      <c r="IDI2" s="59"/>
      <c r="IDJ2" s="59"/>
      <c r="IDK2" s="59"/>
      <c r="IDL2" s="59"/>
      <c r="IDM2" s="59"/>
      <c r="IDN2" s="59"/>
      <c r="IDO2" s="59"/>
      <c r="IDP2" s="59"/>
      <c r="IDQ2" s="59"/>
      <c r="IDR2" s="59"/>
      <c r="IDS2" s="59"/>
      <c r="IDT2" s="59"/>
      <c r="IDU2" s="59"/>
      <c r="IDV2" s="59"/>
      <c r="IDW2" s="59"/>
      <c r="IDX2" s="59"/>
      <c r="IDY2" s="59"/>
      <c r="IDZ2" s="59"/>
      <c r="IEA2" s="59"/>
      <c r="IEB2" s="59"/>
      <c r="IEC2" s="59"/>
      <c r="IED2" s="59"/>
      <c r="IEE2" s="59"/>
      <c r="IEF2" s="59"/>
      <c r="IEG2" s="59"/>
      <c r="IEH2" s="59"/>
      <c r="IEI2" s="59"/>
      <c r="IEJ2" s="59"/>
      <c r="IEK2" s="59"/>
      <c r="IEL2" s="59"/>
      <c r="IEM2" s="59"/>
      <c r="IEN2" s="59"/>
      <c r="IEO2" s="59"/>
      <c r="IEP2" s="59"/>
      <c r="IEQ2" s="59"/>
      <c r="IER2" s="59"/>
      <c r="IES2" s="59"/>
      <c r="IET2" s="59"/>
      <c r="IEU2" s="59"/>
      <c r="IEV2" s="59"/>
      <c r="IEW2" s="59"/>
      <c r="IEX2" s="59"/>
      <c r="IEY2" s="59"/>
      <c r="IEZ2" s="59"/>
      <c r="IFA2" s="59"/>
      <c r="IFB2" s="59"/>
      <c r="IFC2" s="59"/>
      <c r="IFD2" s="59"/>
      <c r="IFE2" s="59"/>
      <c r="IFF2" s="59"/>
      <c r="IFG2" s="59"/>
      <c r="IFH2" s="59"/>
      <c r="IFI2" s="59"/>
      <c r="IFJ2" s="59"/>
      <c r="IFK2" s="59"/>
      <c r="IFL2" s="59"/>
      <c r="IFM2" s="59"/>
      <c r="IFN2" s="59"/>
      <c r="IFO2" s="59"/>
      <c r="IFP2" s="59"/>
      <c r="IFQ2" s="59"/>
      <c r="IFR2" s="59"/>
      <c r="IFS2" s="59"/>
      <c r="IFT2" s="59"/>
      <c r="IFU2" s="59"/>
      <c r="IFV2" s="59"/>
      <c r="IFW2" s="59"/>
      <c r="IFX2" s="59"/>
      <c r="IFY2" s="59"/>
      <c r="IFZ2" s="59"/>
      <c r="IGA2" s="59"/>
      <c r="IGB2" s="59"/>
      <c r="IGC2" s="59"/>
      <c r="IGD2" s="59"/>
      <c r="IGE2" s="59"/>
      <c r="IGF2" s="59"/>
      <c r="IGG2" s="59"/>
      <c r="IGH2" s="59"/>
      <c r="IGI2" s="59"/>
      <c r="IGJ2" s="59"/>
      <c r="IGK2" s="59"/>
      <c r="IGL2" s="59"/>
      <c r="IGM2" s="59"/>
      <c r="IGN2" s="59"/>
      <c r="IGO2" s="59"/>
      <c r="IGP2" s="59"/>
      <c r="IGQ2" s="59"/>
      <c r="IGR2" s="59"/>
      <c r="IGS2" s="59"/>
      <c r="IGT2" s="59"/>
      <c r="IGU2" s="59"/>
      <c r="IGV2" s="59"/>
      <c r="IGW2" s="59"/>
      <c r="IGX2" s="59"/>
      <c r="IGY2" s="59"/>
      <c r="IGZ2" s="59"/>
      <c r="IHA2" s="59"/>
      <c r="IHB2" s="59"/>
      <c r="IHC2" s="59"/>
      <c r="IHD2" s="59"/>
      <c r="IHE2" s="59"/>
      <c r="IHF2" s="59"/>
      <c r="IHG2" s="59"/>
      <c r="IHH2" s="59"/>
      <c r="IHI2" s="59"/>
      <c r="IHJ2" s="59"/>
      <c r="IHK2" s="59"/>
      <c r="IHL2" s="59"/>
      <c r="IHM2" s="59"/>
      <c r="IHN2" s="59"/>
      <c r="IHO2" s="59"/>
      <c r="IHP2" s="59"/>
      <c r="IHQ2" s="59"/>
      <c r="IHR2" s="59"/>
      <c r="IHS2" s="59"/>
      <c r="IHT2" s="59"/>
      <c r="IHU2" s="59"/>
      <c r="IHV2" s="59"/>
      <c r="IHW2" s="59"/>
      <c r="IHX2" s="59"/>
      <c r="IHY2" s="59"/>
      <c r="IHZ2" s="59"/>
      <c r="IIA2" s="59"/>
      <c r="IIB2" s="59"/>
      <c r="IIC2" s="59"/>
      <c r="IID2" s="59"/>
      <c r="IIE2" s="59"/>
      <c r="IIF2" s="59"/>
      <c r="IIG2" s="59"/>
      <c r="IIH2" s="59"/>
      <c r="III2" s="59"/>
      <c r="IIJ2" s="59"/>
      <c r="IIK2" s="59"/>
      <c r="IIL2" s="59"/>
      <c r="IIM2" s="59"/>
      <c r="IIN2" s="59"/>
      <c r="IIO2" s="59"/>
      <c r="IIP2" s="59"/>
      <c r="IIQ2" s="59"/>
      <c r="IIR2" s="59"/>
      <c r="IIS2" s="59"/>
      <c r="IIT2" s="59"/>
      <c r="IIU2" s="59"/>
      <c r="IIV2" s="59"/>
      <c r="IIW2" s="59"/>
      <c r="IIX2" s="59"/>
      <c r="IIY2" s="59"/>
      <c r="IIZ2" s="59"/>
      <c r="IJA2" s="59"/>
      <c r="IJB2" s="59"/>
      <c r="IJC2" s="59"/>
      <c r="IJD2" s="59"/>
      <c r="IJE2" s="59"/>
      <c r="IJF2" s="59"/>
      <c r="IJG2" s="59"/>
      <c r="IJH2" s="59"/>
      <c r="IJI2" s="59"/>
      <c r="IJJ2" s="59"/>
      <c r="IJK2" s="59"/>
      <c r="IJL2" s="59"/>
      <c r="IJM2" s="59"/>
      <c r="IJN2" s="59"/>
      <c r="IJO2" s="59"/>
      <c r="IJP2" s="59"/>
      <c r="IJQ2" s="59"/>
      <c r="IJR2" s="59"/>
      <c r="IJS2" s="59"/>
      <c r="IJT2" s="59"/>
      <c r="IJU2" s="59"/>
      <c r="IJV2" s="59"/>
      <c r="IJW2" s="59"/>
      <c r="IJX2" s="59"/>
      <c r="IJY2" s="59"/>
      <c r="IJZ2" s="59"/>
      <c r="IKA2" s="59"/>
      <c r="IKB2" s="59"/>
      <c r="IKC2" s="59"/>
      <c r="IKD2" s="59"/>
      <c r="IKE2" s="59"/>
      <c r="IKF2" s="59"/>
      <c r="IKG2" s="59"/>
      <c r="IKH2" s="59"/>
      <c r="IKI2" s="59"/>
      <c r="IKJ2" s="59"/>
      <c r="IKK2" s="59"/>
      <c r="IKL2" s="59"/>
      <c r="IKM2" s="59"/>
      <c r="IKN2" s="59"/>
      <c r="IKO2" s="59"/>
      <c r="IKP2" s="59"/>
      <c r="IKQ2" s="59"/>
      <c r="IKR2" s="59"/>
      <c r="IKS2" s="59"/>
      <c r="IKT2" s="59"/>
      <c r="IKU2" s="59"/>
      <c r="IKV2" s="59"/>
      <c r="IKW2" s="59"/>
      <c r="IKX2" s="59"/>
      <c r="IKY2" s="59"/>
      <c r="IKZ2" s="59"/>
      <c r="ILA2" s="59"/>
      <c r="ILB2" s="59"/>
      <c r="ILC2" s="59"/>
      <c r="ILD2" s="59"/>
      <c r="ILE2" s="59"/>
      <c r="ILF2" s="59"/>
      <c r="ILG2" s="59"/>
      <c r="ILH2" s="59"/>
      <c r="ILI2" s="59"/>
      <c r="ILJ2" s="59"/>
      <c r="ILK2" s="59"/>
      <c r="ILL2" s="59"/>
      <c r="ILM2" s="59"/>
      <c r="ILN2" s="59"/>
      <c r="ILO2" s="59"/>
      <c r="ILP2" s="59"/>
      <c r="ILQ2" s="59"/>
      <c r="ILR2" s="59"/>
      <c r="ILS2" s="59"/>
      <c r="ILT2" s="59"/>
      <c r="ILU2" s="59"/>
      <c r="ILV2" s="59"/>
      <c r="ILW2" s="59"/>
      <c r="ILX2" s="59"/>
      <c r="ILY2" s="59"/>
      <c r="ILZ2" s="59"/>
      <c r="IMA2" s="59"/>
      <c r="IMB2" s="59"/>
      <c r="IMC2" s="59"/>
      <c r="IMD2" s="59"/>
      <c r="IME2" s="59"/>
      <c r="IMF2" s="59"/>
      <c r="IMG2" s="59"/>
      <c r="IMH2" s="59"/>
      <c r="IMI2" s="59"/>
      <c r="IMJ2" s="59"/>
      <c r="IMK2" s="59"/>
      <c r="IML2" s="59"/>
      <c r="IMM2" s="59"/>
      <c r="IMN2" s="59"/>
      <c r="IMO2" s="59"/>
      <c r="IMP2" s="59"/>
      <c r="IMQ2" s="59"/>
      <c r="IMR2" s="59"/>
      <c r="IMS2" s="59"/>
      <c r="IMT2" s="59"/>
      <c r="IMU2" s="59"/>
      <c r="IMV2" s="59"/>
      <c r="IMW2" s="59"/>
      <c r="IMX2" s="59"/>
      <c r="IMY2" s="59"/>
      <c r="IMZ2" s="59"/>
      <c r="INA2" s="59"/>
      <c r="INB2" s="59"/>
      <c r="INC2" s="59"/>
      <c r="IND2" s="59"/>
      <c r="INE2" s="59"/>
      <c r="INF2" s="59"/>
      <c r="ING2" s="59"/>
      <c r="INH2" s="59"/>
      <c r="INI2" s="59"/>
      <c r="INJ2" s="59"/>
      <c r="INK2" s="59"/>
      <c r="INL2" s="59"/>
      <c r="INM2" s="59"/>
      <c r="INN2" s="59"/>
      <c r="INO2" s="59"/>
      <c r="INP2" s="59"/>
      <c r="INQ2" s="59"/>
      <c r="INR2" s="59"/>
      <c r="INS2" s="59"/>
      <c r="INT2" s="59"/>
      <c r="INU2" s="59"/>
      <c r="INV2" s="59"/>
      <c r="INW2" s="59"/>
      <c r="INX2" s="59"/>
      <c r="INY2" s="59"/>
      <c r="INZ2" s="59"/>
      <c r="IOA2" s="59"/>
      <c r="IOB2" s="59"/>
      <c r="IOC2" s="59"/>
      <c r="IOD2" s="59"/>
      <c r="IOE2" s="59"/>
      <c r="IOF2" s="59"/>
      <c r="IOG2" s="59"/>
      <c r="IOH2" s="59"/>
      <c r="IOI2" s="59"/>
      <c r="IOJ2" s="59"/>
      <c r="IOK2" s="59"/>
      <c r="IOL2" s="59"/>
      <c r="IOM2" s="59"/>
      <c r="ION2" s="59"/>
      <c r="IOO2" s="59"/>
      <c r="IOP2" s="59"/>
      <c r="IOQ2" s="59"/>
      <c r="IOR2" s="59"/>
      <c r="IOS2" s="59"/>
      <c r="IOT2" s="59"/>
      <c r="IOU2" s="59"/>
      <c r="IOV2" s="59"/>
      <c r="IOW2" s="59"/>
      <c r="IOX2" s="59"/>
      <c r="IOY2" s="59"/>
      <c r="IOZ2" s="59"/>
      <c r="IPA2" s="59"/>
      <c r="IPB2" s="59"/>
      <c r="IPC2" s="59"/>
      <c r="IPD2" s="59"/>
      <c r="IPE2" s="59"/>
      <c r="IPF2" s="59"/>
      <c r="IPG2" s="59"/>
      <c r="IPH2" s="59"/>
      <c r="IPI2" s="59"/>
      <c r="IPJ2" s="59"/>
      <c r="IPK2" s="59"/>
      <c r="IPL2" s="59"/>
      <c r="IPM2" s="59"/>
      <c r="IPN2" s="59"/>
      <c r="IPO2" s="59"/>
      <c r="IPP2" s="59"/>
      <c r="IPQ2" s="59"/>
      <c r="IPR2" s="59"/>
      <c r="IPS2" s="59"/>
      <c r="IPT2" s="59"/>
      <c r="IPU2" s="59"/>
      <c r="IPV2" s="59"/>
      <c r="IPW2" s="59"/>
      <c r="IPX2" s="59"/>
      <c r="IPY2" s="59"/>
      <c r="IPZ2" s="59"/>
      <c r="IQA2" s="59"/>
      <c r="IQB2" s="59"/>
      <c r="IQC2" s="59"/>
      <c r="IQD2" s="59"/>
      <c r="IQE2" s="59"/>
      <c r="IQF2" s="59"/>
      <c r="IQG2" s="59"/>
      <c r="IQH2" s="59"/>
      <c r="IQI2" s="59"/>
      <c r="IQJ2" s="59"/>
      <c r="IQK2" s="59"/>
      <c r="IQL2" s="59"/>
      <c r="IQM2" s="59"/>
      <c r="IQN2" s="59"/>
      <c r="IQO2" s="59"/>
      <c r="IQP2" s="59"/>
      <c r="IQQ2" s="59"/>
      <c r="IQR2" s="59"/>
      <c r="IQS2" s="59"/>
      <c r="IQT2" s="59"/>
      <c r="IQU2" s="59"/>
      <c r="IQV2" s="59"/>
      <c r="IQW2" s="59"/>
      <c r="IQX2" s="59"/>
      <c r="IQY2" s="59"/>
      <c r="IQZ2" s="59"/>
      <c r="IRA2" s="59"/>
      <c r="IRB2" s="59"/>
      <c r="IRC2" s="59"/>
      <c r="IRD2" s="59"/>
      <c r="IRE2" s="59"/>
      <c r="IRF2" s="59"/>
      <c r="IRG2" s="59"/>
      <c r="IRH2" s="59"/>
      <c r="IRI2" s="59"/>
      <c r="IRJ2" s="59"/>
      <c r="IRK2" s="59"/>
      <c r="IRL2" s="59"/>
      <c r="IRM2" s="59"/>
      <c r="IRN2" s="59"/>
      <c r="IRO2" s="59"/>
      <c r="IRP2" s="59"/>
      <c r="IRQ2" s="59"/>
      <c r="IRR2" s="59"/>
      <c r="IRS2" s="59"/>
      <c r="IRT2" s="59"/>
      <c r="IRU2" s="59"/>
      <c r="IRV2" s="59"/>
      <c r="IRW2" s="59"/>
      <c r="IRX2" s="59"/>
      <c r="IRY2" s="59"/>
      <c r="IRZ2" s="59"/>
      <c r="ISA2" s="59"/>
      <c r="ISB2" s="59"/>
      <c r="ISC2" s="59"/>
      <c r="ISD2" s="59"/>
      <c r="ISE2" s="59"/>
      <c r="ISF2" s="59"/>
      <c r="ISG2" s="59"/>
      <c r="ISH2" s="59"/>
      <c r="ISI2" s="59"/>
      <c r="ISJ2" s="59"/>
      <c r="ISK2" s="59"/>
      <c r="ISL2" s="59"/>
      <c r="ISM2" s="59"/>
      <c r="ISN2" s="59"/>
      <c r="ISO2" s="59"/>
      <c r="ISP2" s="59"/>
      <c r="ISQ2" s="59"/>
      <c r="ISR2" s="59"/>
      <c r="ISS2" s="59"/>
      <c r="IST2" s="59"/>
      <c r="ISU2" s="59"/>
      <c r="ISV2" s="59"/>
      <c r="ISW2" s="59"/>
      <c r="ISX2" s="59"/>
      <c r="ISY2" s="59"/>
      <c r="ISZ2" s="59"/>
      <c r="ITA2" s="59"/>
      <c r="ITB2" s="59"/>
      <c r="ITC2" s="59"/>
      <c r="ITD2" s="59"/>
      <c r="ITE2" s="59"/>
      <c r="ITF2" s="59"/>
      <c r="ITG2" s="59"/>
      <c r="ITH2" s="59"/>
      <c r="ITI2" s="59"/>
      <c r="ITJ2" s="59"/>
      <c r="ITK2" s="59"/>
      <c r="ITL2" s="59"/>
      <c r="ITM2" s="59"/>
      <c r="ITN2" s="59"/>
      <c r="ITO2" s="59"/>
      <c r="ITP2" s="59"/>
      <c r="ITQ2" s="59"/>
      <c r="ITR2" s="59"/>
      <c r="ITS2" s="59"/>
      <c r="ITT2" s="59"/>
      <c r="ITU2" s="59"/>
      <c r="ITV2" s="59"/>
      <c r="ITW2" s="59"/>
      <c r="ITX2" s="59"/>
      <c r="ITY2" s="59"/>
      <c r="ITZ2" s="59"/>
      <c r="IUA2" s="59"/>
      <c r="IUB2" s="59"/>
      <c r="IUC2" s="59"/>
      <c r="IUD2" s="59"/>
      <c r="IUE2" s="59"/>
      <c r="IUF2" s="59"/>
      <c r="IUG2" s="59"/>
      <c r="IUH2" s="59"/>
      <c r="IUI2" s="59"/>
      <c r="IUJ2" s="59"/>
      <c r="IUK2" s="59"/>
      <c r="IUL2" s="59"/>
      <c r="IUM2" s="59"/>
      <c r="IUN2" s="59"/>
      <c r="IUO2" s="59"/>
      <c r="IUP2" s="59"/>
      <c r="IUQ2" s="59"/>
      <c r="IUR2" s="59"/>
      <c r="IUS2" s="59"/>
      <c r="IUT2" s="59"/>
      <c r="IUU2" s="59"/>
      <c r="IUV2" s="59"/>
      <c r="IUW2" s="59"/>
      <c r="IUX2" s="59"/>
      <c r="IUY2" s="59"/>
      <c r="IUZ2" s="59"/>
      <c r="IVA2" s="59"/>
      <c r="IVB2" s="59"/>
      <c r="IVC2" s="59"/>
      <c r="IVD2" s="59"/>
      <c r="IVE2" s="59"/>
      <c r="IVF2" s="59"/>
      <c r="IVG2" s="59"/>
      <c r="IVH2" s="59"/>
      <c r="IVI2" s="59"/>
      <c r="IVJ2" s="59"/>
      <c r="IVK2" s="59"/>
      <c r="IVL2" s="59"/>
      <c r="IVM2" s="59"/>
      <c r="IVN2" s="59"/>
      <c r="IVO2" s="59"/>
      <c r="IVP2" s="59"/>
      <c r="IVQ2" s="59"/>
      <c r="IVR2" s="59"/>
      <c r="IVS2" s="59"/>
      <c r="IVT2" s="59"/>
      <c r="IVU2" s="59"/>
      <c r="IVV2" s="59"/>
      <c r="IVW2" s="59"/>
      <c r="IVX2" s="59"/>
      <c r="IVY2" s="59"/>
      <c r="IVZ2" s="59"/>
      <c r="IWA2" s="59"/>
      <c r="IWB2" s="59"/>
      <c r="IWC2" s="59"/>
      <c r="IWD2" s="59"/>
      <c r="IWE2" s="59"/>
      <c r="IWF2" s="59"/>
      <c r="IWG2" s="59"/>
      <c r="IWH2" s="59"/>
      <c r="IWI2" s="59"/>
      <c r="IWJ2" s="59"/>
      <c r="IWK2" s="59"/>
      <c r="IWL2" s="59"/>
      <c r="IWM2" s="59"/>
      <c r="IWN2" s="59"/>
      <c r="IWO2" s="59"/>
      <c r="IWP2" s="59"/>
      <c r="IWQ2" s="59"/>
      <c r="IWR2" s="59"/>
      <c r="IWS2" s="59"/>
      <c r="IWT2" s="59"/>
      <c r="IWU2" s="59"/>
      <c r="IWV2" s="59"/>
      <c r="IWW2" s="59"/>
      <c r="IWX2" s="59"/>
      <c r="IWY2" s="59"/>
      <c r="IWZ2" s="59"/>
      <c r="IXA2" s="59"/>
      <c r="IXB2" s="59"/>
      <c r="IXC2" s="59"/>
      <c r="IXD2" s="59"/>
      <c r="IXE2" s="59"/>
      <c r="IXF2" s="59"/>
      <c r="IXG2" s="59"/>
      <c r="IXH2" s="59"/>
      <c r="IXI2" s="59"/>
      <c r="IXJ2" s="59"/>
      <c r="IXK2" s="59"/>
      <c r="IXL2" s="59"/>
      <c r="IXM2" s="59"/>
      <c r="IXN2" s="59"/>
      <c r="IXO2" s="59"/>
      <c r="IXP2" s="59"/>
      <c r="IXQ2" s="59"/>
      <c r="IXR2" s="59"/>
      <c r="IXS2" s="59"/>
      <c r="IXT2" s="59"/>
      <c r="IXU2" s="59"/>
      <c r="IXV2" s="59"/>
      <c r="IXW2" s="59"/>
      <c r="IXX2" s="59"/>
      <c r="IXY2" s="59"/>
      <c r="IXZ2" s="59"/>
      <c r="IYA2" s="59"/>
      <c r="IYB2" s="59"/>
      <c r="IYC2" s="59"/>
      <c r="IYD2" s="59"/>
      <c r="IYE2" s="59"/>
      <c r="IYF2" s="59"/>
      <c r="IYG2" s="59"/>
      <c r="IYH2" s="59"/>
      <c r="IYI2" s="59"/>
      <c r="IYJ2" s="59"/>
      <c r="IYK2" s="59"/>
      <c r="IYL2" s="59"/>
      <c r="IYM2" s="59"/>
      <c r="IYN2" s="59"/>
      <c r="IYO2" s="59"/>
      <c r="IYP2" s="59"/>
      <c r="IYQ2" s="59"/>
      <c r="IYR2" s="59"/>
      <c r="IYS2" s="59"/>
      <c r="IYT2" s="59"/>
      <c r="IYU2" s="59"/>
      <c r="IYV2" s="59"/>
      <c r="IYW2" s="59"/>
      <c r="IYX2" s="59"/>
      <c r="IYY2" s="59"/>
      <c r="IYZ2" s="59"/>
      <c r="IZA2" s="59"/>
      <c r="IZB2" s="59"/>
      <c r="IZC2" s="59"/>
      <c r="IZD2" s="59"/>
      <c r="IZE2" s="59"/>
      <c r="IZF2" s="59"/>
      <c r="IZG2" s="59"/>
      <c r="IZH2" s="59"/>
      <c r="IZI2" s="59"/>
      <c r="IZJ2" s="59"/>
      <c r="IZK2" s="59"/>
      <c r="IZL2" s="59"/>
      <c r="IZM2" s="59"/>
      <c r="IZN2" s="59"/>
      <c r="IZO2" s="59"/>
      <c r="IZP2" s="59"/>
      <c r="IZQ2" s="59"/>
      <c r="IZR2" s="59"/>
      <c r="IZS2" s="59"/>
      <c r="IZT2" s="59"/>
      <c r="IZU2" s="59"/>
      <c r="IZV2" s="59"/>
      <c r="IZW2" s="59"/>
      <c r="IZX2" s="59"/>
      <c r="IZY2" s="59"/>
      <c r="IZZ2" s="59"/>
      <c r="JAA2" s="59"/>
      <c r="JAB2" s="59"/>
      <c r="JAC2" s="59"/>
      <c r="JAD2" s="59"/>
      <c r="JAE2" s="59"/>
      <c r="JAF2" s="59"/>
      <c r="JAG2" s="59"/>
      <c r="JAH2" s="59"/>
      <c r="JAI2" s="59"/>
      <c r="JAJ2" s="59"/>
      <c r="JAK2" s="59"/>
      <c r="JAL2" s="59"/>
      <c r="JAM2" s="59"/>
      <c r="JAN2" s="59"/>
      <c r="JAO2" s="59"/>
      <c r="JAP2" s="59"/>
      <c r="JAQ2" s="59"/>
      <c r="JAR2" s="59"/>
      <c r="JAS2" s="59"/>
      <c r="JAT2" s="59"/>
      <c r="JAU2" s="59"/>
      <c r="JAV2" s="59"/>
      <c r="JAW2" s="59"/>
      <c r="JAX2" s="59"/>
      <c r="JAY2" s="59"/>
      <c r="JAZ2" s="59"/>
      <c r="JBA2" s="59"/>
      <c r="JBB2" s="59"/>
      <c r="JBC2" s="59"/>
      <c r="JBD2" s="59"/>
      <c r="JBE2" s="59"/>
      <c r="JBF2" s="59"/>
      <c r="JBG2" s="59"/>
      <c r="JBH2" s="59"/>
      <c r="JBI2" s="59"/>
      <c r="JBJ2" s="59"/>
      <c r="JBK2" s="59"/>
      <c r="JBL2" s="59"/>
      <c r="JBM2" s="59"/>
      <c r="JBN2" s="59"/>
      <c r="JBO2" s="59"/>
      <c r="JBP2" s="59"/>
      <c r="JBQ2" s="59"/>
      <c r="JBR2" s="59"/>
      <c r="JBS2" s="59"/>
      <c r="JBT2" s="59"/>
      <c r="JBU2" s="59"/>
      <c r="JBV2" s="59"/>
      <c r="JBW2" s="59"/>
      <c r="JBX2" s="59"/>
      <c r="JBY2" s="59"/>
      <c r="JBZ2" s="59"/>
      <c r="JCA2" s="59"/>
      <c r="JCB2" s="59"/>
      <c r="JCC2" s="59"/>
      <c r="JCD2" s="59"/>
      <c r="JCE2" s="59"/>
      <c r="JCF2" s="59"/>
      <c r="JCG2" s="59"/>
      <c r="JCH2" s="59"/>
      <c r="JCI2" s="59"/>
      <c r="JCJ2" s="59"/>
      <c r="JCK2" s="59"/>
      <c r="JCL2" s="59"/>
      <c r="JCM2" s="59"/>
      <c r="JCN2" s="59"/>
      <c r="JCO2" s="59"/>
      <c r="JCP2" s="59"/>
      <c r="JCQ2" s="59"/>
      <c r="JCR2" s="59"/>
      <c r="JCS2" s="59"/>
      <c r="JCT2" s="59"/>
      <c r="JCU2" s="59"/>
      <c r="JCV2" s="59"/>
      <c r="JCW2" s="59"/>
      <c r="JCX2" s="59"/>
      <c r="JCY2" s="59"/>
      <c r="JCZ2" s="59"/>
      <c r="JDA2" s="59"/>
      <c r="JDB2" s="59"/>
      <c r="JDC2" s="59"/>
      <c r="JDD2" s="59"/>
      <c r="JDE2" s="59"/>
      <c r="JDF2" s="59"/>
      <c r="JDG2" s="59"/>
      <c r="JDH2" s="59"/>
      <c r="JDI2" s="59"/>
      <c r="JDJ2" s="59"/>
      <c r="JDK2" s="59"/>
      <c r="JDL2" s="59"/>
      <c r="JDM2" s="59"/>
      <c r="JDN2" s="59"/>
      <c r="JDO2" s="59"/>
      <c r="JDP2" s="59"/>
      <c r="JDQ2" s="59"/>
      <c r="JDR2" s="59"/>
      <c r="JDS2" s="59"/>
      <c r="JDT2" s="59"/>
      <c r="JDU2" s="59"/>
      <c r="JDV2" s="59"/>
      <c r="JDW2" s="59"/>
      <c r="JDX2" s="59"/>
      <c r="JDY2" s="59"/>
      <c r="JDZ2" s="59"/>
      <c r="JEA2" s="59"/>
      <c r="JEB2" s="59"/>
      <c r="JEC2" s="59"/>
      <c r="JED2" s="59"/>
      <c r="JEE2" s="59"/>
      <c r="JEF2" s="59"/>
      <c r="JEG2" s="59"/>
      <c r="JEH2" s="59"/>
      <c r="JEI2" s="59"/>
      <c r="JEJ2" s="59"/>
      <c r="JEK2" s="59"/>
      <c r="JEL2" s="59"/>
      <c r="JEM2" s="59"/>
      <c r="JEN2" s="59"/>
      <c r="JEO2" s="59"/>
      <c r="JEP2" s="59"/>
      <c r="JEQ2" s="59"/>
      <c r="JER2" s="59"/>
      <c r="JES2" s="59"/>
      <c r="JET2" s="59"/>
      <c r="JEU2" s="59"/>
      <c r="JEV2" s="59"/>
      <c r="JEW2" s="59"/>
      <c r="JEX2" s="59"/>
      <c r="JEY2" s="59"/>
      <c r="JEZ2" s="59"/>
      <c r="JFA2" s="59"/>
      <c r="JFB2" s="59"/>
      <c r="JFC2" s="59"/>
      <c r="JFD2" s="59"/>
      <c r="JFE2" s="59"/>
      <c r="JFF2" s="59"/>
      <c r="JFG2" s="59"/>
      <c r="JFH2" s="59"/>
      <c r="JFI2" s="59"/>
      <c r="JFJ2" s="59"/>
      <c r="JFK2" s="59"/>
      <c r="JFL2" s="59"/>
      <c r="JFM2" s="59"/>
      <c r="JFN2" s="59"/>
      <c r="JFO2" s="59"/>
      <c r="JFP2" s="59"/>
      <c r="JFQ2" s="59"/>
      <c r="JFR2" s="59"/>
      <c r="JFS2" s="59"/>
      <c r="JFT2" s="59"/>
      <c r="JFU2" s="59"/>
      <c r="JFV2" s="59"/>
      <c r="JFW2" s="59"/>
      <c r="JFX2" s="59"/>
      <c r="JFY2" s="59"/>
      <c r="JFZ2" s="59"/>
      <c r="JGA2" s="59"/>
      <c r="JGB2" s="59"/>
      <c r="JGC2" s="59"/>
      <c r="JGD2" s="59"/>
      <c r="JGE2" s="59"/>
      <c r="JGF2" s="59"/>
      <c r="JGG2" s="59"/>
      <c r="JGH2" s="59"/>
      <c r="JGI2" s="59"/>
      <c r="JGJ2" s="59"/>
      <c r="JGK2" s="59"/>
      <c r="JGL2" s="59"/>
      <c r="JGM2" s="59"/>
      <c r="JGN2" s="59"/>
      <c r="JGO2" s="59"/>
      <c r="JGP2" s="59"/>
      <c r="JGQ2" s="59"/>
      <c r="JGR2" s="59"/>
      <c r="JGS2" s="59"/>
      <c r="JGT2" s="59"/>
      <c r="JGU2" s="59"/>
      <c r="JGV2" s="59"/>
      <c r="JGW2" s="59"/>
      <c r="JGX2" s="59"/>
      <c r="JGY2" s="59"/>
      <c r="JGZ2" s="59"/>
      <c r="JHA2" s="59"/>
      <c r="JHB2" s="59"/>
      <c r="JHC2" s="59"/>
      <c r="JHD2" s="59"/>
      <c r="JHE2" s="59"/>
      <c r="JHF2" s="59"/>
      <c r="JHG2" s="59"/>
      <c r="JHH2" s="59"/>
      <c r="JHI2" s="59"/>
      <c r="JHJ2" s="59"/>
      <c r="JHK2" s="59"/>
      <c r="JHL2" s="59"/>
      <c r="JHM2" s="59"/>
      <c r="JHN2" s="59"/>
      <c r="JHO2" s="59"/>
      <c r="JHP2" s="59"/>
      <c r="JHQ2" s="59"/>
      <c r="JHR2" s="59"/>
      <c r="JHS2" s="59"/>
      <c r="JHT2" s="59"/>
      <c r="JHU2" s="59"/>
      <c r="JHV2" s="59"/>
      <c r="JHW2" s="59"/>
      <c r="JHX2" s="59"/>
      <c r="JHY2" s="59"/>
      <c r="JHZ2" s="59"/>
      <c r="JIA2" s="59"/>
      <c r="JIB2" s="59"/>
      <c r="JIC2" s="59"/>
      <c r="JID2" s="59"/>
      <c r="JIE2" s="59"/>
      <c r="JIF2" s="59"/>
      <c r="JIG2" s="59"/>
      <c r="JIH2" s="59"/>
      <c r="JII2" s="59"/>
      <c r="JIJ2" s="59"/>
      <c r="JIK2" s="59"/>
      <c r="JIL2" s="59"/>
      <c r="JIM2" s="59"/>
      <c r="JIN2" s="59"/>
      <c r="JIO2" s="59"/>
      <c r="JIP2" s="59"/>
      <c r="JIQ2" s="59"/>
      <c r="JIR2" s="59"/>
      <c r="JIS2" s="59"/>
      <c r="JIT2" s="59"/>
      <c r="JIU2" s="59"/>
      <c r="JIV2" s="59"/>
      <c r="JIW2" s="59"/>
      <c r="JIX2" s="59"/>
      <c r="JIY2" s="59"/>
      <c r="JIZ2" s="59"/>
      <c r="JJA2" s="59"/>
      <c r="JJB2" s="59"/>
      <c r="JJC2" s="59"/>
      <c r="JJD2" s="59"/>
      <c r="JJE2" s="59"/>
      <c r="JJF2" s="59"/>
      <c r="JJG2" s="59"/>
      <c r="JJH2" s="59"/>
      <c r="JJI2" s="59"/>
      <c r="JJJ2" s="59"/>
      <c r="JJK2" s="59"/>
      <c r="JJL2" s="59"/>
      <c r="JJM2" s="59"/>
      <c r="JJN2" s="59"/>
      <c r="JJO2" s="59"/>
      <c r="JJP2" s="59"/>
      <c r="JJQ2" s="59"/>
      <c r="JJR2" s="59"/>
      <c r="JJS2" s="59"/>
      <c r="JJT2" s="59"/>
      <c r="JJU2" s="59"/>
      <c r="JJV2" s="59"/>
      <c r="JJW2" s="59"/>
      <c r="JJX2" s="59"/>
      <c r="JJY2" s="59"/>
      <c r="JJZ2" s="59"/>
      <c r="JKA2" s="59"/>
      <c r="JKB2" s="59"/>
      <c r="JKC2" s="59"/>
      <c r="JKD2" s="59"/>
      <c r="JKE2" s="59"/>
      <c r="JKF2" s="59"/>
      <c r="JKG2" s="59"/>
      <c r="JKH2" s="59"/>
      <c r="JKI2" s="59"/>
      <c r="JKJ2" s="59"/>
      <c r="JKK2" s="59"/>
      <c r="JKL2" s="59"/>
      <c r="JKM2" s="59"/>
      <c r="JKN2" s="59"/>
      <c r="JKO2" s="59"/>
      <c r="JKP2" s="59"/>
      <c r="JKQ2" s="59"/>
      <c r="JKR2" s="59"/>
      <c r="JKS2" s="59"/>
      <c r="JKT2" s="59"/>
      <c r="JKU2" s="59"/>
      <c r="JKV2" s="59"/>
      <c r="JKW2" s="59"/>
      <c r="JKX2" s="59"/>
      <c r="JKY2" s="59"/>
      <c r="JKZ2" s="59"/>
      <c r="JLA2" s="59"/>
      <c r="JLB2" s="59"/>
      <c r="JLC2" s="59"/>
      <c r="JLD2" s="59"/>
      <c r="JLE2" s="59"/>
      <c r="JLF2" s="59"/>
      <c r="JLG2" s="59"/>
      <c r="JLH2" s="59"/>
      <c r="JLI2" s="59"/>
      <c r="JLJ2" s="59"/>
      <c r="JLK2" s="59"/>
      <c r="JLL2" s="59"/>
      <c r="JLM2" s="59"/>
      <c r="JLN2" s="59"/>
      <c r="JLO2" s="59"/>
      <c r="JLP2" s="59"/>
      <c r="JLQ2" s="59"/>
      <c r="JLR2" s="59"/>
      <c r="JLS2" s="59"/>
      <c r="JLT2" s="59"/>
      <c r="JLU2" s="59"/>
      <c r="JLV2" s="59"/>
      <c r="JLW2" s="59"/>
      <c r="JLX2" s="59"/>
      <c r="JLY2" s="59"/>
      <c r="JLZ2" s="59"/>
      <c r="JMA2" s="59"/>
      <c r="JMB2" s="59"/>
      <c r="JMC2" s="59"/>
      <c r="JMD2" s="59"/>
      <c r="JME2" s="59"/>
      <c r="JMF2" s="59"/>
      <c r="JMG2" s="59"/>
      <c r="JMH2" s="59"/>
      <c r="JMI2" s="59"/>
      <c r="JMJ2" s="59"/>
      <c r="JMK2" s="59"/>
      <c r="JML2" s="59"/>
      <c r="JMM2" s="59"/>
      <c r="JMN2" s="59"/>
      <c r="JMO2" s="59"/>
      <c r="JMP2" s="59"/>
      <c r="JMQ2" s="59"/>
      <c r="JMR2" s="59"/>
      <c r="JMS2" s="59"/>
      <c r="JMT2" s="59"/>
      <c r="JMU2" s="59"/>
      <c r="JMV2" s="59"/>
      <c r="JMW2" s="59"/>
      <c r="JMX2" s="59"/>
      <c r="JMY2" s="59"/>
      <c r="JMZ2" s="59"/>
      <c r="JNA2" s="59"/>
      <c r="JNB2" s="59"/>
      <c r="JNC2" s="59"/>
      <c r="JND2" s="59"/>
      <c r="JNE2" s="59"/>
      <c r="JNF2" s="59"/>
      <c r="JNG2" s="59"/>
      <c r="JNH2" s="59"/>
      <c r="JNI2" s="59"/>
      <c r="JNJ2" s="59"/>
      <c r="JNK2" s="59"/>
      <c r="JNL2" s="59"/>
      <c r="JNM2" s="59"/>
      <c r="JNN2" s="59"/>
      <c r="JNO2" s="59"/>
      <c r="JNP2" s="59"/>
      <c r="JNQ2" s="59"/>
      <c r="JNR2" s="59"/>
      <c r="JNS2" s="59"/>
      <c r="JNT2" s="59"/>
      <c r="JNU2" s="59"/>
      <c r="JNV2" s="59"/>
      <c r="JNW2" s="59"/>
      <c r="JNX2" s="59"/>
      <c r="JNY2" s="59"/>
      <c r="JNZ2" s="59"/>
      <c r="JOA2" s="59"/>
      <c r="JOB2" s="59"/>
      <c r="JOC2" s="59"/>
      <c r="JOD2" s="59"/>
      <c r="JOE2" s="59"/>
      <c r="JOF2" s="59"/>
      <c r="JOG2" s="59"/>
      <c r="JOH2" s="59"/>
      <c r="JOI2" s="59"/>
      <c r="JOJ2" s="59"/>
      <c r="JOK2" s="59"/>
      <c r="JOL2" s="59"/>
      <c r="JOM2" s="59"/>
      <c r="JON2" s="59"/>
      <c r="JOO2" s="59"/>
      <c r="JOP2" s="59"/>
      <c r="JOQ2" s="59"/>
      <c r="JOR2" s="59"/>
      <c r="JOS2" s="59"/>
      <c r="JOT2" s="59"/>
      <c r="JOU2" s="59"/>
      <c r="JOV2" s="59"/>
      <c r="JOW2" s="59"/>
      <c r="JOX2" s="59"/>
      <c r="JOY2" s="59"/>
      <c r="JOZ2" s="59"/>
      <c r="JPA2" s="59"/>
      <c r="JPB2" s="59"/>
      <c r="JPC2" s="59"/>
      <c r="JPD2" s="59"/>
      <c r="JPE2" s="59"/>
      <c r="JPF2" s="59"/>
      <c r="JPG2" s="59"/>
      <c r="JPH2" s="59"/>
      <c r="JPI2" s="59"/>
      <c r="JPJ2" s="59"/>
      <c r="JPK2" s="59"/>
      <c r="JPL2" s="59"/>
      <c r="JPM2" s="59"/>
      <c r="JPN2" s="59"/>
      <c r="JPO2" s="59"/>
      <c r="JPP2" s="59"/>
      <c r="JPQ2" s="59"/>
      <c r="JPR2" s="59"/>
      <c r="JPS2" s="59"/>
      <c r="JPT2" s="59"/>
      <c r="JPU2" s="59"/>
      <c r="JPV2" s="59"/>
      <c r="JPW2" s="59"/>
      <c r="JPX2" s="59"/>
      <c r="JPY2" s="59"/>
      <c r="JPZ2" s="59"/>
      <c r="JQA2" s="59"/>
      <c r="JQB2" s="59"/>
      <c r="JQC2" s="59"/>
      <c r="JQD2" s="59"/>
      <c r="JQE2" s="59"/>
      <c r="JQF2" s="59"/>
      <c r="JQG2" s="59"/>
      <c r="JQH2" s="59"/>
      <c r="JQI2" s="59"/>
      <c r="JQJ2" s="59"/>
      <c r="JQK2" s="59"/>
      <c r="JQL2" s="59"/>
      <c r="JQM2" s="59"/>
      <c r="JQN2" s="59"/>
      <c r="JQO2" s="59"/>
      <c r="JQP2" s="59"/>
      <c r="JQQ2" s="59"/>
      <c r="JQR2" s="59"/>
      <c r="JQS2" s="59"/>
      <c r="JQT2" s="59"/>
      <c r="JQU2" s="59"/>
      <c r="JQV2" s="59"/>
      <c r="JQW2" s="59"/>
      <c r="JQX2" s="59"/>
      <c r="JQY2" s="59"/>
      <c r="JQZ2" s="59"/>
      <c r="JRA2" s="59"/>
      <c r="JRB2" s="59"/>
      <c r="JRC2" s="59"/>
      <c r="JRD2" s="59"/>
      <c r="JRE2" s="59"/>
      <c r="JRF2" s="59"/>
      <c r="JRG2" s="59"/>
      <c r="JRH2" s="59"/>
      <c r="JRI2" s="59"/>
      <c r="JRJ2" s="59"/>
      <c r="JRK2" s="59"/>
      <c r="JRL2" s="59"/>
      <c r="JRM2" s="59"/>
      <c r="JRN2" s="59"/>
      <c r="JRO2" s="59"/>
      <c r="JRP2" s="59"/>
      <c r="JRQ2" s="59"/>
      <c r="JRR2" s="59"/>
      <c r="JRS2" s="59"/>
      <c r="JRT2" s="59"/>
      <c r="JRU2" s="59"/>
      <c r="JRV2" s="59"/>
      <c r="JRW2" s="59"/>
      <c r="JRX2" s="59"/>
      <c r="JRY2" s="59"/>
      <c r="JRZ2" s="59"/>
      <c r="JSA2" s="59"/>
      <c r="JSB2" s="59"/>
      <c r="JSC2" s="59"/>
      <c r="JSD2" s="59"/>
      <c r="JSE2" s="59"/>
      <c r="JSF2" s="59"/>
      <c r="JSG2" s="59"/>
      <c r="JSH2" s="59"/>
      <c r="JSI2" s="59"/>
      <c r="JSJ2" s="59"/>
      <c r="JSK2" s="59"/>
      <c r="JSL2" s="59"/>
      <c r="JSM2" s="59"/>
      <c r="JSN2" s="59"/>
      <c r="JSO2" s="59"/>
      <c r="JSP2" s="59"/>
      <c r="JSQ2" s="59"/>
      <c r="JSR2" s="59"/>
      <c r="JSS2" s="59"/>
      <c r="JST2" s="59"/>
      <c r="JSU2" s="59"/>
      <c r="JSV2" s="59"/>
      <c r="JSW2" s="59"/>
      <c r="JSX2" s="59"/>
      <c r="JSY2" s="59"/>
      <c r="JSZ2" s="59"/>
      <c r="JTA2" s="59"/>
      <c r="JTB2" s="59"/>
      <c r="JTC2" s="59"/>
      <c r="JTD2" s="59"/>
      <c r="JTE2" s="59"/>
      <c r="JTF2" s="59"/>
      <c r="JTG2" s="59"/>
      <c r="JTH2" s="59"/>
      <c r="JTI2" s="59"/>
      <c r="JTJ2" s="59"/>
      <c r="JTK2" s="59"/>
      <c r="JTL2" s="59"/>
      <c r="JTM2" s="59"/>
      <c r="JTN2" s="59"/>
      <c r="JTO2" s="59"/>
      <c r="JTP2" s="59"/>
      <c r="JTQ2" s="59"/>
      <c r="JTR2" s="59"/>
      <c r="JTS2" s="59"/>
      <c r="JTT2" s="59"/>
      <c r="JTU2" s="59"/>
      <c r="JTV2" s="59"/>
      <c r="JTW2" s="59"/>
      <c r="JTX2" s="59"/>
      <c r="JTY2" s="59"/>
      <c r="JTZ2" s="59"/>
      <c r="JUA2" s="59"/>
      <c r="JUB2" s="59"/>
      <c r="JUC2" s="59"/>
      <c r="JUD2" s="59"/>
      <c r="JUE2" s="59"/>
      <c r="JUF2" s="59"/>
      <c r="JUG2" s="59"/>
      <c r="JUH2" s="59"/>
      <c r="JUI2" s="59"/>
      <c r="JUJ2" s="59"/>
      <c r="JUK2" s="59"/>
      <c r="JUL2" s="59"/>
      <c r="JUM2" s="59"/>
      <c r="JUN2" s="59"/>
      <c r="JUO2" s="59"/>
      <c r="JUP2" s="59"/>
      <c r="JUQ2" s="59"/>
      <c r="JUR2" s="59"/>
      <c r="JUS2" s="59"/>
      <c r="JUT2" s="59"/>
      <c r="JUU2" s="59"/>
      <c r="JUV2" s="59"/>
      <c r="JUW2" s="59"/>
      <c r="JUX2" s="59"/>
      <c r="JUY2" s="59"/>
      <c r="JUZ2" s="59"/>
      <c r="JVA2" s="59"/>
      <c r="JVB2" s="59"/>
      <c r="JVC2" s="59"/>
      <c r="JVD2" s="59"/>
      <c r="JVE2" s="59"/>
      <c r="JVF2" s="59"/>
      <c r="JVG2" s="59"/>
      <c r="JVH2" s="59"/>
      <c r="JVI2" s="59"/>
      <c r="JVJ2" s="59"/>
      <c r="JVK2" s="59"/>
      <c r="JVL2" s="59"/>
      <c r="JVM2" s="59"/>
      <c r="JVN2" s="59"/>
      <c r="JVO2" s="59"/>
      <c r="JVP2" s="59"/>
      <c r="JVQ2" s="59"/>
      <c r="JVR2" s="59"/>
      <c r="JVS2" s="59"/>
      <c r="JVT2" s="59"/>
      <c r="JVU2" s="59"/>
      <c r="JVV2" s="59"/>
      <c r="JVW2" s="59"/>
      <c r="JVX2" s="59"/>
      <c r="JVY2" s="59"/>
      <c r="JVZ2" s="59"/>
      <c r="JWA2" s="59"/>
      <c r="JWB2" s="59"/>
      <c r="JWC2" s="59"/>
      <c r="JWD2" s="59"/>
      <c r="JWE2" s="59"/>
      <c r="JWF2" s="59"/>
      <c r="JWG2" s="59"/>
      <c r="JWH2" s="59"/>
      <c r="JWI2" s="59"/>
      <c r="JWJ2" s="59"/>
      <c r="JWK2" s="59"/>
      <c r="JWL2" s="59"/>
      <c r="JWM2" s="59"/>
      <c r="JWN2" s="59"/>
      <c r="JWO2" s="59"/>
      <c r="JWP2" s="59"/>
      <c r="JWQ2" s="59"/>
      <c r="JWR2" s="59"/>
      <c r="JWS2" s="59"/>
      <c r="JWT2" s="59"/>
      <c r="JWU2" s="59"/>
      <c r="JWV2" s="59"/>
      <c r="JWW2" s="59"/>
      <c r="JWX2" s="59"/>
      <c r="JWY2" s="59"/>
      <c r="JWZ2" s="59"/>
      <c r="JXA2" s="59"/>
      <c r="JXB2" s="59"/>
      <c r="JXC2" s="59"/>
      <c r="JXD2" s="59"/>
      <c r="JXE2" s="59"/>
      <c r="JXF2" s="59"/>
      <c r="JXG2" s="59"/>
      <c r="JXH2" s="59"/>
      <c r="JXI2" s="59"/>
      <c r="JXJ2" s="59"/>
      <c r="JXK2" s="59"/>
      <c r="JXL2" s="59"/>
      <c r="JXM2" s="59"/>
      <c r="JXN2" s="59"/>
      <c r="JXO2" s="59"/>
      <c r="JXP2" s="59"/>
      <c r="JXQ2" s="59"/>
      <c r="JXR2" s="59"/>
      <c r="JXS2" s="59"/>
      <c r="JXT2" s="59"/>
      <c r="JXU2" s="59"/>
      <c r="JXV2" s="59"/>
      <c r="JXW2" s="59"/>
      <c r="JXX2" s="59"/>
      <c r="JXY2" s="59"/>
      <c r="JXZ2" s="59"/>
      <c r="JYA2" s="59"/>
      <c r="JYB2" s="59"/>
      <c r="JYC2" s="59"/>
      <c r="JYD2" s="59"/>
      <c r="JYE2" s="59"/>
      <c r="JYF2" s="59"/>
      <c r="JYG2" s="59"/>
      <c r="JYH2" s="59"/>
      <c r="JYI2" s="59"/>
      <c r="JYJ2" s="59"/>
      <c r="JYK2" s="59"/>
      <c r="JYL2" s="59"/>
      <c r="JYM2" s="59"/>
      <c r="JYN2" s="59"/>
      <c r="JYO2" s="59"/>
      <c r="JYP2" s="59"/>
      <c r="JYQ2" s="59"/>
      <c r="JYR2" s="59"/>
      <c r="JYS2" s="59"/>
      <c r="JYT2" s="59"/>
      <c r="JYU2" s="59"/>
      <c r="JYV2" s="59"/>
      <c r="JYW2" s="59"/>
      <c r="JYX2" s="59"/>
      <c r="JYY2" s="59"/>
      <c r="JYZ2" s="59"/>
      <c r="JZA2" s="59"/>
      <c r="JZB2" s="59"/>
      <c r="JZC2" s="59"/>
      <c r="JZD2" s="59"/>
      <c r="JZE2" s="59"/>
      <c r="JZF2" s="59"/>
      <c r="JZG2" s="59"/>
      <c r="JZH2" s="59"/>
      <c r="JZI2" s="59"/>
      <c r="JZJ2" s="59"/>
      <c r="JZK2" s="59"/>
      <c r="JZL2" s="59"/>
      <c r="JZM2" s="59"/>
      <c r="JZN2" s="59"/>
      <c r="JZO2" s="59"/>
      <c r="JZP2" s="59"/>
      <c r="JZQ2" s="59"/>
      <c r="JZR2" s="59"/>
      <c r="JZS2" s="59"/>
      <c r="JZT2" s="59"/>
      <c r="JZU2" s="59"/>
      <c r="JZV2" s="59"/>
      <c r="JZW2" s="59"/>
      <c r="JZX2" s="59"/>
      <c r="JZY2" s="59"/>
      <c r="JZZ2" s="59"/>
      <c r="KAA2" s="59"/>
      <c r="KAB2" s="59"/>
      <c r="KAC2" s="59"/>
      <c r="KAD2" s="59"/>
      <c r="KAE2" s="59"/>
      <c r="KAF2" s="59"/>
      <c r="KAG2" s="59"/>
      <c r="KAH2" s="59"/>
      <c r="KAI2" s="59"/>
      <c r="KAJ2" s="59"/>
      <c r="KAK2" s="59"/>
      <c r="KAL2" s="59"/>
      <c r="KAM2" s="59"/>
      <c r="KAN2" s="59"/>
      <c r="KAO2" s="59"/>
      <c r="KAP2" s="59"/>
      <c r="KAQ2" s="59"/>
      <c r="KAR2" s="59"/>
      <c r="KAS2" s="59"/>
      <c r="KAT2" s="59"/>
      <c r="KAU2" s="59"/>
      <c r="KAV2" s="59"/>
      <c r="KAW2" s="59"/>
      <c r="KAX2" s="59"/>
      <c r="KAY2" s="59"/>
      <c r="KAZ2" s="59"/>
      <c r="KBA2" s="59"/>
      <c r="KBB2" s="59"/>
      <c r="KBC2" s="59"/>
      <c r="KBD2" s="59"/>
      <c r="KBE2" s="59"/>
      <c r="KBF2" s="59"/>
      <c r="KBG2" s="59"/>
      <c r="KBH2" s="59"/>
      <c r="KBI2" s="59"/>
      <c r="KBJ2" s="59"/>
      <c r="KBK2" s="59"/>
      <c r="KBL2" s="59"/>
      <c r="KBM2" s="59"/>
      <c r="KBN2" s="59"/>
      <c r="KBO2" s="59"/>
      <c r="KBP2" s="59"/>
      <c r="KBQ2" s="59"/>
      <c r="KBR2" s="59"/>
      <c r="KBS2" s="59"/>
      <c r="KBT2" s="59"/>
      <c r="KBU2" s="59"/>
      <c r="KBV2" s="59"/>
      <c r="KBW2" s="59"/>
      <c r="KBX2" s="59"/>
      <c r="KBY2" s="59"/>
      <c r="KBZ2" s="59"/>
      <c r="KCA2" s="59"/>
      <c r="KCB2" s="59"/>
      <c r="KCC2" s="59"/>
      <c r="KCD2" s="59"/>
      <c r="KCE2" s="59"/>
      <c r="KCF2" s="59"/>
      <c r="KCG2" s="59"/>
      <c r="KCH2" s="59"/>
      <c r="KCI2" s="59"/>
      <c r="KCJ2" s="59"/>
      <c r="KCK2" s="59"/>
      <c r="KCL2" s="59"/>
      <c r="KCM2" s="59"/>
      <c r="KCN2" s="59"/>
      <c r="KCO2" s="59"/>
      <c r="KCP2" s="59"/>
      <c r="KCQ2" s="59"/>
      <c r="KCR2" s="59"/>
      <c r="KCS2" s="59"/>
      <c r="KCT2" s="59"/>
      <c r="KCU2" s="59"/>
      <c r="KCV2" s="59"/>
      <c r="KCW2" s="59"/>
      <c r="KCX2" s="59"/>
      <c r="KCY2" s="59"/>
      <c r="KCZ2" s="59"/>
      <c r="KDA2" s="59"/>
      <c r="KDB2" s="59"/>
      <c r="KDC2" s="59"/>
      <c r="KDD2" s="59"/>
      <c r="KDE2" s="59"/>
      <c r="KDF2" s="59"/>
      <c r="KDG2" s="59"/>
      <c r="KDH2" s="59"/>
      <c r="KDI2" s="59"/>
      <c r="KDJ2" s="59"/>
      <c r="KDK2" s="59"/>
      <c r="KDL2" s="59"/>
      <c r="KDM2" s="59"/>
      <c r="KDN2" s="59"/>
      <c r="KDO2" s="59"/>
      <c r="KDP2" s="59"/>
      <c r="KDQ2" s="59"/>
      <c r="KDR2" s="59"/>
      <c r="KDS2" s="59"/>
      <c r="KDT2" s="59"/>
      <c r="KDU2" s="59"/>
      <c r="KDV2" s="59"/>
      <c r="KDW2" s="59"/>
      <c r="KDX2" s="59"/>
      <c r="KDY2" s="59"/>
      <c r="KDZ2" s="59"/>
      <c r="KEA2" s="59"/>
      <c r="KEB2" s="59"/>
      <c r="KEC2" s="59"/>
      <c r="KED2" s="59"/>
      <c r="KEE2" s="59"/>
      <c r="KEF2" s="59"/>
      <c r="KEG2" s="59"/>
      <c r="KEH2" s="59"/>
      <c r="KEI2" s="59"/>
      <c r="KEJ2" s="59"/>
      <c r="KEK2" s="59"/>
      <c r="KEL2" s="59"/>
      <c r="KEM2" s="59"/>
      <c r="KEN2" s="59"/>
      <c r="KEO2" s="59"/>
      <c r="KEP2" s="59"/>
      <c r="KEQ2" s="59"/>
      <c r="KER2" s="59"/>
      <c r="KES2" s="59"/>
      <c r="KET2" s="59"/>
      <c r="KEU2" s="59"/>
      <c r="KEV2" s="59"/>
      <c r="KEW2" s="59"/>
      <c r="KEX2" s="59"/>
      <c r="KEY2" s="59"/>
      <c r="KEZ2" s="59"/>
      <c r="KFA2" s="59"/>
      <c r="KFB2" s="59"/>
      <c r="KFC2" s="59"/>
      <c r="KFD2" s="59"/>
      <c r="KFE2" s="59"/>
      <c r="KFF2" s="59"/>
      <c r="KFG2" s="59"/>
      <c r="KFH2" s="59"/>
      <c r="KFI2" s="59"/>
      <c r="KFJ2" s="59"/>
      <c r="KFK2" s="59"/>
      <c r="KFL2" s="59"/>
      <c r="KFM2" s="59"/>
      <c r="KFN2" s="59"/>
      <c r="KFO2" s="59"/>
      <c r="KFP2" s="59"/>
      <c r="KFQ2" s="59"/>
      <c r="KFR2" s="59"/>
      <c r="KFS2" s="59"/>
      <c r="KFT2" s="59"/>
      <c r="KFU2" s="59"/>
      <c r="KFV2" s="59"/>
      <c r="KFW2" s="59"/>
      <c r="KFX2" s="59"/>
      <c r="KFY2" s="59"/>
      <c r="KFZ2" s="59"/>
      <c r="KGA2" s="59"/>
      <c r="KGB2" s="59"/>
      <c r="KGC2" s="59"/>
      <c r="KGD2" s="59"/>
      <c r="KGE2" s="59"/>
      <c r="KGF2" s="59"/>
      <c r="KGG2" s="59"/>
      <c r="KGH2" s="59"/>
      <c r="KGI2" s="59"/>
      <c r="KGJ2" s="59"/>
      <c r="KGK2" s="59"/>
      <c r="KGL2" s="59"/>
      <c r="KGM2" s="59"/>
      <c r="KGN2" s="59"/>
      <c r="KGO2" s="59"/>
      <c r="KGP2" s="59"/>
      <c r="KGQ2" s="59"/>
      <c r="KGR2" s="59"/>
      <c r="KGS2" s="59"/>
      <c r="KGT2" s="59"/>
      <c r="KGU2" s="59"/>
      <c r="KGV2" s="59"/>
      <c r="KGW2" s="59"/>
      <c r="KGX2" s="59"/>
      <c r="KGY2" s="59"/>
      <c r="KGZ2" s="59"/>
      <c r="KHA2" s="59"/>
      <c r="KHB2" s="59"/>
      <c r="KHC2" s="59"/>
      <c r="KHD2" s="59"/>
      <c r="KHE2" s="59"/>
      <c r="KHF2" s="59"/>
      <c r="KHG2" s="59"/>
      <c r="KHH2" s="59"/>
      <c r="KHI2" s="59"/>
      <c r="KHJ2" s="59"/>
      <c r="KHK2" s="59"/>
      <c r="KHL2" s="59"/>
      <c r="KHM2" s="59"/>
      <c r="KHN2" s="59"/>
      <c r="KHO2" s="59"/>
      <c r="KHP2" s="59"/>
      <c r="KHQ2" s="59"/>
      <c r="KHR2" s="59"/>
      <c r="KHS2" s="59"/>
      <c r="KHT2" s="59"/>
      <c r="KHU2" s="59"/>
      <c r="KHV2" s="59"/>
      <c r="KHW2" s="59"/>
      <c r="KHX2" s="59"/>
      <c r="KHY2" s="59"/>
      <c r="KHZ2" s="59"/>
      <c r="KIA2" s="59"/>
      <c r="KIB2" s="59"/>
      <c r="KIC2" s="59"/>
      <c r="KID2" s="59"/>
      <c r="KIE2" s="59"/>
      <c r="KIF2" s="59"/>
      <c r="KIG2" s="59"/>
      <c r="KIH2" s="59"/>
      <c r="KII2" s="59"/>
      <c r="KIJ2" s="59"/>
      <c r="KIK2" s="59"/>
      <c r="KIL2" s="59"/>
      <c r="KIM2" s="59"/>
      <c r="KIN2" s="59"/>
      <c r="KIO2" s="59"/>
      <c r="KIP2" s="59"/>
      <c r="KIQ2" s="59"/>
      <c r="KIR2" s="59"/>
      <c r="KIS2" s="59"/>
      <c r="KIT2" s="59"/>
      <c r="KIU2" s="59"/>
      <c r="KIV2" s="59"/>
      <c r="KIW2" s="59"/>
      <c r="KIX2" s="59"/>
      <c r="KIY2" s="59"/>
      <c r="KIZ2" s="59"/>
      <c r="KJA2" s="59"/>
      <c r="KJB2" s="59"/>
      <c r="KJC2" s="59"/>
      <c r="KJD2" s="59"/>
      <c r="KJE2" s="59"/>
      <c r="KJF2" s="59"/>
      <c r="KJG2" s="59"/>
      <c r="KJH2" s="59"/>
      <c r="KJI2" s="59"/>
      <c r="KJJ2" s="59"/>
      <c r="KJK2" s="59"/>
      <c r="KJL2" s="59"/>
      <c r="KJM2" s="59"/>
      <c r="KJN2" s="59"/>
      <c r="KJO2" s="59"/>
      <c r="KJP2" s="59"/>
      <c r="KJQ2" s="59"/>
      <c r="KJR2" s="59"/>
      <c r="KJS2" s="59"/>
      <c r="KJT2" s="59"/>
      <c r="KJU2" s="59"/>
      <c r="KJV2" s="59"/>
      <c r="KJW2" s="59"/>
      <c r="KJX2" s="59"/>
      <c r="KJY2" s="59"/>
      <c r="KJZ2" s="59"/>
      <c r="KKA2" s="59"/>
      <c r="KKB2" s="59"/>
      <c r="KKC2" s="59"/>
      <c r="KKD2" s="59"/>
      <c r="KKE2" s="59"/>
      <c r="KKF2" s="59"/>
      <c r="KKG2" s="59"/>
      <c r="KKH2" s="59"/>
      <c r="KKI2" s="59"/>
      <c r="KKJ2" s="59"/>
      <c r="KKK2" s="59"/>
      <c r="KKL2" s="59"/>
      <c r="KKM2" s="59"/>
      <c r="KKN2" s="59"/>
      <c r="KKO2" s="59"/>
      <c r="KKP2" s="59"/>
      <c r="KKQ2" s="59"/>
      <c r="KKR2" s="59"/>
      <c r="KKS2" s="59"/>
      <c r="KKT2" s="59"/>
      <c r="KKU2" s="59"/>
      <c r="KKV2" s="59"/>
      <c r="KKW2" s="59"/>
      <c r="KKX2" s="59"/>
      <c r="KKY2" s="59"/>
      <c r="KKZ2" s="59"/>
      <c r="KLA2" s="59"/>
      <c r="KLB2" s="59"/>
      <c r="KLC2" s="59"/>
      <c r="KLD2" s="59"/>
      <c r="KLE2" s="59"/>
      <c r="KLF2" s="59"/>
      <c r="KLG2" s="59"/>
      <c r="KLH2" s="59"/>
      <c r="KLI2" s="59"/>
      <c r="KLJ2" s="59"/>
      <c r="KLK2" s="59"/>
      <c r="KLL2" s="59"/>
      <c r="KLM2" s="59"/>
      <c r="KLN2" s="59"/>
      <c r="KLO2" s="59"/>
      <c r="KLP2" s="59"/>
      <c r="KLQ2" s="59"/>
      <c r="KLR2" s="59"/>
      <c r="KLS2" s="59"/>
      <c r="KLT2" s="59"/>
      <c r="KLU2" s="59"/>
      <c r="KLV2" s="59"/>
      <c r="KLW2" s="59"/>
      <c r="KLX2" s="59"/>
      <c r="KLY2" s="59"/>
      <c r="KLZ2" s="59"/>
      <c r="KMA2" s="59"/>
      <c r="KMB2" s="59"/>
      <c r="KMC2" s="59"/>
      <c r="KMD2" s="59"/>
      <c r="KME2" s="59"/>
      <c r="KMF2" s="59"/>
      <c r="KMG2" s="59"/>
      <c r="KMH2" s="59"/>
      <c r="KMI2" s="59"/>
      <c r="KMJ2" s="59"/>
      <c r="KMK2" s="59"/>
      <c r="KML2" s="59"/>
      <c r="KMM2" s="59"/>
      <c r="KMN2" s="59"/>
      <c r="KMO2" s="59"/>
      <c r="KMP2" s="59"/>
      <c r="KMQ2" s="59"/>
      <c r="KMR2" s="59"/>
      <c r="KMS2" s="59"/>
      <c r="KMT2" s="59"/>
      <c r="KMU2" s="59"/>
      <c r="KMV2" s="59"/>
      <c r="KMW2" s="59"/>
      <c r="KMX2" s="59"/>
      <c r="KMY2" s="59"/>
      <c r="KMZ2" s="59"/>
      <c r="KNA2" s="59"/>
      <c r="KNB2" s="59"/>
      <c r="KNC2" s="59"/>
      <c r="KND2" s="59"/>
      <c r="KNE2" s="59"/>
      <c r="KNF2" s="59"/>
      <c r="KNG2" s="59"/>
      <c r="KNH2" s="59"/>
      <c r="KNI2" s="59"/>
      <c r="KNJ2" s="59"/>
      <c r="KNK2" s="59"/>
      <c r="KNL2" s="59"/>
      <c r="KNM2" s="59"/>
      <c r="KNN2" s="59"/>
      <c r="KNO2" s="59"/>
      <c r="KNP2" s="59"/>
      <c r="KNQ2" s="59"/>
      <c r="KNR2" s="59"/>
      <c r="KNS2" s="59"/>
      <c r="KNT2" s="59"/>
      <c r="KNU2" s="59"/>
      <c r="KNV2" s="59"/>
      <c r="KNW2" s="59"/>
      <c r="KNX2" s="59"/>
      <c r="KNY2" s="59"/>
      <c r="KNZ2" s="59"/>
      <c r="KOA2" s="59"/>
      <c r="KOB2" s="59"/>
      <c r="KOC2" s="59"/>
      <c r="KOD2" s="59"/>
      <c r="KOE2" s="59"/>
      <c r="KOF2" s="59"/>
      <c r="KOG2" s="59"/>
      <c r="KOH2" s="59"/>
      <c r="KOI2" s="59"/>
      <c r="KOJ2" s="59"/>
      <c r="KOK2" s="59"/>
      <c r="KOL2" s="59"/>
      <c r="KOM2" s="59"/>
      <c r="KON2" s="59"/>
      <c r="KOO2" s="59"/>
      <c r="KOP2" s="59"/>
      <c r="KOQ2" s="59"/>
      <c r="KOR2" s="59"/>
      <c r="KOS2" s="59"/>
      <c r="KOT2" s="59"/>
      <c r="KOU2" s="59"/>
      <c r="KOV2" s="59"/>
      <c r="KOW2" s="59"/>
      <c r="KOX2" s="59"/>
      <c r="KOY2" s="59"/>
      <c r="KOZ2" s="59"/>
      <c r="KPA2" s="59"/>
      <c r="KPB2" s="59"/>
      <c r="KPC2" s="59"/>
      <c r="KPD2" s="59"/>
      <c r="KPE2" s="59"/>
      <c r="KPF2" s="59"/>
      <c r="KPG2" s="59"/>
      <c r="KPH2" s="59"/>
      <c r="KPI2" s="59"/>
      <c r="KPJ2" s="59"/>
      <c r="KPK2" s="59"/>
      <c r="KPL2" s="59"/>
      <c r="KPM2" s="59"/>
      <c r="KPN2" s="59"/>
      <c r="KPO2" s="59"/>
      <c r="KPP2" s="59"/>
      <c r="KPQ2" s="59"/>
      <c r="KPR2" s="59"/>
      <c r="KPS2" s="59"/>
      <c r="KPT2" s="59"/>
      <c r="KPU2" s="59"/>
      <c r="KPV2" s="59"/>
      <c r="KPW2" s="59"/>
      <c r="KPX2" s="59"/>
      <c r="KPY2" s="59"/>
      <c r="KPZ2" s="59"/>
      <c r="KQA2" s="59"/>
      <c r="KQB2" s="59"/>
      <c r="KQC2" s="59"/>
      <c r="KQD2" s="59"/>
      <c r="KQE2" s="59"/>
      <c r="KQF2" s="59"/>
      <c r="KQG2" s="59"/>
      <c r="KQH2" s="59"/>
      <c r="KQI2" s="59"/>
      <c r="KQJ2" s="59"/>
      <c r="KQK2" s="59"/>
      <c r="KQL2" s="59"/>
      <c r="KQM2" s="59"/>
      <c r="KQN2" s="59"/>
      <c r="KQO2" s="59"/>
      <c r="KQP2" s="59"/>
      <c r="KQQ2" s="59"/>
      <c r="KQR2" s="59"/>
      <c r="KQS2" s="59"/>
      <c r="KQT2" s="59"/>
      <c r="KQU2" s="59"/>
      <c r="KQV2" s="59"/>
      <c r="KQW2" s="59"/>
      <c r="KQX2" s="59"/>
      <c r="KQY2" s="59"/>
      <c r="KQZ2" s="59"/>
      <c r="KRA2" s="59"/>
      <c r="KRB2" s="59"/>
      <c r="KRC2" s="59"/>
      <c r="KRD2" s="59"/>
      <c r="KRE2" s="59"/>
      <c r="KRF2" s="59"/>
      <c r="KRG2" s="59"/>
      <c r="KRH2" s="59"/>
      <c r="KRI2" s="59"/>
      <c r="KRJ2" s="59"/>
      <c r="KRK2" s="59"/>
      <c r="KRL2" s="59"/>
      <c r="KRM2" s="59"/>
      <c r="KRN2" s="59"/>
      <c r="KRO2" s="59"/>
      <c r="KRP2" s="59"/>
      <c r="KRQ2" s="59"/>
      <c r="KRR2" s="59"/>
      <c r="KRS2" s="59"/>
      <c r="KRT2" s="59"/>
      <c r="KRU2" s="59"/>
      <c r="KRV2" s="59"/>
      <c r="KRW2" s="59"/>
      <c r="KRX2" s="59"/>
      <c r="KRY2" s="59"/>
      <c r="KRZ2" s="59"/>
      <c r="KSA2" s="59"/>
      <c r="KSB2" s="59"/>
      <c r="KSC2" s="59"/>
      <c r="KSD2" s="59"/>
      <c r="KSE2" s="59"/>
      <c r="KSF2" s="59"/>
      <c r="KSG2" s="59"/>
      <c r="KSH2" s="59"/>
      <c r="KSI2" s="59"/>
      <c r="KSJ2" s="59"/>
      <c r="KSK2" s="59"/>
      <c r="KSL2" s="59"/>
      <c r="KSM2" s="59"/>
      <c r="KSN2" s="59"/>
      <c r="KSO2" s="59"/>
      <c r="KSP2" s="59"/>
      <c r="KSQ2" s="59"/>
      <c r="KSR2" s="59"/>
      <c r="KSS2" s="59"/>
      <c r="KST2" s="59"/>
      <c r="KSU2" s="59"/>
      <c r="KSV2" s="59"/>
      <c r="KSW2" s="59"/>
      <c r="KSX2" s="59"/>
      <c r="KSY2" s="59"/>
      <c r="KSZ2" s="59"/>
      <c r="KTA2" s="59"/>
      <c r="KTB2" s="59"/>
      <c r="KTC2" s="59"/>
      <c r="KTD2" s="59"/>
      <c r="KTE2" s="59"/>
      <c r="KTF2" s="59"/>
      <c r="KTG2" s="59"/>
      <c r="KTH2" s="59"/>
      <c r="KTI2" s="59"/>
      <c r="KTJ2" s="59"/>
      <c r="KTK2" s="59"/>
      <c r="KTL2" s="59"/>
      <c r="KTM2" s="59"/>
      <c r="KTN2" s="59"/>
      <c r="KTO2" s="59"/>
      <c r="KTP2" s="59"/>
      <c r="KTQ2" s="59"/>
      <c r="KTR2" s="59"/>
      <c r="KTS2" s="59"/>
      <c r="KTT2" s="59"/>
      <c r="KTU2" s="59"/>
      <c r="KTV2" s="59"/>
      <c r="KTW2" s="59"/>
      <c r="KTX2" s="59"/>
      <c r="KTY2" s="59"/>
      <c r="KTZ2" s="59"/>
      <c r="KUA2" s="59"/>
      <c r="KUB2" s="59"/>
      <c r="KUC2" s="59"/>
      <c r="KUD2" s="59"/>
      <c r="KUE2" s="59"/>
      <c r="KUF2" s="59"/>
      <c r="KUG2" s="59"/>
      <c r="KUH2" s="59"/>
      <c r="KUI2" s="59"/>
      <c r="KUJ2" s="59"/>
      <c r="KUK2" s="59"/>
      <c r="KUL2" s="59"/>
      <c r="KUM2" s="59"/>
      <c r="KUN2" s="59"/>
      <c r="KUO2" s="59"/>
      <c r="KUP2" s="59"/>
      <c r="KUQ2" s="59"/>
      <c r="KUR2" s="59"/>
      <c r="KUS2" s="59"/>
      <c r="KUT2" s="59"/>
      <c r="KUU2" s="59"/>
      <c r="KUV2" s="59"/>
      <c r="KUW2" s="59"/>
      <c r="KUX2" s="59"/>
      <c r="KUY2" s="59"/>
      <c r="KUZ2" s="59"/>
      <c r="KVA2" s="59"/>
      <c r="KVB2" s="59"/>
      <c r="KVC2" s="59"/>
      <c r="KVD2" s="59"/>
      <c r="KVE2" s="59"/>
      <c r="KVF2" s="59"/>
      <c r="KVG2" s="59"/>
      <c r="KVH2" s="59"/>
      <c r="KVI2" s="59"/>
      <c r="KVJ2" s="59"/>
      <c r="KVK2" s="59"/>
      <c r="KVL2" s="59"/>
      <c r="KVM2" s="59"/>
      <c r="KVN2" s="59"/>
      <c r="KVO2" s="59"/>
      <c r="KVP2" s="59"/>
      <c r="KVQ2" s="59"/>
      <c r="KVR2" s="59"/>
      <c r="KVS2" s="59"/>
      <c r="KVT2" s="59"/>
      <c r="KVU2" s="59"/>
      <c r="KVV2" s="59"/>
      <c r="KVW2" s="59"/>
      <c r="KVX2" s="59"/>
      <c r="KVY2" s="59"/>
      <c r="KVZ2" s="59"/>
      <c r="KWA2" s="59"/>
      <c r="KWB2" s="59"/>
      <c r="KWC2" s="59"/>
      <c r="KWD2" s="59"/>
      <c r="KWE2" s="59"/>
      <c r="KWF2" s="59"/>
      <c r="KWG2" s="59"/>
      <c r="KWH2" s="59"/>
      <c r="KWI2" s="59"/>
      <c r="KWJ2" s="59"/>
      <c r="KWK2" s="59"/>
      <c r="KWL2" s="59"/>
      <c r="KWM2" s="59"/>
      <c r="KWN2" s="59"/>
      <c r="KWO2" s="59"/>
      <c r="KWP2" s="59"/>
      <c r="KWQ2" s="59"/>
      <c r="KWR2" s="59"/>
      <c r="KWS2" s="59"/>
      <c r="KWT2" s="59"/>
      <c r="KWU2" s="59"/>
      <c r="KWV2" s="59"/>
      <c r="KWW2" s="59"/>
      <c r="KWX2" s="59"/>
      <c r="KWY2" s="59"/>
      <c r="KWZ2" s="59"/>
      <c r="KXA2" s="59"/>
      <c r="KXB2" s="59"/>
      <c r="KXC2" s="59"/>
      <c r="KXD2" s="59"/>
      <c r="KXE2" s="59"/>
      <c r="KXF2" s="59"/>
      <c r="KXG2" s="59"/>
      <c r="KXH2" s="59"/>
      <c r="KXI2" s="59"/>
      <c r="KXJ2" s="59"/>
      <c r="KXK2" s="59"/>
      <c r="KXL2" s="59"/>
      <c r="KXM2" s="59"/>
      <c r="KXN2" s="59"/>
      <c r="KXO2" s="59"/>
      <c r="KXP2" s="59"/>
      <c r="KXQ2" s="59"/>
      <c r="KXR2" s="59"/>
      <c r="KXS2" s="59"/>
      <c r="KXT2" s="59"/>
      <c r="KXU2" s="59"/>
      <c r="KXV2" s="59"/>
      <c r="KXW2" s="59"/>
      <c r="KXX2" s="59"/>
      <c r="KXY2" s="59"/>
      <c r="KXZ2" s="59"/>
      <c r="KYA2" s="59"/>
      <c r="KYB2" s="59"/>
      <c r="KYC2" s="59"/>
      <c r="KYD2" s="59"/>
      <c r="KYE2" s="59"/>
      <c r="KYF2" s="59"/>
      <c r="KYG2" s="59"/>
      <c r="KYH2" s="59"/>
      <c r="KYI2" s="59"/>
      <c r="KYJ2" s="59"/>
      <c r="KYK2" s="59"/>
      <c r="KYL2" s="59"/>
      <c r="KYM2" s="59"/>
      <c r="KYN2" s="59"/>
      <c r="KYO2" s="59"/>
      <c r="KYP2" s="59"/>
      <c r="KYQ2" s="59"/>
      <c r="KYR2" s="59"/>
      <c r="KYS2" s="59"/>
      <c r="KYT2" s="59"/>
      <c r="KYU2" s="59"/>
      <c r="KYV2" s="59"/>
      <c r="KYW2" s="59"/>
      <c r="KYX2" s="59"/>
      <c r="KYY2" s="59"/>
      <c r="KYZ2" s="59"/>
      <c r="KZA2" s="59"/>
      <c r="KZB2" s="59"/>
      <c r="KZC2" s="59"/>
      <c r="KZD2" s="59"/>
      <c r="KZE2" s="59"/>
      <c r="KZF2" s="59"/>
      <c r="KZG2" s="59"/>
      <c r="KZH2" s="59"/>
      <c r="KZI2" s="59"/>
      <c r="KZJ2" s="59"/>
      <c r="KZK2" s="59"/>
      <c r="KZL2" s="59"/>
      <c r="KZM2" s="59"/>
      <c r="KZN2" s="59"/>
      <c r="KZO2" s="59"/>
      <c r="KZP2" s="59"/>
      <c r="KZQ2" s="59"/>
      <c r="KZR2" s="59"/>
      <c r="KZS2" s="59"/>
      <c r="KZT2" s="59"/>
      <c r="KZU2" s="59"/>
      <c r="KZV2" s="59"/>
      <c r="KZW2" s="59"/>
      <c r="KZX2" s="59"/>
      <c r="KZY2" s="59"/>
      <c r="KZZ2" s="59"/>
      <c r="LAA2" s="59"/>
      <c r="LAB2" s="59"/>
      <c r="LAC2" s="59"/>
      <c r="LAD2" s="59"/>
      <c r="LAE2" s="59"/>
      <c r="LAF2" s="59"/>
      <c r="LAG2" s="59"/>
      <c r="LAH2" s="59"/>
      <c r="LAI2" s="59"/>
      <c r="LAJ2" s="59"/>
      <c r="LAK2" s="59"/>
      <c r="LAL2" s="59"/>
      <c r="LAM2" s="59"/>
      <c r="LAN2" s="59"/>
      <c r="LAO2" s="59"/>
      <c r="LAP2" s="59"/>
      <c r="LAQ2" s="59"/>
      <c r="LAR2" s="59"/>
      <c r="LAS2" s="59"/>
      <c r="LAT2" s="59"/>
      <c r="LAU2" s="59"/>
      <c r="LAV2" s="59"/>
      <c r="LAW2" s="59"/>
      <c r="LAX2" s="59"/>
      <c r="LAY2" s="59"/>
      <c r="LAZ2" s="59"/>
      <c r="LBA2" s="59"/>
      <c r="LBB2" s="59"/>
      <c r="LBC2" s="59"/>
      <c r="LBD2" s="59"/>
      <c r="LBE2" s="59"/>
      <c r="LBF2" s="59"/>
      <c r="LBG2" s="59"/>
      <c r="LBH2" s="59"/>
      <c r="LBI2" s="59"/>
      <c r="LBJ2" s="59"/>
      <c r="LBK2" s="59"/>
      <c r="LBL2" s="59"/>
      <c r="LBM2" s="59"/>
      <c r="LBN2" s="59"/>
      <c r="LBO2" s="59"/>
      <c r="LBP2" s="59"/>
      <c r="LBQ2" s="59"/>
      <c r="LBR2" s="59"/>
      <c r="LBS2" s="59"/>
      <c r="LBT2" s="59"/>
      <c r="LBU2" s="59"/>
      <c r="LBV2" s="59"/>
      <c r="LBW2" s="59"/>
      <c r="LBX2" s="59"/>
      <c r="LBY2" s="59"/>
      <c r="LBZ2" s="59"/>
      <c r="LCA2" s="59"/>
      <c r="LCB2" s="59"/>
      <c r="LCC2" s="59"/>
      <c r="LCD2" s="59"/>
      <c r="LCE2" s="59"/>
      <c r="LCF2" s="59"/>
      <c r="LCG2" s="59"/>
      <c r="LCH2" s="59"/>
      <c r="LCI2" s="59"/>
      <c r="LCJ2" s="59"/>
      <c r="LCK2" s="59"/>
      <c r="LCL2" s="59"/>
      <c r="LCM2" s="59"/>
      <c r="LCN2" s="59"/>
      <c r="LCO2" s="59"/>
      <c r="LCP2" s="59"/>
      <c r="LCQ2" s="59"/>
      <c r="LCR2" s="59"/>
      <c r="LCS2" s="59"/>
      <c r="LCT2" s="59"/>
      <c r="LCU2" s="59"/>
      <c r="LCV2" s="59"/>
      <c r="LCW2" s="59"/>
      <c r="LCX2" s="59"/>
      <c r="LCY2" s="59"/>
      <c r="LCZ2" s="59"/>
      <c r="LDA2" s="59"/>
      <c r="LDB2" s="59"/>
      <c r="LDC2" s="59"/>
      <c r="LDD2" s="59"/>
      <c r="LDE2" s="59"/>
      <c r="LDF2" s="59"/>
      <c r="LDG2" s="59"/>
      <c r="LDH2" s="59"/>
      <c r="LDI2" s="59"/>
      <c r="LDJ2" s="59"/>
      <c r="LDK2" s="59"/>
      <c r="LDL2" s="59"/>
      <c r="LDM2" s="59"/>
      <c r="LDN2" s="59"/>
      <c r="LDO2" s="59"/>
      <c r="LDP2" s="59"/>
      <c r="LDQ2" s="59"/>
      <c r="LDR2" s="59"/>
      <c r="LDS2" s="59"/>
      <c r="LDT2" s="59"/>
      <c r="LDU2" s="59"/>
      <c r="LDV2" s="59"/>
      <c r="LDW2" s="59"/>
      <c r="LDX2" s="59"/>
      <c r="LDY2" s="59"/>
      <c r="LDZ2" s="59"/>
      <c r="LEA2" s="59"/>
      <c r="LEB2" s="59"/>
      <c r="LEC2" s="59"/>
      <c r="LED2" s="59"/>
      <c r="LEE2" s="59"/>
      <c r="LEF2" s="59"/>
      <c r="LEG2" s="59"/>
      <c r="LEH2" s="59"/>
      <c r="LEI2" s="59"/>
      <c r="LEJ2" s="59"/>
      <c r="LEK2" s="59"/>
      <c r="LEL2" s="59"/>
      <c r="LEM2" s="59"/>
      <c r="LEN2" s="59"/>
      <c r="LEO2" s="59"/>
      <c r="LEP2" s="59"/>
      <c r="LEQ2" s="59"/>
      <c r="LER2" s="59"/>
      <c r="LES2" s="59"/>
      <c r="LET2" s="59"/>
      <c r="LEU2" s="59"/>
      <c r="LEV2" s="59"/>
      <c r="LEW2" s="59"/>
      <c r="LEX2" s="59"/>
      <c r="LEY2" s="59"/>
      <c r="LEZ2" s="59"/>
      <c r="LFA2" s="59"/>
      <c r="LFB2" s="59"/>
      <c r="LFC2" s="59"/>
      <c r="LFD2" s="59"/>
      <c r="LFE2" s="59"/>
      <c r="LFF2" s="59"/>
      <c r="LFG2" s="59"/>
      <c r="LFH2" s="59"/>
      <c r="LFI2" s="59"/>
      <c r="LFJ2" s="59"/>
      <c r="LFK2" s="59"/>
      <c r="LFL2" s="59"/>
      <c r="LFM2" s="59"/>
      <c r="LFN2" s="59"/>
      <c r="LFO2" s="59"/>
      <c r="LFP2" s="59"/>
      <c r="LFQ2" s="59"/>
      <c r="LFR2" s="59"/>
      <c r="LFS2" s="59"/>
      <c r="LFT2" s="59"/>
      <c r="LFU2" s="59"/>
      <c r="LFV2" s="59"/>
      <c r="LFW2" s="59"/>
      <c r="LFX2" s="59"/>
      <c r="LFY2" s="59"/>
      <c r="LFZ2" s="59"/>
      <c r="LGA2" s="59"/>
      <c r="LGB2" s="59"/>
      <c r="LGC2" s="59"/>
      <c r="LGD2" s="59"/>
      <c r="LGE2" s="59"/>
      <c r="LGF2" s="59"/>
      <c r="LGG2" s="59"/>
      <c r="LGH2" s="59"/>
      <c r="LGI2" s="59"/>
      <c r="LGJ2" s="59"/>
      <c r="LGK2" s="59"/>
      <c r="LGL2" s="59"/>
      <c r="LGM2" s="59"/>
      <c r="LGN2" s="59"/>
      <c r="LGO2" s="59"/>
      <c r="LGP2" s="59"/>
      <c r="LGQ2" s="59"/>
      <c r="LGR2" s="59"/>
      <c r="LGS2" s="59"/>
      <c r="LGT2" s="59"/>
      <c r="LGU2" s="59"/>
      <c r="LGV2" s="59"/>
      <c r="LGW2" s="59"/>
      <c r="LGX2" s="59"/>
      <c r="LGY2" s="59"/>
      <c r="LGZ2" s="59"/>
      <c r="LHA2" s="59"/>
      <c r="LHB2" s="59"/>
      <c r="LHC2" s="59"/>
      <c r="LHD2" s="59"/>
      <c r="LHE2" s="59"/>
      <c r="LHF2" s="59"/>
      <c r="LHG2" s="59"/>
      <c r="LHH2" s="59"/>
      <c r="LHI2" s="59"/>
      <c r="LHJ2" s="59"/>
      <c r="LHK2" s="59"/>
      <c r="LHL2" s="59"/>
      <c r="LHM2" s="59"/>
      <c r="LHN2" s="59"/>
      <c r="LHO2" s="59"/>
      <c r="LHP2" s="59"/>
      <c r="LHQ2" s="59"/>
      <c r="LHR2" s="59"/>
      <c r="LHS2" s="59"/>
      <c r="LHT2" s="59"/>
      <c r="LHU2" s="59"/>
      <c r="LHV2" s="59"/>
      <c r="LHW2" s="59"/>
      <c r="LHX2" s="59"/>
      <c r="LHY2" s="59"/>
      <c r="LHZ2" s="59"/>
      <c r="LIA2" s="59"/>
      <c r="LIB2" s="59"/>
      <c r="LIC2" s="59"/>
      <c r="LID2" s="59"/>
      <c r="LIE2" s="59"/>
      <c r="LIF2" s="59"/>
      <c r="LIG2" s="59"/>
      <c r="LIH2" s="59"/>
      <c r="LII2" s="59"/>
      <c r="LIJ2" s="59"/>
      <c r="LIK2" s="59"/>
      <c r="LIL2" s="59"/>
      <c r="LIM2" s="59"/>
      <c r="LIN2" s="59"/>
      <c r="LIO2" s="59"/>
      <c r="LIP2" s="59"/>
      <c r="LIQ2" s="59"/>
      <c r="LIR2" s="59"/>
      <c r="LIS2" s="59"/>
      <c r="LIT2" s="59"/>
      <c r="LIU2" s="59"/>
      <c r="LIV2" s="59"/>
      <c r="LIW2" s="59"/>
      <c r="LIX2" s="59"/>
      <c r="LIY2" s="59"/>
      <c r="LIZ2" s="59"/>
      <c r="LJA2" s="59"/>
      <c r="LJB2" s="59"/>
      <c r="LJC2" s="59"/>
      <c r="LJD2" s="59"/>
      <c r="LJE2" s="59"/>
      <c r="LJF2" s="59"/>
      <c r="LJG2" s="59"/>
      <c r="LJH2" s="59"/>
      <c r="LJI2" s="59"/>
      <c r="LJJ2" s="59"/>
      <c r="LJK2" s="59"/>
      <c r="LJL2" s="59"/>
      <c r="LJM2" s="59"/>
      <c r="LJN2" s="59"/>
      <c r="LJO2" s="59"/>
      <c r="LJP2" s="59"/>
      <c r="LJQ2" s="59"/>
      <c r="LJR2" s="59"/>
      <c r="LJS2" s="59"/>
      <c r="LJT2" s="59"/>
      <c r="LJU2" s="59"/>
      <c r="LJV2" s="59"/>
      <c r="LJW2" s="59"/>
      <c r="LJX2" s="59"/>
      <c r="LJY2" s="59"/>
      <c r="LJZ2" s="59"/>
      <c r="LKA2" s="59"/>
      <c r="LKB2" s="59"/>
      <c r="LKC2" s="59"/>
      <c r="LKD2" s="59"/>
      <c r="LKE2" s="59"/>
      <c r="LKF2" s="59"/>
      <c r="LKG2" s="59"/>
      <c r="LKH2" s="59"/>
      <c r="LKI2" s="59"/>
      <c r="LKJ2" s="59"/>
      <c r="LKK2" s="59"/>
      <c r="LKL2" s="59"/>
      <c r="LKM2" s="59"/>
      <c r="LKN2" s="59"/>
      <c r="LKO2" s="59"/>
      <c r="LKP2" s="59"/>
      <c r="LKQ2" s="59"/>
      <c r="LKR2" s="59"/>
      <c r="LKS2" s="59"/>
      <c r="LKT2" s="59"/>
      <c r="LKU2" s="59"/>
      <c r="LKV2" s="59"/>
      <c r="LKW2" s="59"/>
      <c r="LKX2" s="59"/>
      <c r="LKY2" s="59"/>
      <c r="LKZ2" s="59"/>
      <c r="LLA2" s="59"/>
      <c r="LLB2" s="59"/>
      <c r="LLC2" s="59"/>
      <c r="LLD2" s="59"/>
      <c r="LLE2" s="59"/>
      <c r="LLF2" s="59"/>
      <c r="LLG2" s="59"/>
      <c r="LLH2" s="59"/>
      <c r="LLI2" s="59"/>
      <c r="LLJ2" s="59"/>
      <c r="LLK2" s="59"/>
      <c r="LLL2" s="59"/>
      <c r="LLM2" s="59"/>
      <c r="LLN2" s="59"/>
      <c r="LLO2" s="59"/>
      <c r="LLP2" s="59"/>
      <c r="LLQ2" s="59"/>
      <c r="LLR2" s="59"/>
      <c r="LLS2" s="59"/>
      <c r="LLT2" s="59"/>
      <c r="LLU2" s="59"/>
      <c r="LLV2" s="59"/>
      <c r="LLW2" s="59"/>
      <c r="LLX2" s="59"/>
      <c r="LLY2" s="59"/>
      <c r="LLZ2" s="59"/>
      <c r="LMA2" s="59"/>
      <c r="LMB2" s="59"/>
      <c r="LMC2" s="59"/>
      <c r="LMD2" s="59"/>
      <c r="LME2" s="59"/>
      <c r="LMF2" s="59"/>
      <c r="LMG2" s="59"/>
      <c r="LMH2" s="59"/>
      <c r="LMI2" s="59"/>
      <c r="LMJ2" s="59"/>
      <c r="LMK2" s="59"/>
      <c r="LML2" s="59"/>
      <c r="LMM2" s="59"/>
      <c r="LMN2" s="59"/>
      <c r="LMO2" s="59"/>
      <c r="LMP2" s="59"/>
      <c r="LMQ2" s="59"/>
      <c r="LMR2" s="59"/>
      <c r="LMS2" s="59"/>
      <c r="LMT2" s="59"/>
      <c r="LMU2" s="59"/>
      <c r="LMV2" s="59"/>
      <c r="LMW2" s="59"/>
      <c r="LMX2" s="59"/>
      <c r="LMY2" s="59"/>
      <c r="LMZ2" s="59"/>
      <c r="LNA2" s="59"/>
      <c r="LNB2" s="59"/>
      <c r="LNC2" s="59"/>
      <c r="LND2" s="59"/>
      <c r="LNE2" s="59"/>
      <c r="LNF2" s="59"/>
      <c r="LNG2" s="59"/>
      <c r="LNH2" s="59"/>
      <c r="LNI2" s="59"/>
      <c r="LNJ2" s="59"/>
      <c r="LNK2" s="59"/>
      <c r="LNL2" s="59"/>
      <c r="LNM2" s="59"/>
      <c r="LNN2" s="59"/>
      <c r="LNO2" s="59"/>
      <c r="LNP2" s="59"/>
      <c r="LNQ2" s="59"/>
      <c r="LNR2" s="59"/>
      <c r="LNS2" s="59"/>
      <c r="LNT2" s="59"/>
      <c r="LNU2" s="59"/>
      <c r="LNV2" s="59"/>
      <c r="LNW2" s="59"/>
      <c r="LNX2" s="59"/>
      <c r="LNY2" s="59"/>
      <c r="LNZ2" s="59"/>
      <c r="LOA2" s="59"/>
      <c r="LOB2" s="59"/>
      <c r="LOC2" s="59"/>
      <c r="LOD2" s="59"/>
      <c r="LOE2" s="59"/>
      <c r="LOF2" s="59"/>
      <c r="LOG2" s="59"/>
      <c r="LOH2" s="59"/>
      <c r="LOI2" s="59"/>
      <c r="LOJ2" s="59"/>
      <c r="LOK2" s="59"/>
      <c r="LOL2" s="59"/>
      <c r="LOM2" s="59"/>
      <c r="LON2" s="59"/>
      <c r="LOO2" s="59"/>
      <c r="LOP2" s="59"/>
      <c r="LOQ2" s="59"/>
      <c r="LOR2" s="59"/>
      <c r="LOS2" s="59"/>
      <c r="LOT2" s="59"/>
      <c r="LOU2" s="59"/>
      <c r="LOV2" s="59"/>
      <c r="LOW2" s="59"/>
      <c r="LOX2" s="59"/>
      <c r="LOY2" s="59"/>
      <c r="LOZ2" s="59"/>
      <c r="LPA2" s="59"/>
      <c r="LPB2" s="59"/>
      <c r="LPC2" s="59"/>
      <c r="LPD2" s="59"/>
      <c r="LPE2" s="59"/>
      <c r="LPF2" s="59"/>
      <c r="LPG2" s="59"/>
      <c r="LPH2" s="59"/>
      <c r="LPI2" s="59"/>
      <c r="LPJ2" s="59"/>
      <c r="LPK2" s="59"/>
      <c r="LPL2" s="59"/>
      <c r="LPM2" s="59"/>
      <c r="LPN2" s="59"/>
      <c r="LPO2" s="59"/>
      <c r="LPP2" s="59"/>
      <c r="LPQ2" s="59"/>
      <c r="LPR2" s="59"/>
      <c r="LPS2" s="59"/>
      <c r="LPT2" s="59"/>
      <c r="LPU2" s="59"/>
      <c r="LPV2" s="59"/>
      <c r="LPW2" s="59"/>
      <c r="LPX2" s="59"/>
      <c r="LPY2" s="59"/>
      <c r="LPZ2" s="59"/>
      <c r="LQA2" s="59"/>
      <c r="LQB2" s="59"/>
      <c r="LQC2" s="59"/>
      <c r="LQD2" s="59"/>
      <c r="LQE2" s="59"/>
      <c r="LQF2" s="59"/>
      <c r="LQG2" s="59"/>
      <c r="LQH2" s="59"/>
      <c r="LQI2" s="59"/>
      <c r="LQJ2" s="59"/>
      <c r="LQK2" s="59"/>
      <c r="LQL2" s="59"/>
      <c r="LQM2" s="59"/>
      <c r="LQN2" s="59"/>
      <c r="LQO2" s="59"/>
      <c r="LQP2" s="59"/>
      <c r="LQQ2" s="59"/>
      <c r="LQR2" s="59"/>
      <c r="LQS2" s="59"/>
      <c r="LQT2" s="59"/>
      <c r="LQU2" s="59"/>
      <c r="LQV2" s="59"/>
      <c r="LQW2" s="59"/>
      <c r="LQX2" s="59"/>
      <c r="LQY2" s="59"/>
      <c r="LQZ2" s="59"/>
      <c r="LRA2" s="59"/>
      <c r="LRB2" s="59"/>
      <c r="LRC2" s="59"/>
      <c r="LRD2" s="59"/>
      <c r="LRE2" s="59"/>
      <c r="LRF2" s="59"/>
      <c r="LRG2" s="59"/>
      <c r="LRH2" s="59"/>
      <c r="LRI2" s="59"/>
      <c r="LRJ2" s="59"/>
      <c r="LRK2" s="59"/>
      <c r="LRL2" s="59"/>
      <c r="LRM2" s="59"/>
      <c r="LRN2" s="59"/>
      <c r="LRO2" s="59"/>
      <c r="LRP2" s="59"/>
      <c r="LRQ2" s="59"/>
      <c r="LRR2" s="59"/>
      <c r="LRS2" s="59"/>
      <c r="LRT2" s="59"/>
      <c r="LRU2" s="59"/>
      <c r="LRV2" s="59"/>
      <c r="LRW2" s="59"/>
      <c r="LRX2" s="59"/>
      <c r="LRY2" s="59"/>
      <c r="LRZ2" s="59"/>
      <c r="LSA2" s="59"/>
      <c r="LSB2" s="59"/>
      <c r="LSC2" s="59"/>
      <c r="LSD2" s="59"/>
      <c r="LSE2" s="59"/>
      <c r="LSF2" s="59"/>
      <c r="LSG2" s="59"/>
      <c r="LSH2" s="59"/>
      <c r="LSI2" s="59"/>
      <c r="LSJ2" s="59"/>
      <c r="LSK2" s="59"/>
      <c r="LSL2" s="59"/>
      <c r="LSM2" s="59"/>
      <c r="LSN2" s="59"/>
      <c r="LSO2" s="59"/>
      <c r="LSP2" s="59"/>
      <c r="LSQ2" s="59"/>
      <c r="LSR2" s="59"/>
      <c r="LSS2" s="59"/>
      <c r="LST2" s="59"/>
      <c r="LSU2" s="59"/>
      <c r="LSV2" s="59"/>
      <c r="LSW2" s="59"/>
      <c r="LSX2" s="59"/>
      <c r="LSY2" s="59"/>
      <c r="LSZ2" s="59"/>
      <c r="LTA2" s="59"/>
      <c r="LTB2" s="59"/>
      <c r="LTC2" s="59"/>
      <c r="LTD2" s="59"/>
      <c r="LTE2" s="59"/>
      <c r="LTF2" s="59"/>
      <c r="LTG2" s="59"/>
      <c r="LTH2" s="59"/>
      <c r="LTI2" s="59"/>
      <c r="LTJ2" s="59"/>
      <c r="LTK2" s="59"/>
      <c r="LTL2" s="59"/>
      <c r="LTM2" s="59"/>
      <c r="LTN2" s="59"/>
      <c r="LTO2" s="59"/>
      <c r="LTP2" s="59"/>
      <c r="LTQ2" s="59"/>
      <c r="LTR2" s="59"/>
      <c r="LTS2" s="59"/>
      <c r="LTT2" s="59"/>
      <c r="LTU2" s="59"/>
      <c r="LTV2" s="59"/>
      <c r="LTW2" s="59"/>
      <c r="LTX2" s="59"/>
      <c r="LTY2" s="59"/>
      <c r="LTZ2" s="59"/>
      <c r="LUA2" s="59"/>
      <c r="LUB2" s="59"/>
      <c r="LUC2" s="59"/>
      <c r="LUD2" s="59"/>
      <c r="LUE2" s="59"/>
      <c r="LUF2" s="59"/>
      <c r="LUG2" s="59"/>
      <c r="LUH2" s="59"/>
      <c r="LUI2" s="59"/>
      <c r="LUJ2" s="59"/>
      <c r="LUK2" s="59"/>
      <c r="LUL2" s="59"/>
      <c r="LUM2" s="59"/>
      <c r="LUN2" s="59"/>
      <c r="LUO2" s="59"/>
      <c r="LUP2" s="59"/>
      <c r="LUQ2" s="59"/>
      <c r="LUR2" s="59"/>
      <c r="LUS2" s="59"/>
      <c r="LUT2" s="59"/>
      <c r="LUU2" s="59"/>
      <c r="LUV2" s="59"/>
      <c r="LUW2" s="59"/>
      <c r="LUX2" s="59"/>
      <c r="LUY2" s="59"/>
      <c r="LUZ2" s="59"/>
      <c r="LVA2" s="59"/>
      <c r="LVB2" s="59"/>
      <c r="LVC2" s="59"/>
      <c r="LVD2" s="59"/>
      <c r="LVE2" s="59"/>
      <c r="LVF2" s="59"/>
      <c r="LVG2" s="59"/>
      <c r="LVH2" s="59"/>
      <c r="LVI2" s="59"/>
      <c r="LVJ2" s="59"/>
      <c r="LVK2" s="59"/>
      <c r="LVL2" s="59"/>
      <c r="LVM2" s="59"/>
      <c r="LVN2" s="59"/>
      <c r="LVO2" s="59"/>
      <c r="LVP2" s="59"/>
      <c r="LVQ2" s="59"/>
      <c r="LVR2" s="59"/>
      <c r="LVS2" s="59"/>
      <c r="LVT2" s="59"/>
      <c r="LVU2" s="59"/>
      <c r="LVV2" s="59"/>
      <c r="LVW2" s="59"/>
      <c r="LVX2" s="59"/>
      <c r="LVY2" s="59"/>
      <c r="LVZ2" s="59"/>
      <c r="LWA2" s="59"/>
      <c r="LWB2" s="59"/>
      <c r="LWC2" s="59"/>
      <c r="LWD2" s="59"/>
      <c r="LWE2" s="59"/>
      <c r="LWF2" s="59"/>
      <c r="LWG2" s="59"/>
      <c r="LWH2" s="59"/>
      <c r="LWI2" s="59"/>
      <c r="LWJ2" s="59"/>
      <c r="LWK2" s="59"/>
      <c r="LWL2" s="59"/>
      <c r="LWM2" s="59"/>
      <c r="LWN2" s="59"/>
      <c r="LWO2" s="59"/>
      <c r="LWP2" s="59"/>
      <c r="LWQ2" s="59"/>
      <c r="LWR2" s="59"/>
      <c r="LWS2" s="59"/>
      <c r="LWT2" s="59"/>
      <c r="LWU2" s="59"/>
      <c r="LWV2" s="59"/>
      <c r="LWW2" s="59"/>
      <c r="LWX2" s="59"/>
      <c r="LWY2" s="59"/>
      <c r="LWZ2" s="59"/>
      <c r="LXA2" s="59"/>
      <c r="LXB2" s="59"/>
      <c r="LXC2" s="59"/>
      <c r="LXD2" s="59"/>
      <c r="LXE2" s="59"/>
      <c r="LXF2" s="59"/>
      <c r="LXG2" s="59"/>
      <c r="LXH2" s="59"/>
      <c r="LXI2" s="59"/>
      <c r="LXJ2" s="59"/>
      <c r="LXK2" s="59"/>
      <c r="LXL2" s="59"/>
      <c r="LXM2" s="59"/>
      <c r="LXN2" s="59"/>
      <c r="LXO2" s="59"/>
      <c r="LXP2" s="59"/>
      <c r="LXQ2" s="59"/>
      <c r="LXR2" s="59"/>
      <c r="LXS2" s="59"/>
      <c r="LXT2" s="59"/>
      <c r="LXU2" s="59"/>
      <c r="LXV2" s="59"/>
      <c r="LXW2" s="59"/>
      <c r="LXX2" s="59"/>
      <c r="LXY2" s="59"/>
      <c r="LXZ2" s="59"/>
      <c r="LYA2" s="59"/>
      <c r="LYB2" s="59"/>
      <c r="LYC2" s="59"/>
      <c r="LYD2" s="59"/>
      <c r="LYE2" s="59"/>
      <c r="LYF2" s="59"/>
      <c r="LYG2" s="59"/>
      <c r="LYH2" s="59"/>
      <c r="LYI2" s="59"/>
      <c r="LYJ2" s="59"/>
      <c r="LYK2" s="59"/>
      <c r="LYL2" s="59"/>
      <c r="LYM2" s="59"/>
      <c r="LYN2" s="59"/>
      <c r="LYO2" s="59"/>
      <c r="LYP2" s="59"/>
      <c r="LYQ2" s="59"/>
      <c r="LYR2" s="59"/>
      <c r="LYS2" s="59"/>
      <c r="LYT2" s="59"/>
      <c r="LYU2" s="59"/>
      <c r="LYV2" s="59"/>
      <c r="LYW2" s="59"/>
      <c r="LYX2" s="59"/>
      <c r="LYY2" s="59"/>
      <c r="LYZ2" s="59"/>
      <c r="LZA2" s="59"/>
      <c r="LZB2" s="59"/>
      <c r="LZC2" s="59"/>
      <c r="LZD2" s="59"/>
      <c r="LZE2" s="59"/>
      <c r="LZF2" s="59"/>
      <c r="LZG2" s="59"/>
      <c r="LZH2" s="59"/>
      <c r="LZI2" s="59"/>
      <c r="LZJ2" s="59"/>
      <c r="LZK2" s="59"/>
      <c r="LZL2" s="59"/>
      <c r="LZM2" s="59"/>
      <c r="LZN2" s="59"/>
      <c r="LZO2" s="59"/>
      <c r="LZP2" s="59"/>
      <c r="LZQ2" s="59"/>
      <c r="LZR2" s="59"/>
      <c r="LZS2" s="59"/>
      <c r="LZT2" s="59"/>
      <c r="LZU2" s="59"/>
      <c r="LZV2" s="59"/>
      <c r="LZW2" s="59"/>
      <c r="LZX2" s="59"/>
      <c r="LZY2" s="59"/>
      <c r="LZZ2" s="59"/>
      <c r="MAA2" s="59"/>
      <c r="MAB2" s="59"/>
      <c r="MAC2" s="59"/>
      <c r="MAD2" s="59"/>
      <c r="MAE2" s="59"/>
      <c r="MAF2" s="59"/>
      <c r="MAG2" s="59"/>
      <c r="MAH2" s="59"/>
      <c r="MAI2" s="59"/>
      <c r="MAJ2" s="59"/>
      <c r="MAK2" s="59"/>
      <c r="MAL2" s="59"/>
      <c r="MAM2" s="59"/>
      <c r="MAN2" s="59"/>
      <c r="MAO2" s="59"/>
      <c r="MAP2" s="59"/>
      <c r="MAQ2" s="59"/>
      <c r="MAR2" s="59"/>
      <c r="MAS2" s="59"/>
      <c r="MAT2" s="59"/>
      <c r="MAU2" s="59"/>
      <c r="MAV2" s="59"/>
      <c r="MAW2" s="59"/>
      <c r="MAX2" s="59"/>
      <c r="MAY2" s="59"/>
      <c r="MAZ2" s="59"/>
      <c r="MBA2" s="59"/>
      <c r="MBB2" s="59"/>
      <c r="MBC2" s="59"/>
      <c r="MBD2" s="59"/>
      <c r="MBE2" s="59"/>
      <c r="MBF2" s="59"/>
      <c r="MBG2" s="59"/>
      <c r="MBH2" s="59"/>
      <c r="MBI2" s="59"/>
      <c r="MBJ2" s="59"/>
      <c r="MBK2" s="59"/>
      <c r="MBL2" s="59"/>
      <c r="MBM2" s="59"/>
      <c r="MBN2" s="59"/>
      <c r="MBO2" s="59"/>
      <c r="MBP2" s="59"/>
      <c r="MBQ2" s="59"/>
      <c r="MBR2" s="59"/>
      <c r="MBS2" s="59"/>
      <c r="MBT2" s="59"/>
      <c r="MBU2" s="59"/>
      <c r="MBV2" s="59"/>
      <c r="MBW2" s="59"/>
      <c r="MBX2" s="59"/>
      <c r="MBY2" s="59"/>
      <c r="MBZ2" s="59"/>
      <c r="MCA2" s="59"/>
      <c r="MCB2" s="59"/>
      <c r="MCC2" s="59"/>
      <c r="MCD2" s="59"/>
      <c r="MCE2" s="59"/>
      <c r="MCF2" s="59"/>
      <c r="MCG2" s="59"/>
      <c r="MCH2" s="59"/>
      <c r="MCI2" s="59"/>
      <c r="MCJ2" s="59"/>
      <c r="MCK2" s="59"/>
      <c r="MCL2" s="59"/>
      <c r="MCM2" s="59"/>
      <c r="MCN2" s="59"/>
      <c r="MCO2" s="59"/>
      <c r="MCP2" s="59"/>
      <c r="MCQ2" s="59"/>
      <c r="MCR2" s="59"/>
      <c r="MCS2" s="59"/>
      <c r="MCT2" s="59"/>
      <c r="MCU2" s="59"/>
      <c r="MCV2" s="59"/>
      <c r="MCW2" s="59"/>
      <c r="MCX2" s="59"/>
      <c r="MCY2" s="59"/>
      <c r="MCZ2" s="59"/>
      <c r="MDA2" s="59"/>
      <c r="MDB2" s="59"/>
      <c r="MDC2" s="59"/>
      <c r="MDD2" s="59"/>
      <c r="MDE2" s="59"/>
      <c r="MDF2" s="59"/>
      <c r="MDG2" s="59"/>
      <c r="MDH2" s="59"/>
      <c r="MDI2" s="59"/>
      <c r="MDJ2" s="59"/>
      <c r="MDK2" s="59"/>
      <c r="MDL2" s="59"/>
      <c r="MDM2" s="59"/>
      <c r="MDN2" s="59"/>
      <c r="MDO2" s="59"/>
      <c r="MDP2" s="59"/>
      <c r="MDQ2" s="59"/>
      <c r="MDR2" s="59"/>
      <c r="MDS2" s="59"/>
      <c r="MDT2" s="59"/>
      <c r="MDU2" s="59"/>
      <c r="MDV2" s="59"/>
      <c r="MDW2" s="59"/>
      <c r="MDX2" s="59"/>
      <c r="MDY2" s="59"/>
      <c r="MDZ2" s="59"/>
      <c r="MEA2" s="59"/>
      <c r="MEB2" s="59"/>
      <c r="MEC2" s="59"/>
      <c r="MED2" s="59"/>
      <c r="MEE2" s="59"/>
      <c r="MEF2" s="59"/>
      <c r="MEG2" s="59"/>
      <c r="MEH2" s="59"/>
      <c r="MEI2" s="59"/>
      <c r="MEJ2" s="59"/>
      <c r="MEK2" s="59"/>
      <c r="MEL2" s="59"/>
      <c r="MEM2" s="59"/>
      <c r="MEN2" s="59"/>
      <c r="MEO2" s="59"/>
      <c r="MEP2" s="59"/>
      <c r="MEQ2" s="59"/>
      <c r="MER2" s="59"/>
      <c r="MES2" s="59"/>
      <c r="MET2" s="59"/>
      <c r="MEU2" s="59"/>
      <c r="MEV2" s="59"/>
      <c r="MEW2" s="59"/>
      <c r="MEX2" s="59"/>
      <c r="MEY2" s="59"/>
      <c r="MEZ2" s="59"/>
      <c r="MFA2" s="59"/>
      <c r="MFB2" s="59"/>
      <c r="MFC2" s="59"/>
      <c r="MFD2" s="59"/>
      <c r="MFE2" s="59"/>
      <c r="MFF2" s="59"/>
      <c r="MFG2" s="59"/>
      <c r="MFH2" s="59"/>
      <c r="MFI2" s="59"/>
      <c r="MFJ2" s="59"/>
      <c r="MFK2" s="59"/>
      <c r="MFL2" s="59"/>
      <c r="MFM2" s="59"/>
      <c r="MFN2" s="59"/>
      <c r="MFO2" s="59"/>
      <c r="MFP2" s="59"/>
      <c r="MFQ2" s="59"/>
      <c r="MFR2" s="59"/>
      <c r="MFS2" s="59"/>
      <c r="MFT2" s="59"/>
      <c r="MFU2" s="59"/>
      <c r="MFV2" s="59"/>
      <c r="MFW2" s="59"/>
      <c r="MFX2" s="59"/>
      <c r="MFY2" s="59"/>
      <c r="MFZ2" s="59"/>
      <c r="MGA2" s="59"/>
      <c r="MGB2" s="59"/>
      <c r="MGC2" s="59"/>
      <c r="MGD2" s="59"/>
      <c r="MGE2" s="59"/>
      <c r="MGF2" s="59"/>
      <c r="MGG2" s="59"/>
      <c r="MGH2" s="59"/>
      <c r="MGI2" s="59"/>
      <c r="MGJ2" s="59"/>
      <c r="MGK2" s="59"/>
      <c r="MGL2" s="59"/>
      <c r="MGM2" s="59"/>
      <c r="MGN2" s="59"/>
      <c r="MGO2" s="59"/>
      <c r="MGP2" s="59"/>
      <c r="MGQ2" s="59"/>
      <c r="MGR2" s="59"/>
      <c r="MGS2" s="59"/>
      <c r="MGT2" s="59"/>
      <c r="MGU2" s="59"/>
      <c r="MGV2" s="59"/>
      <c r="MGW2" s="59"/>
      <c r="MGX2" s="59"/>
      <c r="MGY2" s="59"/>
      <c r="MGZ2" s="59"/>
      <c r="MHA2" s="59"/>
      <c r="MHB2" s="59"/>
      <c r="MHC2" s="59"/>
      <c r="MHD2" s="59"/>
      <c r="MHE2" s="59"/>
      <c r="MHF2" s="59"/>
      <c r="MHG2" s="59"/>
      <c r="MHH2" s="59"/>
      <c r="MHI2" s="59"/>
      <c r="MHJ2" s="59"/>
      <c r="MHK2" s="59"/>
      <c r="MHL2" s="59"/>
      <c r="MHM2" s="59"/>
      <c r="MHN2" s="59"/>
      <c r="MHO2" s="59"/>
      <c r="MHP2" s="59"/>
      <c r="MHQ2" s="59"/>
      <c r="MHR2" s="59"/>
      <c r="MHS2" s="59"/>
      <c r="MHT2" s="59"/>
      <c r="MHU2" s="59"/>
      <c r="MHV2" s="59"/>
      <c r="MHW2" s="59"/>
      <c r="MHX2" s="59"/>
      <c r="MHY2" s="59"/>
      <c r="MHZ2" s="59"/>
      <c r="MIA2" s="59"/>
      <c r="MIB2" s="59"/>
      <c r="MIC2" s="59"/>
      <c r="MID2" s="59"/>
      <c r="MIE2" s="59"/>
      <c r="MIF2" s="59"/>
      <c r="MIG2" s="59"/>
      <c r="MIH2" s="59"/>
      <c r="MII2" s="59"/>
      <c r="MIJ2" s="59"/>
      <c r="MIK2" s="59"/>
      <c r="MIL2" s="59"/>
      <c r="MIM2" s="59"/>
      <c r="MIN2" s="59"/>
      <c r="MIO2" s="59"/>
      <c r="MIP2" s="59"/>
      <c r="MIQ2" s="59"/>
      <c r="MIR2" s="59"/>
      <c r="MIS2" s="59"/>
      <c r="MIT2" s="59"/>
      <c r="MIU2" s="59"/>
      <c r="MIV2" s="59"/>
      <c r="MIW2" s="59"/>
      <c r="MIX2" s="59"/>
      <c r="MIY2" s="59"/>
      <c r="MIZ2" s="59"/>
      <c r="MJA2" s="59"/>
      <c r="MJB2" s="59"/>
      <c r="MJC2" s="59"/>
      <c r="MJD2" s="59"/>
      <c r="MJE2" s="59"/>
      <c r="MJF2" s="59"/>
      <c r="MJG2" s="59"/>
      <c r="MJH2" s="59"/>
      <c r="MJI2" s="59"/>
      <c r="MJJ2" s="59"/>
      <c r="MJK2" s="59"/>
      <c r="MJL2" s="59"/>
      <c r="MJM2" s="59"/>
      <c r="MJN2" s="59"/>
      <c r="MJO2" s="59"/>
      <c r="MJP2" s="59"/>
      <c r="MJQ2" s="59"/>
      <c r="MJR2" s="59"/>
      <c r="MJS2" s="59"/>
      <c r="MJT2" s="59"/>
      <c r="MJU2" s="59"/>
      <c r="MJV2" s="59"/>
      <c r="MJW2" s="59"/>
      <c r="MJX2" s="59"/>
      <c r="MJY2" s="59"/>
      <c r="MJZ2" s="59"/>
      <c r="MKA2" s="59"/>
      <c r="MKB2" s="59"/>
      <c r="MKC2" s="59"/>
      <c r="MKD2" s="59"/>
      <c r="MKE2" s="59"/>
      <c r="MKF2" s="59"/>
      <c r="MKG2" s="59"/>
      <c r="MKH2" s="59"/>
      <c r="MKI2" s="59"/>
      <c r="MKJ2" s="59"/>
      <c r="MKK2" s="59"/>
      <c r="MKL2" s="59"/>
      <c r="MKM2" s="59"/>
      <c r="MKN2" s="59"/>
      <c r="MKO2" s="59"/>
      <c r="MKP2" s="59"/>
      <c r="MKQ2" s="59"/>
      <c r="MKR2" s="59"/>
      <c r="MKS2" s="59"/>
      <c r="MKT2" s="59"/>
      <c r="MKU2" s="59"/>
      <c r="MKV2" s="59"/>
      <c r="MKW2" s="59"/>
      <c r="MKX2" s="59"/>
      <c r="MKY2" s="59"/>
      <c r="MKZ2" s="59"/>
      <c r="MLA2" s="59"/>
      <c r="MLB2" s="59"/>
      <c r="MLC2" s="59"/>
      <c r="MLD2" s="59"/>
      <c r="MLE2" s="59"/>
      <c r="MLF2" s="59"/>
      <c r="MLG2" s="59"/>
      <c r="MLH2" s="59"/>
      <c r="MLI2" s="59"/>
      <c r="MLJ2" s="59"/>
      <c r="MLK2" s="59"/>
      <c r="MLL2" s="59"/>
      <c r="MLM2" s="59"/>
      <c r="MLN2" s="59"/>
      <c r="MLO2" s="59"/>
      <c r="MLP2" s="59"/>
      <c r="MLQ2" s="59"/>
      <c r="MLR2" s="59"/>
      <c r="MLS2" s="59"/>
      <c r="MLT2" s="59"/>
      <c r="MLU2" s="59"/>
      <c r="MLV2" s="59"/>
      <c r="MLW2" s="59"/>
      <c r="MLX2" s="59"/>
      <c r="MLY2" s="59"/>
      <c r="MLZ2" s="59"/>
      <c r="MMA2" s="59"/>
      <c r="MMB2" s="59"/>
      <c r="MMC2" s="59"/>
      <c r="MMD2" s="59"/>
      <c r="MME2" s="59"/>
      <c r="MMF2" s="59"/>
      <c r="MMG2" s="59"/>
      <c r="MMH2" s="59"/>
      <c r="MMI2" s="59"/>
      <c r="MMJ2" s="59"/>
      <c r="MMK2" s="59"/>
      <c r="MML2" s="59"/>
      <c r="MMM2" s="59"/>
      <c r="MMN2" s="59"/>
      <c r="MMO2" s="59"/>
      <c r="MMP2" s="59"/>
      <c r="MMQ2" s="59"/>
      <c r="MMR2" s="59"/>
      <c r="MMS2" s="59"/>
      <c r="MMT2" s="59"/>
      <c r="MMU2" s="59"/>
      <c r="MMV2" s="59"/>
      <c r="MMW2" s="59"/>
      <c r="MMX2" s="59"/>
      <c r="MMY2" s="59"/>
      <c r="MMZ2" s="59"/>
      <c r="MNA2" s="59"/>
      <c r="MNB2" s="59"/>
      <c r="MNC2" s="59"/>
      <c r="MND2" s="59"/>
      <c r="MNE2" s="59"/>
      <c r="MNF2" s="59"/>
      <c r="MNG2" s="59"/>
      <c r="MNH2" s="59"/>
      <c r="MNI2" s="59"/>
      <c r="MNJ2" s="59"/>
      <c r="MNK2" s="59"/>
      <c r="MNL2" s="59"/>
      <c r="MNM2" s="59"/>
      <c r="MNN2" s="59"/>
      <c r="MNO2" s="59"/>
      <c r="MNP2" s="59"/>
      <c r="MNQ2" s="59"/>
      <c r="MNR2" s="59"/>
      <c r="MNS2" s="59"/>
      <c r="MNT2" s="59"/>
      <c r="MNU2" s="59"/>
      <c r="MNV2" s="59"/>
      <c r="MNW2" s="59"/>
      <c r="MNX2" s="59"/>
      <c r="MNY2" s="59"/>
      <c r="MNZ2" s="59"/>
      <c r="MOA2" s="59"/>
      <c r="MOB2" s="59"/>
      <c r="MOC2" s="59"/>
      <c r="MOD2" s="59"/>
      <c r="MOE2" s="59"/>
      <c r="MOF2" s="59"/>
      <c r="MOG2" s="59"/>
      <c r="MOH2" s="59"/>
      <c r="MOI2" s="59"/>
      <c r="MOJ2" s="59"/>
      <c r="MOK2" s="59"/>
      <c r="MOL2" s="59"/>
      <c r="MOM2" s="59"/>
      <c r="MON2" s="59"/>
      <c r="MOO2" s="59"/>
      <c r="MOP2" s="59"/>
      <c r="MOQ2" s="59"/>
      <c r="MOR2" s="59"/>
      <c r="MOS2" s="59"/>
      <c r="MOT2" s="59"/>
      <c r="MOU2" s="59"/>
      <c r="MOV2" s="59"/>
      <c r="MOW2" s="59"/>
      <c r="MOX2" s="59"/>
      <c r="MOY2" s="59"/>
      <c r="MOZ2" s="59"/>
      <c r="MPA2" s="59"/>
      <c r="MPB2" s="59"/>
      <c r="MPC2" s="59"/>
      <c r="MPD2" s="59"/>
      <c r="MPE2" s="59"/>
      <c r="MPF2" s="59"/>
      <c r="MPG2" s="59"/>
      <c r="MPH2" s="59"/>
      <c r="MPI2" s="59"/>
      <c r="MPJ2" s="59"/>
      <c r="MPK2" s="59"/>
      <c r="MPL2" s="59"/>
      <c r="MPM2" s="59"/>
      <c r="MPN2" s="59"/>
      <c r="MPO2" s="59"/>
      <c r="MPP2" s="59"/>
      <c r="MPQ2" s="59"/>
      <c r="MPR2" s="59"/>
      <c r="MPS2" s="59"/>
      <c r="MPT2" s="59"/>
      <c r="MPU2" s="59"/>
      <c r="MPV2" s="59"/>
      <c r="MPW2" s="59"/>
      <c r="MPX2" s="59"/>
      <c r="MPY2" s="59"/>
      <c r="MPZ2" s="59"/>
      <c r="MQA2" s="59"/>
      <c r="MQB2" s="59"/>
      <c r="MQC2" s="59"/>
      <c r="MQD2" s="59"/>
      <c r="MQE2" s="59"/>
      <c r="MQF2" s="59"/>
      <c r="MQG2" s="59"/>
      <c r="MQH2" s="59"/>
      <c r="MQI2" s="59"/>
      <c r="MQJ2" s="59"/>
      <c r="MQK2" s="59"/>
      <c r="MQL2" s="59"/>
      <c r="MQM2" s="59"/>
      <c r="MQN2" s="59"/>
      <c r="MQO2" s="59"/>
      <c r="MQP2" s="59"/>
      <c r="MQQ2" s="59"/>
      <c r="MQR2" s="59"/>
      <c r="MQS2" s="59"/>
      <c r="MQT2" s="59"/>
      <c r="MQU2" s="59"/>
      <c r="MQV2" s="59"/>
      <c r="MQW2" s="59"/>
      <c r="MQX2" s="59"/>
      <c r="MQY2" s="59"/>
      <c r="MQZ2" s="59"/>
      <c r="MRA2" s="59"/>
      <c r="MRB2" s="59"/>
      <c r="MRC2" s="59"/>
      <c r="MRD2" s="59"/>
      <c r="MRE2" s="59"/>
      <c r="MRF2" s="59"/>
      <c r="MRG2" s="59"/>
      <c r="MRH2" s="59"/>
      <c r="MRI2" s="59"/>
      <c r="MRJ2" s="59"/>
      <c r="MRK2" s="59"/>
      <c r="MRL2" s="59"/>
      <c r="MRM2" s="59"/>
      <c r="MRN2" s="59"/>
      <c r="MRO2" s="59"/>
      <c r="MRP2" s="59"/>
      <c r="MRQ2" s="59"/>
      <c r="MRR2" s="59"/>
      <c r="MRS2" s="59"/>
      <c r="MRT2" s="59"/>
      <c r="MRU2" s="59"/>
      <c r="MRV2" s="59"/>
      <c r="MRW2" s="59"/>
      <c r="MRX2" s="59"/>
      <c r="MRY2" s="59"/>
      <c r="MRZ2" s="59"/>
      <c r="MSA2" s="59"/>
      <c r="MSB2" s="59"/>
      <c r="MSC2" s="59"/>
      <c r="MSD2" s="59"/>
      <c r="MSE2" s="59"/>
      <c r="MSF2" s="59"/>
      <c r="MSG2" s="59"/>
      <c r="MSH2" s="59"/>
      <c r="MSI2" s="59"/>
      <c r="MSJ2" s="59"/>
      <c r="MSK2" s="59"/>
      <c r="MSL2" s="59"/>
      <c r="MSM2" s="59"/>
      <c r="MSN2" s="59"/>
      <c r="MSO2" s="59"/>
      <c r="MSP2" s="59"/>
      <c r="MSQ2" s="59"/>
      <c r="MSR2" s="59"/>
      <c r="MSS2" s="59"/>
      <c r="MST2" s="59"/>
      <c r="MSU2" s="59"/>
      <c r="MSV2" s="59"/>
      <c r="MSW2" s="59"/>
      <c r="MSX2" s="59"/>
      <c r="MSY2" s="59"/>
      <c r="MSZ2" s="59"/>
      <c r="MTA2" s="59"/>
      <c r="MTB2" s="59"/>
      <c r="MTC2" s="59"/>
      <c r="MTD2" s="59"/>
      <c r="MTE2" s="59"/>
      <c r="MTF2" s="59"/>
      <c r="MTG2" s="59"/>
      <c r="MTH2" s="59"/>
      <c r="MTI2" s="59"/>
      <c r="MTJ2" s="59"/>
      <c r="MTK2" s="59"/>
      <c r="MTL2" s="59"/>
      <c r="MTM2" s="59"/>
      <c r="MTN2" s="59"/>
      <c r="MTO2" s="59"/>
      <c r="MTP2" s="59"/>
      <c r="MTQ2" s="59"/>
      <c r="MTR2" s="59"/>
      <c r="MTS2" s="59"/>
      <c r="MTT2" s="59"/>
      <c r="MTU2" s="59"/>
      <c r="MTV2" s="59"/>
      <c r="MTW2" s="59"/>
      <c r="MTX2" s="59"/>
      <c r="MTY2" s="59"/>
      <c r="MTZ2" s="59"/>
      <c r="MUA2" s="59"/>
      <c r="MUB2" s="59"/>
      <c r="MUC2" s="59"/>
      <c r="MUD2" s="59"/>
      <c r="MUE2" s="59"/>
      <c r="MUF2" s="59"/>
      <c r="MUG2" s="59"/>
      <c r="MUH2" s="59"/>
      <c r="MUI2" s="59"/>
      <c r="MUJ2" s="59"/>
      <c r="MUK2" s="59"/>
      <c r="MUL2" s="59"/>
      <c r="MUM2" s="59"/>
      <c r="MUN2" s="59"/>
      <c r="MUO2" s="59"/>
      <c r="MUP2" s="59"/>
      <c r="MUQ2" s="59"/>
      <c r="MUR2" s="59"/>
      <c r="MUS2" s="59"/>
      <c r="MUT2" s="59"/>
      <c r="MUU2" s="59"/>
      <c r="MUV2" s="59"/>
      <c r="MUW2" s="59"/>
      <c r="MUX2" s="59"/>
      <c r="MUY2" s="59"/>
      <c r="MUZ2" s="59"/>
      <c r="MVA2" s="59"/>
      <c r="MVB2" s="59"/>
      <c r="MVC2" s="59"/>
      <c r="MVD2" s="59"/>
      <c r="MVE2" s="59"/>
      <c r="MVF2" s="59"/>
      <c r="MVG2" s="59"/>
      <c r="MVH2" s="59"/>
      <c r="MVI2" s="59"/>
      <c r="MVJ2" s="59"/>
      <c r="MVK2" s="59"/>
      <c r="MVL2" s="59"/>
      <c r="MVM2" s="59"/>
      <c r="MVN2" s="59"/>
      <c r="MVO2" s="59"/>
      <c r="MVP2" s="59"/>
      <c r="MVQ2" s="59"/>
      <c r="MVR2" s="59"/>
      <c r="MVS2" s="59"/>
      <c r="MVT2" s="59"/>
      <c r="MVU2" s="59"/>
      <c r="MVV2" s="59"/>
      <c r="MVW2" s="59"/>
      <c r="MVX2" s="59"/>
      <c r="MVY2" s="59"/>
      <c r="MVZ2" s="59"/>
      <c r="MWA2" s="59"/>
      <c r="MWB2" s="59"/>
      <c r="MWC2" s="59"/>
      <c r="MWD2" s="59"/>
      <c r="MWE2" s="59"/>
      <c r="MWF2" s="59"/>
      <c r="MWG2" s="59"/>
      <c r="MWH2" s="59"/>
      <c r="MWI2" s="59"/>
      <c r="MWJ2" s="59"/>
      <c r="MWK2" s="59"/>
      <c r="MWL2" s="59"/>
      <c r="MWM2" s="59"/>
      <c r="MWN2" s="59"/>
      <c r="MWO2" s="59"/>
      <c r="MWP2" s="59"/>
      <c r="MWQ2" s="59"/>
      <c r="MWR2" s="59"/>
      <c r="MWS2" s="59"/>
      <c r="MWT2" s="59"/>
      <c r="MWU2" s="59"/>
      <c r="MWV2" s="59"/>
      <c r="MWW2" s="59"/>
      <c r="MWX2" s="59"/>
      <c r="MWY2" s="59"/>
      <c r="MWZ2" s="59"/>
      <c r="MXA2" s="59"/>
      <c r="MXB2" s="59"/>
      <c r="MXC2" s="59"/>
      <c r="MXD2" s="59"/>
      <c r="MXE2" s="59"/>
      <c r="MXF2" s="59"/>
      <c r="MXG2" s="59"/>
      <c r="MXH2" s="59"/>
      <c r="MXI2" s="59"/>
      <c r="MXJ2" s="59"/>
      <c r="MXK2" s="59"/>
      <c r="MXL2" s="59"/>
      <c r="MXM2" s="59"/>
      <c r="MXN2" s="59"/>
      <c r="MXO2" s="59"/>
      <c r="MXP2" s="59"/>
      <c r="MXQ2" s="59"/>
      <c r="MXR2" s="59"/>
      <c r="MXS2" s="59"/>
      <c r="MXT2" s="59"/>
      <c r="MXU2" s="59"/>
      <c r="MXV2" s="59"/>
      <c r="MXW2" s="59"/>
      <c r="MXX2" s="59"/>
      <c r="MXY2" s="59"/>
      <c r="MXZ2" s="59"/>
      <c r="MYA2" s="59"/>
      <c r="MYB2" s="59"/>
      <c r="MYC2" s="59"/>
      <c r="MYD2" s="59"/>
      <c r="MYE2" s="59"/>
      <c r="MYF2" s="59"/>
      <c r="MYG2" s="59"/>
      <c r="MYH2" s="59"/>
      <c r="MYI2" s="59"/>
      <c r="MYJ2" s="59"/>
      <c r="MYK2" s="59"/>
      <c r="MYL2" s="59"/>
      <c r="MYM2" s="59"/>
      <c r="MYN2" s="59"/>
      <c r="MYO2" s="59"/>
      <c r="MYP2" s="59"/>
      <c r="MYQ2" s="59"/>
      <c r="MYR2" s="59"/>
      <c r="MYS2" s="59"/>
      <c r="MYT2" s="59"/>
      <c r="MYU2" s="59"/>
      <c r="MYV2" s="59"/>
      <c r="MYW2" s="59"/>
      <c r="MYX2" s="59"/>
      <c r="MYY2" s="59"/>
      <c r="MYZ2" s="59"/>
      <c r="MZA2" s="59"/>
      <c r="MZB2" s="59"/>
      <c r="MZC2" s="59"/>
      <c r="MZD2" s="59"/>
      <c r="MZE2" s="59"/>
      <c r="MZF2" s="59"/>
      <c r="MZG2" s="59"/>
      <c r="MZH2" s="59"/>
      <c r="MZI2" s="59"/>
      <c r="MZJ2" s="59"/>
      <c r="MZK2" s="59"/>
      <c r="MZL2" s="59"/>
      <c r="MZM2" s="59"/>
      <c r="MZN2" s="59"/>
      <c r="MZO2" s="59"/>
      <c r="MZP2" s="59"/>
      <c r="MZQ2" s="59"/>
      <c r="MZR2" s="59"/>
      <c r="MZS2" s="59"/>
      <c r="MZT2" s="59"/>
      <c r="MZU2" s="59"/>
      <c r="MZV2" s="59"/>
      <c r="MZW2" s="59"/>
      <c r="MZX2" s="59"/>
      <c r="MZY2" s="59"/>
      <c r="MZZ2" s="59"/>
      <c r="NAA2" s="59"/>
      <c r="NAB2" s="59"/>
      <c r="NAC2" s="59"/>
      <c r="NAD2" s="59"/>
      <c r="NAE2" s="59"/>
      <c r="NAF2" s="59"/>
      <c r="NAG2" s="59"/>
      <c r="NAH2" s="59"/>
      <c r="NAI2" s="59"/>
      <c r="NAJ2" s="59"/>
      <c r="NAK2" s="59"/>
      <c r="NAL2" s="59"/>
      <c r="NAM2" s="59"/>
      <c r="NAN2" s="59"/>
      <c r="NAO2" s="59"/>
      <c r="NAP2" s="59"/>
      <c r="NAQ2" s="59"/>
      <c r="NAR2" s="59"/>
      <c r="NAS2" s="59"/>
      <c r="NAT2" s="59"/>
      <c r="NAU2" s="59"/>
      <c r="NAV2" s="59"/>
      <c r="NAW2" s="59"/>
      <c r="NAX2" s="59"/>
      <c r="NAY2" s="59"/>
      <c r="NAZ2" s="59"/>
      <c r="NBA2" s="59"/>
      <c r="NBB2" s="59"/>
      <c r="NBC2" s="59"/>
      <c r="NBD2" s="59"/>
      <c r="NBE2" s="59"/>
      <c r="NBF2" s="59"/>
      <c r="NBG2" s="59"/>
      <c r="NBH2" s="59"/>
      <c r="NBI2" s="59"/>
      <c r="NBJ2" s="59"/>
      <c r="NBK2" s="59"/>
      <c r="NBL2" s="59"/>
      <c r="NBM2" s="59"/>
      <c r="NBN2" s="59"/>
      <c r="NBO2" s="59"/>
      <c r="NBP2" s="59"/>
      <c r="NBQ2" s="59"/>
      <c r="NBR2" s="59"/>
      <c r="NBS2" s="59"/>
      <c r="NBT2" s="59"/>
      <c r="NBU2" s="59"/>
      <c r="NBV2" s="59"/>
      <c r="NBW2" s="59"/>
      <c r="NBX2" s="59"/>
      <c r="NBY2" s="59"/>
      <c r="NBZ2" s="59"/>
      <c r="NCA2" s="59"/>
      <c r="NCB2" s="59"/>
      <c r="NCC2" s="59"/>
      <c r="NCD2" s="59"/>
      <c r="NCE2" s="59"/>
      <c r="NCF2" s="59"/>
      <c r="NCG2" s="59"/>
      <c r="NCH2" s="59"/>
      <c r="NCI2" s="59"/>
      <c r="NCJ2" s="59"/>
      <c r="NCK2" s="59"/>
      <c r="NCL2" s="59"/>
      <c r="NCM2" s="59"/>
      <c r="NCN2" s="59"/>
      <c r="NCO2" s="59"/>
      <c r="NCP2" s="59"/>
      <c r="NCQ2" s="59"/>
      <c r="NCR2" s="59"/>
      <c r="NCS2" s="59"/>
      <c r="NCT2" s="59"/>
      <c r="NCU2" s="59"/>
      <c r="NCV2" s="59"/>
      <c r="NCW2" s="59"/>
      <c r="NCX2" s="59"/>
      <c r="NCY2" s="59"/>
      <c r="NCZ2" s="59"/>
      <c r="NDA2" s="59"/>
      <c r="NDB2" s="59"/>
      <c r="NDC2" s="59"/>
      <c r="NDD2" s="59"/>
      <c r="NDE2" s="59"/>
      <c r="NDF2" s="59"/>
      <c r="NDG2" s="59"/>
      <c r="NDH2" s="59"/>
      <c r="NDI2" s="59"/>
      <c r="NDJ2" s="59"/>
      <c r="NDK2" s="59"/>
      <c r="NDL2" s="59"/>
      <c r="NDM2" s="59"/>
      <c r="NDN2" s="59"/>
      <c r="NDO2" s="59"/>
      <c r="NDP2" s="59"/>
      <c r="NDQ2" s="59"/>
      <c r="NDR2" s="59"/>
      <c r="NDS2" s="59"/>
      <c r="NDT2" s="59"/>
      <c r="NDU2" s="59"/>
      <c r="NDV2" s="59"/>
      <c r="NDW2" s="59"/>
      <c r="NDX2" s="59"/>
      <c r="NDY2" s="59"/>
      <c r="NDZ2" s="59"/>
      <c r="NEA2" s="59"/>
      <c r="NEB2" s="59"/>
      <c r="NEC2" s="59"/>
      <c r="NED2" s="59"/>
      <c r="NEE2" s="59"/>
      <c r="NEF2" s="59"/>
      <c r="NEG2" s="59"/>
      <c r="NEH2" s="59"/>
      <c r="NEI2" s="59"/>
      <c r="NEJ2" s="59"/>
      <c r="NEK2" s="59"/>
      <c r="NEL2" s="59"/>
      <c r="NEM2" s="59"/>
      <c r="NEN2" s="59"/>
      <c r="NEO2" s="59"/>
      <c r="NEP2" s="59"/>
      <c r="NEQ2" s="59"/>
      <c r="NER2" s="59"/>
      <c r="NES2" s="59"/>
      <c r="NET2" s="59"/>
      <c r="NEU2" s="59"/>
      <c r="NEV2" s="59"/>
      <c r="NEW2" s="59"/>
      <c r="NEX2" s="59"/>
      <c r="NEY2" s="59"/>
      <c r="NEZ2" s="59"/>
      <c r="NFA2" s="59"/>
      <c r="NFB2" s="59"/>
      <c r="NFC2" s="59"/>
      <c r="NFD2" s="59"/>
      <c r="NFE2" s="59"/>
      <c r="NFF2" s="59"/>
      <c r="NFG2" s="59"/>
      <c r="NFH2" s="59"/>
      <c r="NFI2" s="59"/>
      <c r="NFJ2" s="59"/>
      <c r="NFK2" s="59"/>
      <c r="NFL2" s="59"/>
      <c r="NFM2" s="59"/>
      <c r="NFN2" s="59"/>
      <c r="NFO2" s="59"/>
      <c r="NFP2" s="59"/>
      <c r="NFQ2" s="59"/>
      <c r="NFR2" s="59"/>
      <c r="NFS2" s="59"/>
      <c r="NFT2" s="59"/>
      <c r="NFU2" s="59"/>
      <c r="NFV2" s="59"/>
      <c r="NFW2" s="59"/>
      <c r="NFX2" s="59"/>
      <c r="NFY2" s="59"/>
      <c r="NFZ2" s="59"/>
      <c r="NGA2" s="59"/>
      <c r="NGB2" s="59"/>
      <c r="NGC2" s="59"/>
      <c r="NGD2" s="59"/>
      <c r="NGE2" s="59"/>
      <c r="NGF2" s="59"/>
      <c r="NGG2" s="59"/>
      <c r="NGH2" s="59"/>
      <c r="NGI2" s="59"/>
      <c r="NGJ2" s="59"/>
      <c r="NGK2" s="59"/>
      <c r="NGL2" s="59"/>
      <c r="NGM2" s="59"/>
      <c r="NGN2" s="59"/>
      <c r="NGO2" s="59"/>
      <c r="NGP2" s="59"/>
      <c r="NGQ2" s="59"/>
      <c r="NGR2" s="59"/>
      <c r="NGS2" s="59"/>
      <c r="NGT2" s="59"/>
      <c r="NGU2" s="59"/>
      <c r="NGV2" s="59"/>
      <c r="NGW2" s="59"/>
      <c r="NGX2" s="59"/>
      <c r="NGY2" s="59"/>
      <c r="NGZ2" s="59"/>
      <c r="NHA2" s="59"/>
      <c r="NHB2" s="59"/>
      <c r="NHC2" s="59"/>
      <c r="NHD2" s="59"/>
      <c r="NHE2" s="59"/>
      <c r="NHF2" s="59"/>
      <c r="NHG2" s="59"/>
      <c r="NHH2" s="59"/>
      <c r="NHI2" s="59"/>
      <c r="NHJ2" s="59"/>
      <c r="NHK2" s="59"/>
      <c r="NHL2" s="59"/>
      <c r="NHM2" s="59"/>
      <c r="NHN2" s="59"/>
      <c r="NHO2" s="59"/>
      <c r="NHP2" s="59"/>
      <c r="NHQ2" s="59"/>
      <c r="NHR2" s="59"/>
      <c r="NHS2" s="59"/>
      <c r="NHT2" s="59"/>
      <c r="NHU2" s="59"/>
      <c r="NHV2" s="59"/>
      <c r="NHW2" s="59"/>
      <c r="NHX2" s="59"/>
      <c r="NHY2" s="59"/>
      <c r="NHZ2" s="59"/>
      <c r="NIA2" s="59"/>
      <c r="NIB2" s="59"/>
      <c r="NIC2" s="59"/>
      <c r="NID2" s="59"/>
      <c r="NIE2" s="59"/>
      <c r="NIF2" s="59"/>
      <c r="NIG2" s="59"/>
      <c r="NIH2" s="59"/>
      <c r="NII2" s="59"/>
      <c r="NIJ2" s="59"/>
      <c r="NIK2" s="59"/>
      <c r="NIL2" s="59"/>
      <c r="NIM2" s="59"/>
      <c r="NIN2" s="59"/>
      <c r="NIO2" s="59"/>
      <c r="NIP2" s="59"/>
      <c r="NIQ2" s="59"/>
      <c r="NIR2" s="59"/>
      <c r="NIS2" s="59"/>
      <c r="NIT2" s="59"/>
      <c r="NIU2" s="59"/>
      <c r="NIV2" s="59"/>
      <c r="NIW2" s="59"/>
      <c r="NIX2" s="59"/>
      <c r="NIY2" s="59"/>
      <c r="NIZ2" s="59"/>
      <c r="NJA2" s="59"/>
      <c r="NJB2" s="59"/>
      <c r="NJC2" s="59"/>
      <c r="NJD2" s="59"/>
      <c r="NJE2" s="59"/>
      <c r="NJF2" s="59"/>
      <c r="NJG2" s="59"/>
      <c r="NJH2" s="59"/>
      <c r="NJI2" s="59"/>
      <c r="NJJ2" s="59"/>
      <c r="NJK2" s="59"/>
      <c r="NJL2" s="59"/>
      <c r="NJM2" s="59"/>
      <c r="NJN2" s="59"/>
      <c r="NJO2" s="59"/>
      <c r="NJP2" s="59"/>
      <c r="NJQ2" s="59"/>
      <c r="NJR2" s="59"/>
      <c r="NJS2" s="59"/>
      <c r="NJT2" s="59"/>
      <c r="NJU2" s="59"/>
      <c r="NJV2" s="59"/>
      <c r="NJW2" s="59"/>
      <c r="NJX2" s="59"/>
      <c r="NJY2" s="59"/>
      <c r="NJZ2" s="59"/>
      <c r="NKA2" s="59"/>
      <c r="NKB2" s="59"/>
      <c r="NKC2" s="59"/>
      <c r="NKD2" s="59"/>
      <c r="NKE2" s="59"/>
      <c r="NKF2" s="59"/>
      <c r="NKG2" s="59"/>
      <c r="NKH2" s="59"/>
      <c r="NKI2" s="59"/>
      <c r="NKJ2" s="59"/>
      <c r="NKK2" s="59"/>
      <c r="NKL2" s="59"/>
      <c r="NKM2" s="59"/>
      <c r="NKN2" s="59"/>
      <c r="NKO2" s="59"/>
      <c r="NKP2" s="59"/>
      <c r="NKQ2" s="59"/>
      <c r="NKR2" s="59"/>
      <c r="NKS2" s="59"/>
      <c r="NKT2" s="59"/>
      <c r="NKU2" s="59"/>
      <c r="NKV2" s="59"/>
      <c r="NKW2" s="59"/>
      <c r="NKX2" s="59"/>
      <c r="NKY2" s="59"/>
      <c r="NKZ2" s="59"/>
      <c r="NLA2" s="59"/>
      <c r="NLB2" s="59"/>
      <c r="NLC2" s="59"/>
      <c r="NLD2" s="59"/>
      <c r="NLE2" s="59"/>
      <c r="NLF2" s="59"/>
      <c r="NLG2" s="59"/>
      <c r="NLH2" s="59"/>
      <c r="NLI2" s="59"/>
      <c r="NLJ2" s="59"/>
      <c r="NLK2" s="59"/>
      <c r="NLL2" s="59"/>
      <c r="NLM2" s="59"/>
      <c r="NLN2" s="59"/>
      <c r="NLO2" s="59"/>
      <c r="NLP2" s="59"/>
      <c r="NLQ2" s="59"/>
      <c r="NLR2" s="59"/>
      <c r="NLS2" s="59"/>
      <c r="NLT2" s="59"/>
      <c r="NLU2" s="59"/>
      <c r="NLV2" s="59"/>
      <c r="NLW2" s="59"/>
      <c r="NLX2" s="59"/>
      <c r="NLY2" s="59"/>
      <c r="NLZ2" s="59"/>
      <c r="NMA2" s="59"/>
      <c r="NMB2" s="59"/>
      <c r="NMC2" s="59"/>
      <c r="NMD2" s="59"/>
      <c r="NME2" s="59"/>
      <c r="NMF2" s="59"/>
      <c r="NMG2" s="59"/>
      <c r="NMH2" s="59"/>
      <c r="NMI2" s="59"/>
      <c r="NMJ2" s="59"/>
      <c r="NMK2" s="59"/>
      <c r="NML2" s="59"/>
      <c r="NMM2" s="59"/>
      <c r="NMN2" s="59"/>
      <c r="NMO2" s="59"/>
      <c r="NMP2" s="59"/>
      <c r="NMQ2" s="59"/>
      <c r="NMR2" s="59"/>
      <c r="NMS2" s="59"/>
      <c r="NMT2" s="59"/>
      <c r="NMU2" s="59"/>
      <c r="NMV2" s="59"/>
      <c r="NMW2" s="59"/>
      <c r="NMX2" s="59"/>
      <c r="NMY2" s="59"/>
      <c r="NMZ2" s="59"/>
      <c r="NNA2" s="59"/>
      <c r="NNB2" s="59"/>
      <c r="NNC2" s="59"/>
      <c r="NND2" s="59"/>
      <c r="NNE2" s="59"/>
      <c r="NNF2" s="59"/>
      <c r="NNG2" s="59"/>
      <c r="NNH2" s="59"/>
      <c r="NNI2" s="59"/>
      <c r="NNJ2" s="59"/>
      <c r="NNK2" s="59"/>
      <c r="NNL2" s="59"/>
      <c r="NNM2" s="59"/>
      <c r="NNN2" s="59"/>
      <c r="NNO2" s="59"/>
      <c r="NNP2" s="59"/>
      <c r="NNQ2" s="59"/>
      <c r="NNR2" s="59"/>
      <c r="NNS2" s="59"/>
      <c r="NNT2" s="59"/>
      <c r="NNU2" s="59"/>
      <c r="NNV2" s="59"/>
      <c r="NNW2" s="59"/>
      <c r="NNX2" s="59"/>
      <c r="NNY2" s="59"/>
      <c r="NNZ2" s="59"/>
      <c r="NOA2" s="59"/>
      <c r="NOB2" s="59"/>
      <c r="NOC2" s="59"/>
      <c r="NOD2" s="59"/>
      <c r="NOE2" s="59"/>
      <c r="NOF2" s="59"/>
      <c r="NOG2" s="59"/>
      <c r="NOH2" s="59"/>
      <c r="NOI2" s="59"/>
      <c r="NOJ2" s="59"/>
      <c r="NOK2" s="59"/>
      <c r="NOL2" s="59"/>
      <c r="NOM2" s="59"/>
      <c r="NON2" s="59"/>
      <c r="NOO2" s="59"/>
      <c r="NOP2" s="59"/>
      <c r="NOQ2" s="59"/>
      <c r="NOR2" s="59"/>
      <c r="NOS2" s="59"/>
      <c r="NOT2" s="59"/>
      <c r="NOU2" s="59"/>
      <c r="NOV2" s="59"/>
      <c r="NOW2" s="59"/>
      <c r="NOX2" s="59"/>
      <c r="NOY2" s="59"/>
      <c r="NOZ2" s="59"/>
      <c r="NPA2" s="59"/>
      <c r="NPB2" s="59"/>
      <c r="NPC2" s="59"/>
      <c r="NPD2" s="59"/>
      <c r="NPE2" s="59"/>
      <c r="NPF2" s="59"/>
      <c r="NPG2" s="59"/>
      <c r="NPH2" s="59"/>
      <c r="NPI2" s="59"/>
      <c r="NPJ2" s="59"/>
      <c r="NPK2" s="59"/>
      <c r="NPL2" s="59"/>
      <c r="NPM2" s="59"/>
      <c r="NPN2" s="59"/>
      <c r="NPO2" s="59"/>
      <c r="NPP2" s="59"/>
      <c r="NPQ2" s="59"/>
      <c r="NPR2" s="59"/>
      <c r="NPS2" s="59"/>
      <c r="NPT2" s="59"/>
      <c r="NPU2" s="59"/>
      <c r="NPV2" s="59"/>
      <c r="NPW2" s="59"/>
      <c r="NPX2" s="59"/>
      <c r="NPY2" s="59"/>
      <c r="NPZ2" s="59"/>
      <c r="NQA2" s="59"/>
      <c r="NQB2" s="59"/>
      <c r="NQC2" s="59"/>
      <c r="NQD2" s="59"/>
      <c r="NQE2" s="59"/>
      <c r="NQF2" s="59"/>
      <c r="NQG2" s="59"/>
      <c r="NQH2" s="59"/>
      <c r="NQI2" s="59"/>
      <c r="NQJ2" s="59"/>
      <c r="NQK2" s="59"/>
      <c r="NQL2" s="59"/>
      <c r="NQM2" s="59"/>
      <c r="NQN2" s="59"/>
      <c r="NQO2" s="59"/>
      <c r="NQP2" s="59"/>
      <c r="NQQ2" s="59"/>
      <c r="NQR2" s="59"/>
      <c r="NQS2" s="59"/>
      <c r="NQT2" s="59"/>
      <c r="NQU2" s="59"/>
      <c r="NQV2" s="59"/>
      <c r="NQW2" s="59"/>
      <c r="NQX2" s="59"/>
      <c r="NQY2" s="59"/>
      <c r="NQZ2" s="59"/>
      <c r="NRA2" s="59"/>
      <c r="NRB2" s="59"/>
      <c r="NRC2" s="59"/>
      <c r="NRD2" s="59"/>
      <c r="NRE2" s="59"/>
      <c r="NRF2" s="59"/>
      <c r="NRG2" s="59"/>
      <c r="NRH2" s="59"/>
      <c r="NRI2" s="59"/>
      <c r="NRJ2" s="59"/>
      <c r="NRK2" s="59"/>
      <c r="NRL2" s="59"/>
      <c r="NRM2" s="59"/>
      <c r="NRN2" s="59"/>
      <c r="NRO2" s="59"/>
      <c r="NRP2" s="59"/>
      <c r="NRQ2" s="59"/>
      <c r="NRR2" s="59"/>
      <c r="NRS2" s="59"/>
      <c r="NRT2" s="59"/>
      <c r="NRU2" s="59"/>
      <c r="NRV2" s="59"/>
      <c r="NRW2" s="59"/>
      <c r="NRX2" s="59"/>
      <c r="NRY2" s="59"/>
      <c r="NRZ2" s="59"/>
      <c r="NSA2" s="59"/>
      <c r="NSB2" s="59"/>
      <c r="NSC2" s="59"/>
      <c r="NSD2" s="59"/>
      <c r="NSE2" s="59"/>
      <c r="NSF2" s="59"/>
      <c r="NSG2" s="59"/>
      <c r="NSH2" s="59"/>
      <c r="NSI2" s="59"/>
      <c r="NSJ2" s="59"/>
      <c r="NSK2" s="59"/>
      <c r="NSL2" s="59"/>
      <c r="NSM2" s="59"/>
      <c r="NSN2" s="59"/>
      <c r="NSO2" s="59"/>
      <c r="NSP2" s="59"/>
      <c r="NSQ2" s="59"/>
      <c r="NSR2" s="59"/>
      <c r="NSS2" s="59"/>
      <c r="NST2" s="59"/>
      <c r="NSU2" s="59"/>
      <c r="NSV2" s="59"/>
      <c r="NSW2" s="59"/>
      <c r="NSX2" s="59"/>
      <c r="NSY2" s="59"/>
      <c r="NSZ2" s="59"/>
      <c r="NTA2" s="59"/>
      <c r="NTB2" s="59"/>
      <c r="NTC2" s="59"/>
      <c r="NTD2" s="59"/>
      <c r="NTE2" s="59"/>
      <c r="NTF2" s="59"/>
      <c r="NTG2" s="59"/>
      <c r="NTH2" s="59"/>
      <c r="NTI2" s="59"/>
      <c r="NTJ2" s="59"/>
      <c r="NTK2" s="59"/>
      <c r="NTL2" s="59"/>
      <c r="NTM2" s="59"/>
      <c r="NTN2" s="59"/>
      <c r="NTO2" s="59"/>
      <c r="NTP2" s="59"/>
      <c r="NTQ2" s="59"/>
      <c r="NTR2" s="59"/>
      <c r="NTS2" s="59"/>
      <c r="NTT2" s="59"/>
      <c r="NTU2" s="59"/>
      <c r="NTV2" s="59"/>
      <c r="NTW2" s="59"/>
      <c r="NTX2" s="59"/>
      <c r="NTY2" s="59"/>
      <c r="NTZ2" s="59"/>
      <c r="NUA2" s="59"/>
      <c r="NUB2" s="59"/>
      <c r="NUC2" s="59"/>
      <c r="NUD2" s="59"/>
      <c r="NUE2" s="59"/>
      <c r="NUF2" s="59"/>
      <c r="NUG2" s="59"/>
      <c r="NUH2" s="59"/>
      <c r="NUI2" s="59"/>
      <c r="NUJ2" s="59"/>
      <c r="NUK2" s="59"/>
      <c r="NUL2" s="59"/>
      <c r="NUM2" s="59"/>
      <c r="NUN2" s="59"/>
      <c r="NUO2" s="59"/>
      <c r="NUP2" s="59"/>
      <c r="NUQ2" s="59"/>
      <c r="NUR2" s="59"/>
      <c r="NUS2" s="59"/>
      <c r="NUT2" s="59"/>
      <c r="NUU2" s="59"/>
      <c r="NUV2" s="59"/>
      <c r="NUW2" s="59"/>
      <c r="NUX2" s="59"/>
      <c r="NUY2" s="59"/>
      <c r="NUZ2" s="59"/>
      <c r="NVA2" s="59"/>
      <c r="NVB2" s="59"/>
      <c r="NVC2" s="59"/>
      <c r="NVD2" s="59"/>
      <c r="NVE2" s="59"/>
      <c r="NVF2" s="59"/>
      <c r="NVG2" s="59"/>
      <c r="NVH2" s="59"/>
      <c r="NVI2" s="59"/>
      <c r="NVJ2" s="59"/>
      <c r="NVK2" s="59"/>
      <c r="NVL2" s="59"/>
      <c r="NVM2" s="59"/>
      <c r="NVN2" s="59"/>
      <c r="NVO2" s="59"/>
      <c r="NVP2" s="59"/>
      <c r="NVQ2" s="59"/>
      <c r="NVR2" s="59"/>
      <c r="NVS2" s="59"/>
      <c r="NVT2" s="59"/>
      <c r="NVU2" s="59"/>
      <c r="NVV2" s="59"/>
      <c r="NVW2" s="59"/>
      <c r="NVX2" s="59"/>
      <c r="NVY2" s="59"/>
      <c r="NVZ2" s="59"/>
      <c r="NWA2" s="59"/>
      <c r="NWB2" s="59"/>
      <c r="NWC2" s="59"/>
      <c r="NWD2" s="59"/>
      <c r="NWE2" s="59"/>
      <c r="NWF2" s="59"/>
      <c r="NWG2" s="59"/>
      <c r="NWH2" s="59"/>
      <c r="NWI2" s="59"/>
      <c r="NWJ2" s="59"/>
      <c r="NWK2" s="59"/>
      <c r="NWL2" s="59"/>
      <c r="NWM2" s="59"/>
      <c r="NWN2" s="59"/>
      <c r="NWO2" s="59"/>
      <c r="NWP2" s="59"/>
      <c r="NWQ2" s="59"/>
      <c r="NWR2" s="59"/>
      <c r="NWS2" s="59"/>
      <c r="NWT2" s="59"/>
      <c r="NWU2" s="59"/>
      <c r="NWV2" s="59"/>
      <c r="NWW2" s="59"/>
      <c r="NWX2" s="59"/>
      <c r="NWY2" s="59"/>
      <c r="NWZ2" s="59"/>
      <c r="NXA2" s="59"/>
      <c r="NXB2" s="59"/>
      <c r="NXC2" s="59"/>
      <c r="NXD2" s="59"/>
      <c r="NXE2" s="59"/>
      <c r="NXF2" s="59"/>
      <c r="NXG2" s="59"/>
      <c r="NXH2" s="59"/>
      <c r="NXI2" s="59"/>
      <c r="NXJ2" s="59"/>
      <c r="NXK2" s="59"/>
      <c r="NXL2" s="59"/>
      <c r="NXM2" s="59"/>
      <c r="NXN2" s="59"/>
      <c r="NXO2" s="59"/>
      <c r="NXP2" s="59"/>
      <c r="NXQ2" s="59"/>
      <c r="NXR2" s="59"/>
      <c r="NXS2" s="59"/>
      <c r="NXT2" s="59"/>
      <c r="NXU2" s="59"/>
      <c r="NXV2" s="59"/>
      <c r="NXW2" s="59"/>
      <c r="NXX2" s="59"/>
      <c r="NXY2" s="59"/>
      <c r="NXZ2" s="59"/>
      <c r="NYA2" s="59"/>
      <c r="NYB2" s="59"/>
      <c r="NYC2" s="59"/>
      <c r="NYD2" s="59"/>
      <c r="NYE2" s="59"/>
      <c r="NYF2" s="59"/>
      <c r="NYG2" s="59"/>
      <c r="NYH2" s="59"/>
      <c r="NYI2" s="59"/>
      <c r="NYJ2" s="59"/>
      <c r="NYK2" s="59"/>
      <c r="NYL2" s="59"/>
      <c r="NYM2" s="59"/>
      <c r="NYN2" s="59"/>
      <c r="NYO2" s="59"/>
      <c r="NYP2" s="59"/>
      <c r="NYQ2" s="59"/>
      <c r="NYR2" s="59"/>
      <c r="NYS2" s="59"/>
      <c r="NYT2" s="59"/>
      <c r="NYU2" s="59"/>
      <c r="NYV2" s="59"/>
      <c r="NYW2" s="59"/>
      <c r="NYX2" s="59"/>
      <c r="NYY2" s="59"/>
      <c r="NYZ2" s="59"/>
      <c r="NZA2" s="59"/>
      <c r="NZB2" s="59"/>
      <c r="NZC2" s="59"/>
      <c r="NZD2" s="59"/>
      <c r="NZE2" s="59"/>
      <c r="NZF2" s="59"/>
      <c r="NZG2" s="59"/>
      <c r="NZH2" s="59"/>
      <c r="NZI2" s="59"/>
      <c r="NZJ2" s="59"/>
      <c r="NZK2" s="59"/>
      <c r="NZL2" s="59"/>
      <c r="NZM2" s="59"/>
      <c r="NZN2" s="59"/>
      <c r="NZO2" s="59"/>
      <c r="NZP2" s="59"/>
      <c r="NZQ2" s="59"/>
      <c r="NZR2" s="59"/>
      <c r="NZS2" s="59"/>
      <c r="NZT2" s="59"/>
      <c r="NZU2" s="59"/>
      <c r="NZV2" s="59"/>
      <c r="NZW2" s="59"/>
      <c r="NZX2" s="59"/>
      <c r="NZY2" s="59"/>
      <c r="NZZ2" s="59"/>
      <c r="OAA2" s="59"/>
      <c r="OAB2" s="59"/>
      <c r="OAC2" s="59"/>
      <c r="OAD2" s="59"/>
      <c r="OAE2" s="59"/>
      <c r="OAF2" s="59"/>
      <c r="OAG2" s="59"/>
      <c r="OAH2" s="59"/>
      <c r="OAI2" s="59"/>
      <c r="OAJ2" s="59"/>
      <c r="OAK2" s="59"/>
      <c r="OAL2" s="59"/>
      <c r="OAM2" s="59"/>
      <c r="OAN2" s="59"/>
      <c r="OAO2" s="59"/>
      <c r="OAP2" s="59"/>
      <c r="OAQ2" s="59"/>
      <c r="OAR2" s="59"/>
      <c r="OAS2" s="59"/>
      <c r="OAT2" s="59"/>
      <c r="OAU2" s="59"/>
      <c r="OAV2" s="59"/>
      <c r="OAW2" s="59"/>
      <c r="OAX2" s="59"/>
      <c r="OAY2" s="59"/>
      <c r="OAZ2" s="59"/>
      <c r="OBA2" s="59"/>
      <c r="OBB2" s="59"/>
      <c r="OBC2" s="59"/>
      <c r="OBD2" s="59"/>
      <c r="OBE2" s="59"/>
      <c r="OBF2" s="59"/>
      <c r="OBG2" s="59"/>
      <c r="OBH2" s="59"/>
      <c r="OBI2" s="59"/>
      <c r="OBJ2" s="59"/>
      <c r="OBK2" s="59"/>
      <c r="OBL2" s="59"/>
      <c r="OBM2" s="59"/>
      <c r="OBN2" s="59"/>
      <c r="OBO2" s="59"/>
      <c r="OBP2" s="59"/>
      <c r="OBQ2" s="59"/>
      <c r="OBR2" s="59"/>
      <c r="OBS2" s="59"/>
      <c r="OBT2" s="59"/>
      <c r="OBU2" s="59"/>
      <c r="OBV2" s="59"/>
      <c r="OBW2" s="59"/>
      <c r="OBX2" s="59"/>
      <c r="OBY2" s="59"/>
      <c r="OBZ2" s="59"/>
      <c r="OCA2" s="59"/>
      <c r="OCB2" s="59"/>
      <c r="OCC2" s="59"/>
      <c r="OCD2" s="59"/>
      <c r="OCE2" s="59"/>
      <c r="OCF2" s="59"/>
      <c r="OCG2" s="59"/>
      <c r="OCH2" s="59"/>
      <c r="OCI2" s="59"/>
      <c r="OCJ2" s="59"/>
      <c r="OCK2" s="59"/>
      <c r="OCL2" s="59"/>
      <c r="OCM2" s="59"/>
      <c r="OCN2" s="59"/>
      <c r="OCO2" s="59"/>
      <c r="OCP2" s="59"/>
      <c r="OCQ2" s="59"/>
      <c r="OCR2" s="59"/>
      <c r="OCS2" s="59"/>
      <c r="OCT2" s="59"/>
      <c r="OCU2" s="59"/>
      <c r="OCV2" s="59"/>
      <c r="OCW2" s="59"/>
      <c r="OCX2" s="59"/>
      <c r="OCY2" s="59"/>
      <c r="OCZ2" s="59"/>
      <c r="ODA2" s="59"/>
      <c r="ODB2" s="59"/>
      <c r="ODC2" s="59"/>
      <c r="ODD2" s="59"/>
      <c r="ODE2" s="59"/>
      <c r="ODF2" s="59"/>
      <c r="ODG2" s="59"/>
      <c r="ODH2" s="59"/>
      <c r="ODI2" s="59"/>
      <c r="ODJ2" s="59"/>
      <c r="ODK2" s="59"/>
      <c r="ODL2" s="59"/>
      <c r="ODM2" s="59"/>
      <c r="ODN2" s="59"/>
      <c r="ODO2" s="59"/>
      <c r="ODP2" s="59"/>
      <c r="ODQ2" s="59"/>
      <c r="ODR2" s="59"/>
      <c r="ODS2" s="59"/>
      <c r="ODT2" s="59"/>
      <c r="ODU2" s="59"/>
      <c r="ODV2" s="59"/>
      <c r="ODW2" s="59"/>
      <c r="ODX2" s="59"/>
      <c r="ODY2" s="59"/>
      <c r="ODZ2" s="59"/>
      <c r="OEA2" s="59"/>
      <c r="OEB2" s="59"/>
      <c r="OEC2" s="59"/>
      <c r="OED2" s="59"/>
      <c r="OEE2" s="59"/>
      <c r="OEF2" s="59"/>
      <c r="OEG2" s="59"/>
      <c r="OEH2" s="59"/>
      <c r="OEI2" s="59"/>
      <c r="OEJ2" s="59"/>
      <c r="OEK2" s="59"/>
      <c r="OEL2" s="59"/>
      <c r="OEM2" s="59"/>
      <c r="OEN2" s="59"/>
      <c r="OEO2" s="59"/>
      <c r="OEP2" s="59"/>
      <c r="OEQ2" s="59"/>
      <c r="OER2" s="59"/>
      <c r="OES2" s="59"/>
      <c r="OET2" s="59"/>
      <c r="OEU2" s="59"/>
      <c r="OEV2" s="59"/>
      <c r="OEW2" s="59"/>
      <c r="OEX2" s="59"/>
      <c r="OEY2" s="59"/>
      <c r="OEZ2" s="59"/>
      <c r="OFA2" s="59"/>
      <c r="OFB2" s="59"/>
      <c r="OFC2" s="59"/>
      <c r="OFD2" s="59"/>
      <c r="OFE2" s="59"/>
      <c r="OFF2" s="59"/>
      <c r="OFG2" s="59"/>
      <c r="OFH2" s="59"/>
      <c r="OFI2" s="59"/>
      <c r="OFJ2" s="59"/>
      <c r="OFK2" s="59"/>
      <c r="OFL2" s="59"/>
      <c r="OFM2" s="59"/>
      <c r="OFN2" s="59"/>
      <c r="OFO2" s="59"/>
      <c r="OFP2" s="59"/>
      <c r="OFQ2" s="59"/>
      <c r="OFR2" s="59"/>
      <c r="OFS2" s="59"/>
      <c r="OFT2" s="59"/>
      <c r="OFU2" s="59"/>
      <c r="OFV2" s="59"/>
      <c r="OFW2" s="59"/>
      <c r="OFX2" s="59"/>
      <c r="OFY2" s="59"/>
      <c r="OFZ2" s="59"/>
      <c r="OGA2" s="59"/>
      <c r="OGB2" s="59"/>
      <c r="OGC2" s="59"/>
      <c r="OGD2" s="59"/>
      <c r="OGE2" s="59"/>
      <c r="OGF2" s="59"/>
      <c r="OGG2" s="59"/>
      <c r="OGH2" s="59"/>
      <c r="OGI2" s="59"/>
      <c r="OGJ2" s="59"/>
      <c r="OGK2" s="59"/>
      <c r="OGL2" s="59"/>
      <c r="OGM2" s="59"/>
      <c r="OGN2" s="59"/>
      <c r="OGO2" s="59"/>
      <c r="OGP2" s="59"/>
      <c r="OGQ2" s="59"/>
      <c r="OGR2" s="59"/>
      <c r="OGS2" s="59"/>
      <c r="OGT2" s="59"/>
      <c r="OGU2" s="59"/>
      <c r="OGV2" s="59"/>
      <c r="OGW2" s="59"/>
      <c r="OGX2" s="59"/>
      <c r="OGY2" s="59"/>
      <c r="OGZ2" s="59"/>
      <c r="OHA2" s="59"/>
      <c r="OHB2" s="59"/>
      <c r="OHC2" s="59"/>
      <c r="OHD2" s="59"/>
      <c r="OHE2" s="59"/>
      <c r="OHF2" s="59"/>
      <c r="OHG2" s="59"/>
      <c r="OHH2" s="59"/>
      <c r="OHI2" s="59"/>
      <c r="OHJ2" s="59"/>
      <c r="OHK2" s="59"/>
      <c r="OHL2" s="59"/>
      <c r="OHM2" s="59"/>
      <c r="OHN2" s="59"/>
      <c r="OHO2" s="59"/>
      <c r="OHP2" s="59"/>
      <c r="OHQ2" s="59"/>
      <c r="OHR2" s="59"/>
      <c r="OHS2" s="59"/>
      <c r="OHT2" s="59"/>
      <c r="OHU2" s="59"/>
      <c r="OHV2" s="59"/>
      <c r="OHW2" s="59"/>
      <c r="OHX2" s="59"/>
      <c r="OHY2" s="59"/>
      <c r="OHZ2" s="59"/>
      <c r="OIA2" s="59"/>
      <c r="OIB2" s="59"/>
      <c r="OIC2" s="59"/>
      <c r="OID2" s="59"/>
      <c r="OIE2" s="59"/>
      <c r="OIF2" s="59"/>
      <c r="OIG2" s="59"/>
      <c r="OIH2" s="59"/>
      <c r="OII2" s="59"/>
      <c r="OIJ2" s="59"/>
      <c r="OIK2" s="59"/>
      <c r="OIL2" s="59"/>
      <c r="OIM2" s="59"/>
      <c r="OIN2" s="59"/>
      <c r="OIO2" s="59"/>
      <c r="OIP2" s="59"/>
      <c r="OIQ2" s="59"/>
      <c r="OIR2" s="59"/>
      <c r="OIS2" s="59"/>
      <c r="OIT2" s="59"/>
      <c r="OIU2" s="59"/>
      <c r="OIV2" s="59"/>
      <c r="OIW2" s="59"/>
      <c r="OIX2" s="59"/>
      <c r="OIY2" s="59"/>
      <c r="OIZ2" s="59"/>
      <c r="OJA2" s="59"/>
      <c r="OJB2" s="59"/>
      <c r="OJC2" s="59"/>
      <c r="OJD2" s="59"/>
      <c r="OJE2" s="59"/>
      <c r="OJF2" s="59"/>
      <c r="OJG2" s="59"/>
      <c r="OJH2" s="59"/>
      <c r="OJI2" s="59"/>
      <c r="OJJ2" s="59"/>
      <c r="OJK2" s="59"/>
      <c r="OJL2" s="59"/>
      <c r="OJM2" s="59"/>
      <c r="OJN2" s="59"/>
      <c r="OJO2" s="59"/>
      <c r="OJP2" s="59"/>
      <c r="OJQ2" s="59"/>
      <c r="OJR2" s="59"/>
      <c r="OJS2" s="59"/>
      <c r="OJT2" s="59"/>
      <c r="OJU2" s="59"/>
      <c r="OJV2" s="59"/>
      <c r="OJW2" s="59"/>
      <c r="OJX2" s="59"/>
      <c r="OJY2" s="59"/>
      <c r="OJZ2" s="59"/>
      <c r="OKA2" s="59"/>
      <c r="OKB2" s="59"/>
      <c r="OKC2" s="59"/>
      <c r="OKD2" s="59"/>
      <c r="OKE2" s="59"/>
      <c r="OKF2" s="59"/>
      <c r="OKG2" s="59"/>
      <c r="OKH2" s="59"/>
      <c r="OKI2" s="59"/>
      <c r="OKJ2" s="59"/>
      <c r="OKK2" s="59"/>
      <c r="OKL2" s="59"/>
      <c r="OKM2" s="59"/>
      <c r="OKN2" s="59"/>
      <c r="OKO2" s="59"/>
      <c r="OKP2" s="59"/>
      <c r="OKQ2" s="59"/>
      <c r="OKR2" s="59"/>
      <c r="OKS2" s="59"/>
      <c r="OKT2" s="59"/>
      <c r="OKU2" s="59"/>
      <c r="OKV2" s="59"/>
      <c r="OKW2" s="59"/>
      <c r="OKX2" s="59"/>
      <c r="OKY2" s="59"/>
      <c r="OKZ2" s="59"/>
      <c r="OLA2" s="59"/>
      <c r="OLB2" s="59"/>
      <c r="OLC2" s="59"/>
      <c r="OLD2" s="59"/>
      <c r="OLE2" s="59"/>
      <c r="OLF2" s="59"/>
      <c r="OLG2" s="59"/>
      <c r="OLH2" s="59"/>
      <c r="OLI2" s="59"/>
      <c r="OLJ2" s="59"/>
      <c r="OLK2" s="59"/>
      <c r="OLL2" s="59"/>
      <c r="OLM2" s="59"/>
      <c r="OLN2" s="59"/>
      <c r="OLO2" s="59"/>
      <c r="OLP2" s="59"/>
      <c r="OLQ2" s="59"/>
      <c r="OLR2" s="59"/>
      <c r="OLS2" s="59"/>
      <c r="OLT2" s="59"/>
      <c r="OLU2" s="59"/>
      <c r="OLV2" s="59"/>
      <c r="OLW2" s="59"/>
      <c r="OLX2" s="59"/>
      <c r="OLY2" s="59"/>
      <c r="OLZ2" s="59"/>
      <c r="OMA2" s="59"/>
      <c r="OMB2" s="59"/>
      <c r="OMC2" s="59"/>
      <c r="OMD2" s="59"/>
      <c r="OME2" s="59"/>
      <c r="OMF2" s="59"/>
      <c r="OMG2" s="59"/>
      <c r="OMH2" s="59"/>
      <c r="OMI2" s="59"/>
      <c r="OMJ2" s="59"/>
      <c r="OMK2" s="59"/>
      <c r="OML2" s="59"/>
      <c r="OMM2" s="59"/>
      <c r="OMN2" s="59"/>
      <c r="OMO2" s="59"/>
      <c r="OMP2" s="59"/>
      <c r="OMQ2" s="59"/>
      <c r="OMR2" s="59"/>
      <c r="OMS2" s="59"/>
      <c r="OMT2" s="59"/>
      <c r="OMU2" s="59"/>
      <c r="OMV2" s="59"/>
      <c r="OMW2" s="59"/>
      <c r="OMX2" s="59"/>
      <c r="OMY2" s="59"/>
      <c r="OMZ2" s="59"/>
      <c r="ONA2" s="59"/>
      <c r="ONB2" s="59"/>
      <c r="ONC2" s="59"/>
      <c r="OND2" s="59"/>
      <c r="ONE2" s="59"/>
      <c r="ONF2" s="59"/>
      <c r="ONG2" s="59"/>
      <c r="ONH2" s="59"/>
      <c r="ONI2" s="59"/>
      <c r="ONJ2" s="59"/>
      <c r="ONK2" s="59"/>
      <c r="ONL2" s="59"/>
      <c r="ONM2" s="59"/>
      <c r="ONN2" s="59"/>
      <c r="ONO2" s="59"/>
      <c r="ONP2" s="59"/>
      <c r="ONQ2" s="59"/>
      <c r="ONR2" s="59"/>
      <c r="ONS2" s="59"/>
      <c r="ONT2" s="59"/>
      <c r="ONU2" s="59"/>
      <c r="ONV2" s="59"/>
      <c r="ONW2" s="59"/>
      <c r="ONX2" s="59"/>
      <c r="ONY2" s="59"/>
      <c r="ONZ2" s="59"/>
      <c r="OOA2" s="59"/>
      <c r="OOB2" s="59"/>
      <c r="OOC2" s="59"/>
      <c r="OOD2" s="59"/>
      <c r="OOE2" s="59"/>
      <c r="OOF2" s="59"/>
      <c r="OOG2" s="59"/>
      <c r="OOH2" s="59"/>
      <c r="OOI2" s="59"/>
      <c r="OOJ2" s="59"/>
      <c r="OOK2" s="59"/>
      <c r="OOL2" s="59"/>
      <c r="OOM2" s="59"/>
      <c r="OON2" s="59"/>
      <c r="OOO2" s="59"/>
      <c r="OOP2" s="59"/>
      <c r="OOQ2" s="59"/>
      <c r="OOR2" s="59"/>
      <c r="OOS2" s="59"/>
      <c r="OOT2" s="59"/>
      <c r="OOU2" s="59"/>
      <c r="OOV2" s="59"/>
      <c r="OOW2" s="59"/>
      <c r="OOX2" s="59"/>
      <c r="OOY2" s="59"/>
      <c r="OOZ2" s="59"/>
      <c r="OPA2" s="59"/>
      <c r="OPB2" s="59"/>
      <c r="OPC2" s="59"/>
      <c r="OPD2" s="59"/>
      <c r="OPE2" s="59"/>
      <c r="OPF2" s="59"/>
      <c r="OPG2" s="59"/>
      <c r="OPH2" s="59"/>
      <c r="OPI2" s="59"/>
      <c r="OPJ2" s="59"/>
      <c r="OPK2" s="59"/>
      <c r="OPL2" s="59"/>
      <c r="OPM2" s="59"/>
      <c r="OPN2" s="59"/>
      <c r="OPO2" s="59"/>
      <c r="OPP2" s="59"/>
      <c r="OPQ2" s="59"/>
      <c r="OPR2" s="59"/>
      <c r="OPS2" s="59"/>
      <c r="OPT2" s="59"/>
      <c r="OPU2" s="59"/>
      <c r="OPV2" s="59"/>
      <c r="OPW2" s="59"/>
      <c r="OPX2" s="59"/>
      <c r="OPY2" s="59"/>
      <c r="OPZ2" s="59"/>
      <c r="OQA2" s="59"/>
      <c r="OQB2" s="59"/>
      <c r="OQC2" s="59"/>
      <c r="OQD2" s="59"/>
      <c r="OQE2" s="59"/>
      <c r="OQF2" s="59"/>
      <c r="OQG2" s="59"/>
      <c r="OQH2" s="59"/>
      <c r="OQI2" s="59"/>
      <c r="OQJ2" s="59"/>
      <c r="OQK2" s="59"/>
      <c r="OQL2" s="59"/>
      <c r="OQM2" s="59"/>
      <c r="OQN2" s="59"/>
      <c r="OQO2" s="59"/>
      <c r="OQP2" s="59"/>
      <c r="OQQ2" s="59"/>
      <c r="OQR2" s="59"/>
      <c r="OQS2" s="59"/>
      <c r="OQT2" s="59"/>
      <c r="OQU2" s="59"/>
      <c r="OQV2" s="59"/>
      <c r="OQW2" s="59"/>
      <c r="OQX2" s="59"/>
      <c r="OQY2" s="59"/>
      <c r="OQZ2" s="59"/>
      <c r="ORA2" s="59"/>
      <c r="ORB2" s="59"/>
      <c r="ORC2" s="59"/>
      <c r="ORD2" s="59"/>
      <c r="ORE2" s="59"/>
      <c r="ORF2" s="59"/>
      <c r="ORG2" s="59"/>
      <c r="ORH2" s="59"/>
      <c r="ORI2" s="59"/>
      <c r="ORJ2" s="59"/>
      <c r="ORK2" s="59"/>
      <c r="ORL2" s="59"/>
      <c r="ORM2" s="59"/>
      <c r="ORN2" s="59"/>
      <c r="ORO2" s="59"/>
      <c r="ORP2" s="59"/>
      <c r="ORQ2" s="59"/>
      <c r="ORR2" s="59"/>
      <c r="ORS2" s="59"/>
      <c r="ORT2" s="59"/>
      <c r="ORU2" s="59"/>
      <c r="ORV2" s="59"/>
      <c r="ORW2" s="59"/>
      <c r="ORX2" s="59"/>
      <c r="ORY2" s="59"/>
      <c r="ORZ2" s="59"/>
      <c r="OSA2" s="59"/>
      <c r="OSB2" s="59"/>
      <c r="OSC2" s="59"/>
      <c r="OSD2" s="59"/>
      <c r="OSE2" s="59"/>
      <c r="OSF2" s="59"/>
      <c r="OSG2" s="59"/>
      <c r="OSH2" s="59"/>
      <c r="OSI2" s="59"/>
      <c r="OSJ2" s="59"/>
      <c r="OSK2" s="59"/>
      <c r="OSL2" s="59"/>
      <c r="OSM2" s="59"/>
      <c r="OSN2" s="59"/>
      <c r="OSO2" s="59"/>
      <c r="OSP2" s="59"/>
      <c r="OSQ2" s="59"/>
      <c r="OSR2" s="59"/>
      <c r="OSS2" s="59"/>
      <c r="OST2" s="59"/>
      <c r="OSU2" s="59"/>
      <c r="OSV2" s="59"/>
      <c r="OSW2" s="59"/>
      <c r="OSX2" s="59"/>
      <c r="OSY2" s="59"/>
      <c r="OSZ2" s="59"/>
      <c r="OTA2" s="59"/>
      <c r="OTB2" s="59"/>
      <c r="OTC2" s="59"/>
      <c r="OTD2" s="59"/>
      <c r="OTE2" s="59"/>
      <c r="OTF2" s="59"/>
      <c r="OTG2" s="59"/>
      <c r="OTH2" s="59"/>
      <c r="OTI2" s="59"/>
      <c r="OTJ2" s="59"/>
      <c r="OTK2" s="59"/>
      <c r="OTL2" s="59"/>
      <c r="OTM2" s="59"/>
      <c r="OTN2" s="59"/>
      <c r="OTO2" s="59"/>
      <c r="OTP2" s="59"/>
      <c r="OTQ2" s="59"/>
      <c r="OTR2" s="59"/>
      <c r="OTS2" s="59"/>
      <c r="OTT2" s="59"/>
      <c r="OTU2" s="59"/>
      <c r="OTV2" s="59"/>
      <c r="OTW2" s="59"/>
      <c r="OTX2" s="59"/>
      <c r="OTY2" s="59"/>
      <c r="OTZ2" s="59"/>
      <c r="OUA2" s="59"/>
      <c r="OUB2" s="59"/>
      <c r="OUC2" s="59"/>
      <c r="OUD2" s="59"/>
      <c r="OUE2" s="59"/>
      <c r="OUF2" s="59"/>
      <c r="OUG2" s="59"/>
      <c r="OUH2" s="59"/>
      <c r="OUI2" s="59"/>
      <c r="OUJ2" s="59"/>
      <c r="OUK2" s="59"/>
      <c r="OUL2" s="59"/>
      <c r="OUM2" s="59"/>
      <c r="OUN2" s="59"/>
      <c r="OUO2" s="59"/>
      <c r="OUP2" s="59"/>
      <c r="OUQ2" s="59"/>
      <c r="OUR2" s="59"/>
      <c r="OUS2" s="59"/>
      <c r="OUT2" s="59"/>
      <c r="OUU2" s="59"/>
      <c r="OUV2" s="59"/>
      <c r="OUW2" s="59"/>
      <c r="OUX2" s="59"/>
      <c r="OUY2" s="59"/>
      <c r="OUZ2" s="59"/>
      <c r="OVA2" s="59"/>
      <c r="OVB2" s="59"/>
      <c r="OVC2" s="59"/>
      <c r="OVD2" s="59"/>
      <c r="OVE2" s="59"/>
      <c r="OVF2" s="59"/>
      <c r="OVG2" s="59"/>
      <c r="OVH2" s="59"/>
      <c r="OVI2" s="59"/>
      <c r="OVJ2" s="59"/>
      <c r="OVK2" s="59"/>
      <c r="OVL2" s="59"/>
      <c r="OVM2" s="59"/>
      <c r="OVN2" s="59"/>
      <c r="OVO2" s="59"/>
      <c r="OVP2" s="59"/>
      <c r="OVQ2" s="59"/>
      <c r="OVR2" s="59"/>
      <c r="OVS2" s="59"/>
      <c r="OVT2" s="59"/>
      <c r="OVU2" s="59"/>
      <c r="OVV2" s="59"/>
      <c r="OVW2" s="59"/>
      <c r="OVX2" s="59"/>
      <c r="OVY2" s="59"/>
      <c r="OVZ2" s="59"/>
      <c r="OWA2" s="59"/>
      <c r="OWB2" s="59"/>
      <c r="OWC2" s="59"/>
      <c r="OWD2" s="59"/>
      <c r="OWE2" s="59"/>
      <c r="OWF2" s="59"/>
      <c r="OWG2" s="59"/>
      <c r="OWH2" s="59"/>
      <c r="OWI2" s="59"/>
      <c r="OWJ2" s="59"/>
      <c r="OWK2" s="59"/>
      <c r="OWL2" s="59"/>
      <c r="OWM2" s="59"/>
      <c r="OWN2" s="59"/>
      <c r="OWO2" s="59"/>
      <c r="OWP2" s="59"/>
      <c r="OWQ2" s="59"/>
      <c r="OWR2" s="59"/>
      <c r="OWS2" s="59"/>
      <c r="OWT2" s="59"/>
      <c r="OWU2" s="59"/>
      <c r="OWV2" s="59"/>
      <c r="OWW2" s="59"/>
      <c r="OWX2" s="59"/>
      <c r="OWY2" s="59"/>
      <c r="OWZ2" s="59"/>
      <c r="OXA2" s="59"/>
      <c r="OXB2" s="59"/>
      <c r="OXC2" s="59"/>
      <c r="OXD2" s="59"/>
      <c r="OXE2" s="59"/>
      <c r="OXF2" s="59"/>
      <c r="OXG2" s="59"/>
      <c r="OXH2" s="59"/>
      <c r="OXI2" s="59"/>
      <c r="OXJ2" s="59"/>
      <c r="OXK2" s="59"/>
      <c r="OXL2" s="59"/>
      <c r="OXM2" s="59"/>
      <c r="OXN2" s="59"/>
      <c r="OXO2" s="59"/>
      <c r="OXP2" s="59"/>
      <c r="OXQ2" s="59"/>
      <c r="OXR2" s="59"/>
      <c r="OXS2" s="59"/>
      <c r="OXT2" s="59"/>
      <c r="OXU2" s="59"/>
      <c r="OXV2" s="59"/>
      <c r="OXW2" s="59"/>
      <c r="OXX2" s="59"/>
      <c r="OXY2" s="59"/>
      <c r="OXZ2" s="59"/>
      <c r="OYA2" s="59"/>
      <c r="OYB2" s="59"/>
      <c r="OYC2" s="59"/>
      <c r="OYD2" s="59"/>
      <c r="OYE2" s="59"/>
      <c r="OYF2" s="59"/>
      <c r="OYG2" s="59"/>
      <c r="OYH2" s="59"/>
      <c r="OYI2" s="59"/>
      <c r="OYJ2" s="59"/>
      <c r="OYK2" s="59"/>
      <c r="OYL2" s="59"/>
      <c r="OYM2" s="59"/>
      <c r="OYN2" s="59"/>
      <c r="OYO2" s="59"/>
      <c r="OYP2" s="59"/>
      <c r="OYQ2" s="59"/>
      <c r="OYR2" s="59"/>
      <c r="OYS2" s="59"/>
      <c r="OYT2" s="59"/>
      <c r="OYU2" s="59"/>
      <c r="OYV2" s="59"/>
      <c r="OYW2" s="59"/>
      <c r="OYX2" s="59"/>
      <c r="OYY2" s="59"/>
      <c r="OYZ2" s="59"/>
      <c r="OZA2" s="59"/>
      <c r="OZB2" s="59"/>
      <c r="OZC2" s="59"/>
      <c r="OZD2" s="59"/>
      <c r="OZE2" s="59"/>
      <c r="OZF2" s="59"/>
      <c r="OZG2" s="59"/>
      <c r="OZH2" s="59"/>
      <c r="OZI2" s="59"/>
      <c r="OZJ2" s="59"/>
      <c r="OZK2" s="59"/>
      <c r="OZL2" s="59"/>
      <c r="OZM2" s="59"/>
      <c r="OZN2" s="59"/>
      <c r="OZO2" s="59"/>
      <c r="OZP2" s="59"/>
      <c r="OZQ2" s="59"/>
      <c r="OZR2" s="59"/>
      <c r="OZS2" s="59"/>
      <c r="OZT2" s="59"/>
      <c r="OZU2" s="59"/>
      <c r="OZV2" s="59"/>
      <c r="OZW2" s="59"/>
      <c r="OZX2" s="59"/>
      <c r="OZY2" s="59"/>
      <c r="OZZ2" s="59"/>
      <c r="PAA2" s="59"/>
      <c r="PAB2" s="59"/>
      <c r="PAC2" s="59"/>
      <c r="PAD2" s="59"/>
      <c r="PAE2" s="59"/>
      <c r="PAF2" s="59"/>
      <c r="PAG2" s="59"/>
      <c r="PAH2" s="59"/>
      <c r="PAI2" s="59"/>
      <c r="PAJ2" s="59"/>
      <c r="PAK2" s="59"/>
      <c r="PAL2" s="59"/>
      <c r="PAM2" s="59"/>
      <c r="PAN2" s="59"/>
      <c r="PAO2" s="59"/>
      <c r="PAP2" s="59"/>
      <c r="PAQ2" s="59"/>
      <c r="PAR2" s="59"/>
      <c r="PAS2" s="59"/>
      <c r="PAT2" s="59"/>
      <c r="PAU2" s="59"/>
      <c r="PAV2" s="59"/>
      <c r="PAW2" s="59"/>
      <c r="PAX2" s="59"/>
      <c r="PAY2" s="59"/>
      <c r="PAZ2" s="59"/>
      <c r="PBA2" s="59"/>
      <c r="PBB2" s="59"/>
      <c r="PBC2" s="59"/>
      <c r="PBD2" s="59"/>
      <c r="PBE2" s="59"/>
      <c r="PBF2" s="59"/>
      <c r="PBG2" s="59"/>
      <c r="PBH2" s="59"/>
      <c r="PBI2" s="59"/>
      <c r="PBJ2" s="59"/>
      <c r="PBK2" s="59"/>
      <c r="PBL2" s="59"/>
      <c r="PBM2" s="59"/>
      <c r="PBN2" s="59"/>
      <c r="PBO2" s="59"/>
      <c r="PBP2" s="59"/>
      <c r="PBQ2" s="59"/>
      <c r="PBR2" s="59"/>
      <c r="PBS2" s="59"/>
      <c r="PBT2" s="59"/>
      <c r="PBU2" s="59"/>
      <c r="PBV2" s="59"/>
      <c r="PBW2" s="59"/>
      <c r="PBX2" s="59"/>
      <c r="PBY2" s="59"/>
      <c r="PBZ2" s="59"/>
      <c r="PCA2" s="59"/>
      <c r="PCB2" s="59"/>
      <c r="PCC2" s="59"/>
      <c r="PCD2" s="59"/>
      <c r="PCE2" s="59"/>
      <c r="PCF2" s="59"/>
      <c r="PCG2" s="59"/>
      <c r="PCH2" s="59"/>
      <c r="PCI2" s="59"/>
      <c r="PCJ2" s="59"/>
      <c r="PCK2" s="59"/>
      <c r="PCL2" s="59"/>
      <c r="PCM2" s="59"/>
      <c r="PCN2" s="59"/>
      <c r="PCO2" s="59"/>
      <c r="PCP2" s="59"/>
      <c r="PCQ2" s="59"/>
      <c r="PCR2" s="59"/>
      <c r="PCS2" s="59"/>
      <c r="PCT2" s="59"/>
      <c r="PCU2" s="59"/>
      <c r="PCV2" s="59"/>
      <c r="PCW2" s="59"/>
      <c r="PCX2" s="59"/>
      <c r="PCY2" s="59"/>
      <c r="PCZ2" s="59"/>
      <c r="PDA2" s="59"/>
      <c r="PDB2" s="59"/>
      <c r="PDC2" s="59"/>
      <c r="PDD2" s="59"/>
      <c r="PDE2" s="59"/>
      <c r="PDF2" s="59"/>
      <c r="PDG2" s="59"/>
      <c r="PDH2" s="59"/>
      <c r="PDI2" s="59"/>
      <c r="PDJ2" s="59"/>
      <c r="PDK2" s="59"/>
      <c r="PDL2" s="59"/>
      <c r="PDM2" s="59"/>
      <c r="PDN2" s="59"/>
      <c r="PDO2" s="59"/>
      <c r="PDP2" s="59"/>
      <c r="PDQ2" s="59"/>
      <c r="PDR2" s="59"/>
      <c r="PDS2" s="59"/>
      <c r="PDT2" s="59"/>
      <c r="PDU2" s="59"/>
      <c r="PDV2" s="59"/>
      <c r="PDW2" s="59"/>
      <c r="PDX2" s="59"/>
      <c r="PDY2" s="59"/>
      <c r="PDZ2" s="59"/>
      <c r="PEA2" s="59"/>
      <c r="PEB2" s="59"/>
      <c r="PEC2" s="59"/>
      <c r="PED2" s="59"/>
      <c r="PEE2" s="59"/>
      <c r="PEF2" s="59"/>
      <c r="PEG2" s="59"/>
      <c r="PEH2" s="59"/>
      <c r="PEI2" s="59"/>
      <c r="PEJ2" s="59"/>
      <c r="PEK2" s="59"/>
      <c r="PEL2" s="59"/>
      <c r="PEM2" s="59"/>
      <c r="PEN2" s="59"/>
      <c r="PEO2" s="59"/>
      <c r="PEP2" s="59"/>
      <c r="PEQ2" s="59"/>
      <c r="PER2" s="59"/>
      <c r="PES2" s="59"/>
      <c r="PET2" s="59"/>
      <c r="PEU2" s="59"/>
      <c r="PEV2" s="59"/>
      <c r="PEW2" s="59"/>
      <c r="PEX2" s="59"/>
      <c r="PEY2" s="59"/>
      <c r="PEZ2" s="59"/>
      <c r="PFA2" s="59"/>
      <c r="PFB2" s="59"/>
      <c r="PFC2" s="59"/>
      <c r="PFD2" s="59"/>
      <c r="PFE2" s="59"/>
      <c r="PFF2" s="59"/>
      <c r="PFG2" s="59"/>
      <c r="PFH2" s="59"/>
      <c r="PFI2" s="59"/>
      <c r="PFJ2" s="59"/>
      <c r="PFK2" s="59"/>
      <c r="PFL2" s="59"/>
      <c r="PFM2" s="59"/>
      <c r="PFN2" s="59"/>
      <c r="PFO2" s="59"/>
      <c r="PFP2" s="59"/>
      <c r="PFQ2" s="59"/>
      <c r="PFR2" s="59"/>
      <c r="PFS2" s="59"/>
      <c r="PFT2" s="59"/>
      <c r="PFU2" s="59"/>
      <c r="PFV2" s="59"/>
      <c r="PFW2" s="59"/>
      <c r="PFX2" s="59"/>
      <c r="PFY2" s="59"/>
      <c r="PFZ2" s="59"/>
      <c r="PGA2" s="59"/>
      <c r="PGB2" s="59"/>
      <c r="PGC2" s="59"/>
      <c r="PGD2" s="59"/>
      <c r="PGE2" s="59"/>
      <c r="PGF2" s="59"/>
      <c r="PGG2" s="59"/>
      <c r="PGH2" s="59"/>
      <c r="PGI2" s="59"/>
      <c r="PGJ2" s="59"/>
      <c r="PGK2" s="59"/>
      <c r="PGL2" s="59"/>
      <c r="PGM2" s="59"/>
      <c r="PGN2" s="59"/>
      <c r="PGO2" s="59"/>
      <c r="PGP2" s="59"/>
      <c r="PGQ2" s="59"/>
      <c r="PGR2" s="59"/>
      <c r="PGS2" s="59"/>
      <c r="PGT2" s="59"/>
      <c r="PGU2" s="59"/>
      <c r="PGV2" s="59"/>
      <c r="PGW2" s="59"/>
      <c r="PGX2" s="59"/>
      <c r="PGY2" s="59"/>
      <c r="PGZ2" s="59"/>
      <c r="PHA2" s="59"/>
      <c r="PHB2" s="59"/>
      <c r="PHC2" s="59"/>
      <c r="PHD2" s="59"/>
      <c r="PHE2" s="59"/>
      <c r="PHF2" s="59"/>
      <c r="PHG2" s="59"/>
      <c r="PHH2" s="59"/>
      <c r="PHI2" s="59"/>
      <c r="PHJ2" s="59"/>
      <c r="PHK2" s="59"/>
      <c r="PHL2" s="59"/>
      <c r="PHM2" s="59"/>
      <c r="PHN2" s="59"/>
      <c r="PHO2" s="59"/>
      <c r="PHP2" s="59"/>
      <c r="PHQ2" s="59"/>
      <c r="PHR2" s="59"/>
      <c r="PHS2" s="59"/>
      <c r="PHT2" s="59"/>
      <c r="PHU2" s="59"/>
      <c r="PHV2" s="59"/>
      <c r="PHW2" s="59"/>
      <c r="PHX2" s="59"/>
      <c r="PHY2" s="59"/>
      <c r="PHZ2" s="59"/>
      <c r="PIA2" s="59"/>
      <c r="PIB2" s="59"/>
      <c r="PIC2" s="59"/>
      <c r="PID2" s="59"/>
      <c r="PIE2" s="59"/>
      <c r="PIF2" s="59"/>
      <c r="PIG2" s="59"/>
      <c r="PIH2" s="59"/>
      <c r="PII2" s="59"/>
      <c r="PIJ2" s="59"/>
      <c r="PIK2" s="59"/>
      <c r="PIL2" s="59"/>
      <c r="PIM2" s="59"/>
      <c r="PIN2" s="59"/>
      <c r="PIO2" s="59"/>
      <c r="PIP2" s="59"/>
      <c r="PIQ2" s="59"/>
      <c r="PIR2" s="59"/>
      <c r="PIS2" s="59"/>
      <c r="PIT2" s="59"/>
      <c r="PIU2" s="59"/>
      <c r="PIV2" s="59"/>
      <c r="PIW2" s="59"/>
      <c r="PIX2" s="59"/>
      <c r="PIY2" s="59"/>
      <c r="PIZ2" s="59"/>
      <c r="PJA2" s="59"/>
      <c r="PJB2" s="59"/>
      <c r="PJC2" s="59"/>
      <c r="PJD2" s="59"/>
      <c r="PJE2" s="59"/>
      <c r="PJF2" s="59"/>
      <c r="PJG2" s="59"/>
      <c r="PJH2" s="59"/>
      <c r="PJI2" s="59"/>
      <c r="PJJ2" s="59"/>
      <c r="PJK2" s="59"/>
      <c r="PJL2" s="59"/>
      <c r="PJM2" s="59"/>
      <c r="PJN2" s="59"/>
      <c r="PJO2" s="59"/>
      <c r="PJP2" s="59"/>
      <c r="PJQ2" s="59"/>
      <c r="PJR2" s="59"/>
      <c r="PJS2" s="59"/>
      <c r="PJT2" s="59"/>
      <c r="PJU2" s="59"/>
      <c r="PJV2" s="59"/>
      <c r="PJW2" s="59"/>
      <c r="PJX2" s="59"/>
      <c r="PJY2" s="59"/>
      <c r="PJZ2" s="59"/>
      <c r="PKA2" s="59"/>
      <c r="PKB2" s="59"/>
      <c r="PKC2" s="59"/>
      <c r="PKD2" s="59"/>
      <c r="PKE2" s="59"/>
      <c r="PKF2" s="59"/>
      <c r="PKG2" s="59"/>
      <c r="PKH2" s="59"/>
      <c r="PKI2" s="59"/>
      <c r="PKJ2" s="59"/>
      <c r="PKK2" s="59"/>
      <c r="PKL2" s="59"/>
      <c r="PKM2" s="59"/>
      <c r="PKN2" s="59"/>
      <c r="PKO2" s="59"/>
      <c r="PKP2" s="59"/>
      <c r="PKQ2" s="59"/>
      <c r="PKR2" s="59"/>
      <c r="PKS2" s="59"/>
      <c r="PKT2" s="59"/>
      <c r="PKU2" s="59"/>
      <c r="PKV2" s="59"/>
      <c r="PKW2" s="59"/>
      <c r="PKX2" s="59"/>
      <c r="PKY2" s="59"/>
      <c r="PKZ2" s="59"/>
      <c r="PLA2" s="59"/>
      <c r="PLB2" s="59"/>
      <c r="PLC2" s="59"/>
      <c r="PLD2" s="59"/>
      <c r="PLE2" s="59"/>
      <c r="PLF2" s="59"/>
      <c r="PLG2" s="59"/>
      <c r="PLH2" s="59"/>
      <c r="PLI2" s="59"/>
      <c r="PLJ2" s="59"/>
      <c r="PLK2" s="59"/>
      <c r="PLL2" s="59"/>
      <c r="PLM2" s="59"/>
      <c r="PLN2" s="59"/>
      <c r="PLO2" s="59"/>
      <c r="PLP2" s="59"/>
      <c r="PLQ2" s="59"/>
      <c r="PLR2" s="59"/>
      <c r="PLS2" s="59"/>
      <c r="PLT2" s="59"/>
      <c r="PLU2" s="59"/>
      <c r="PLV2" s="59"/>
      <c r="PLW2" s="59"/>
      <c r="PLX2" s="59"/>
      <c r="PLY2" s="59"/>
      <c r="PLZ2" s="59"/>
      <c r="PMA2" s="59"/>
      <c r="PMB2" s="59"/>
      <c r="PMC2" s="59"/>
      <c r="PMD2" s="59"/>
      <c r="PME2" s="59"/>
      <c r="PMF2" s="59"/>
      <c r="PMG2" s="59"/>
      <c r="PMH2" s="59"/>
      <c r="PMI2" s="59"/>
      <c r="PMJ2" s="59"/>
      <c r="PMK2" s="59"/>
      <c r="PML2" s="59"/>
      <c r="PMM2" s="59"/>
      <c r="PMN2" s="59"/>
      <c r="PMO2" s="59"/>
      <c r="PMP2" s="59"/>
      <c r="PMQ2" s="59"/>
      <c r="PMR2" s="59"/>
      <c r="PMS2" s="59"/>
      <c r="PMT2" s="59"/>
      <c r="PMU2" s="59"/>
      <c r="PMV2" s="59"/>
      <c r="PMW2" s="59"/>
      <c r="PMX2" s="59"/>
      <c r="PMY2" s="59"/>
      <c r="PMZ2" s="59"/>
      <c r="PNA2" s="59"/>
      <c r="PNB2" s="59"/>
      <c r="PNC2" s="59"/>
      <c r="PND2" s="59"/>
      <c r="PNE2" s="59"/>
      <c r="PNF2" s="59"/>
      <c r="PNG2" s="59"/>
      <c r="PNH2" s="59"/>
      <c r="PNI2" s="59"/>
      <c r="PNJ2" s="59"/>
      <c r="PNK2" s="59"/>
      <c r="PNL2" s="59"/>
      <c r="PNM2" s="59"/>
      <c r="PNN2" s="59"/>
      <c r="PNO2" s="59"/>
      <c r="PNP2" s="59"/>
      <c r="PNQ2" s="59"/>
      <c r="PNR2" s="59"/>
      <c r="PNS2" s="59"/>
      <c r="PNT2" s="59"/>
      <c r="PNU2" s="59"/>
      <c r="PNV2" s="59"/>
      <c r="PNW2" s="59"/>
      <c r="PNX2" s="59"/>
      <c r="PNY2" s="59"/>
      <c r="PNZ2" s="59"/>
      <c r="POA2" s="59"/>
      <c r="POB2" s="59"/>
      <c r="POC2" s="59"/>
      <c r="POD2" s="59"/>
      <c r="POE2" s="59"/>
      <c r="POF2" s="59"/>
      <c r="POG2" s="59"/>
      <c r="POH2" s="59"/>
      <c r="POI2" s="59"/>
      <c r="POJ2" s="59"/>
      <c r="POK2" s="59"/>
      <c r="POL2" s="59"/>
      <c r="POM2" s="59"/>
      <c r="PON2" s="59"/>
      <c r="POO2" s="59"/>
      <c r="POP2" s="59"/>
      <c r="POQ2" s="59"/>
      <c r="POR2" s="59"/>
      <c r="POS2" s="59"/>
      <c r="POT2" s="59"/>
      <c r="POU2" s="59"/>
      <c r="POV2" s="59"/>
      <c r="POW2" s="59"/>
      <c r="POX2" s="59"/>
      <c r="POY2" s="59"/>
      <c r="POZ2" s="59"/>
      <c r="PPA2" s="59"/>
      <c r="PPB2" s="59"/>
      <c r="PPC2" s="59"/>
      <c r="PPD2" s="59"/>
      <c r="PPE2" s="59"/>
      <c r="PPF2" s="59"/>
      <c r="PPG2" s="59"/>
      <c r="PPH2" s="59"/>
      <c r="PPI2" s="59"/>
      <c r="PPJ2" s="59"/>
      <c r="PPK2" s="59"/>
      <c r="PPL2" s="59"/>
      <c r="PPM2" s="59"/>
      <c r="PPN2" s="59"/>
      <c r="PPO2" s="59"/>
      <c r="PPP2" s="59"/>
      <c r="PPQ2" s="59"/>
      <c r="PPR2" s="59"/>
      <c r="PPS2" s="59"/>
      <c r="PPT2" s="59"/>
      <c r="PPU2" s="59"/>
      <c r="PPV2" s="59"/>
      <c r="PPW2" s="59"/>
      <c r="PPX2" s="59"/>
      <c r="PPY2" s="59"/>
      <c r="PPZ2" s="59"/>
      <c r="PQA2" s="59"/>
      <c r="PQB2" s="59"/>
      <c r="PQC2" s="59"/>
      <c r="PQD2" s="59"/>
      <c r="PQE2" s="59"/>
      <c r="PQF2" s="59"/>
      <c r="PQG2" s="59"/>
      <c r="PQH2" s="59"/>
      <c r="PQI2" s="59"/>
      <c r="PQJ2" s="59"/>
      <c r="PQK2" s="59"/>
      <c r="PQL2" s="59"/>
      <c r="PQM2" s="59"/>
      <c r="PQN2" s="59"/>
      <c r="PQO2" s="59"/>
      <c r="PQP2" s="59"/>
      <c r="PQQ2" s="59"/>
      <c r="PQR2" s="59"/>
      <c r="PQS2" s="59"/>
      <c r="PQT2" s="59"/>
      <c r="PQU2" s="59"/>
      <c r="PQV2" s="59"/>
      <c r="PQW2" s="59"/>
      <c r="PQX2" s="59"/>
      <c r="PQY2" s="59"/>
      <c r="PQZ2" s="59"/>
      <c r="PRA2" s="59"/>
      <c r="PRB2" s="59"/>
      <c r="PRC2" s="59"/>
      <c r="PRD2" s="59"/>
      <c r="PRE2" s="59"/>
      <c r="PRF2" s="59"/>
      <c r="PRG2" s="59"/>
      <c r="PRH2" s="59"/>
      <c r="PRI2" s="59"/>
      <c r="PRJ2" s="59"/>
      <c r="PRK2" s="59"/>
      <c r="PRL2" s="59"/>
      <c r="PRM2" s="59"/>
      <c r="PRN2" s="59"/>
      <c r="PRO2" s="59"/>
      <c r="PRP2" s="59"/>
      <c r="PRQ2" s="59"/>
      <c r="PRR2" s="59"/>
      <c r="PRS2" s="59"/>
      <c r="PRT2" s="59"/>
      <c r="PRU2" s="59"/>
      <c r="PRV2" s="59"/>
      <c r="PRW2" s="59"/>
      <c r="PRX2" s="59"/>
      <c r="PRY2" s="59"/>
      <c r="PRZ2" s="59"/>
      <c r="PSA2" s="59"/>
      <c r="PSB2" s="59"/>
      <c r="PSC2" s="59"/>
      <c r="PSD2" s="59"/>
      <c r="PSE2" s="59"/>
      <c r="PSF2" s="59"/>
      <c r="PSG2" s="59"/>
      <c r="PSH2" s="59"/>
      <c r="PSI2" s="59"/>
      <c r="PSJ2" s="59"/>
      <c r="PSK2" s="59"/>
      <c r="PSL2" s="59"/>
      <c r="PSM2" s="59"/>
      <c r="PSN2" s="59"/>
      <c r="PSO2" s="59"/>
      <c r="PSP2" s="59"/>
      <c r="PSQ2" s="59"/>
      <c r="PSR2" s="59"/>
      <c r="PSS2" s="59"/>
      <c r="PST2" s="59"/>
      <c r="PSU2" s="59"/>
      <c r="PSV2" s="59"/>
      <c r="PSW2" s="59"/>
      <c r="PSX2" s="59"/>
      <c r="PSY2" s="59"/>
      <c r="PSZ2" s="59"/>
      <c r="PTA2" s="59"/>
      <c r="PTB2" s="59"/>
      <c r="PTC2" s="59"/>
      <c r="PTD2" s="59"/>
      <c r="PTE2" s="59"/>
      <c r="PTF2" s="59"/>
      <c r="PTG2" s="59"/>
      <c r="PTH2" s="59"/>
      <c r="PTI2" s="59"/>
      <c r="PTJ2" s="59"/>
      <c r="PTK2" s="59"/>
      <c r="PTL2" s="59"/>
      <c r="PTM2" s="59"/>
      <c r="PTN2" s="59"/>
      <c r="PTO2" s="59"/>
      <c r="PTP2" s="59"/>
      <c r="PTQ2" s="59"/>
      <c r="PTR2" s="59"/>
      <c r="PTS2" s="59"/>
      <c r="PTT2" s="59"/>
      <c r="PTU2" s="59"/>
      <c r="PTV2" s="59"/>
      <c r="PTW2" s="59"/>
      <c r="PTX2" s="59"/>
      <c r="PTY2" s="59"/>
      <c r="PTZ2" s="59"/>
      <c r="PUA2" s="59"/>
      <c r="PUB2" s="59"/>
      <c r="PUC2" s="59"/>
      <c r="PUD2" s="59"/>
      <c r="PUE2" s="59"/>
      <c r="PUF2" s="59"/>
      <c r="PUG2" s="59"/>
      <c r="PUH2" s="59"/>
      <c r="PUI2" s="59"/>
      <c r="PUJ2" s="59"/>
      <c r="PUK2" s="59"/>
      <c r="PUL2" s="59"/>
      <c r="PUM2" s="59"/>
      <c r="PUN2" s="59"/>
      <c r="PUO2" s="59"/>
      <c r="PUP2" s="59"/>
      <c r="PUQ2" s="59"/>
      <c r="PUR2" s="59"/>
      <c r="PUS2" s="59"/>
      <c r="PUT2" s="59"/>
      <c r="PUU2" s="59"/>
      <c r="PUV2" s="59"/>
      <c r="PUW2" s="59"/>
      <c r="PUX2" s="59"/>
      <c r="PUY2" s="59"/>
      <c r="PUZ2" s="59"/>
      <c r="PVA2" s="59"/>
      <c r="PVB2" s="59"/>
      <c r="PVC2" s="59"/>
      <c r="PVD2" s="59"/>
      <c r="PVE2" s="59"/>
      <c r="PVF2" s="59"/>
      <c r="PVG2" s="59"/>
      <c r="PVH2" s="59"/>
      <c r="PVI2" s="59"/>
      <c r="PVJ2" s="59"/>
      <c r="PVK2" s="59"/>
      <c r="PVL2" s="59"/>
      <c r="PVM2" s="59"/>
      <c r="PVN2" s="59"/>
      <c r="PVO2" s="59"/>
      <c r="PVP2" s="59"/>
      <c r="PVQ2" s="59"/>
      <c r="PVR2" s="59"/>
      <c r="PVS2" s="59"/>
      <c r="PVT2" s="59"/>
      <c r="PVU2" s="59"/>
      <c r="PVV2" s="59"/>
      <c r="PVW2" s="59"/>
      <c r="PVX2" s="59"/>
      <c r="PVY2" s="59"/>
      <c r="PVZ2" s="59"/>
      <c r="PWA2" s="59"/>
      <c r="PWB2" s="59"/>
      <c r="PWC2" s="59"/>
      <c r="PWD2" s="59"/>
      <c r="PWE2" s="59"/>
      <c r="PWF2" s="59"/>
      <c r="PWG2" s="59"/>
      <c r="PWH2" s="59"/>
      <c r="PWI2" s="59"/>
      <c r="PWJ2" s="59"/>
      <c r="PWK2" s="59"/>
      <c r="PWL2" s="59"/>
      <c r="PWM2" s="59"/>
      <c r="PWN2" s="59"/>
      <c r="PWO2" s="59"/>
      <c r="PWP2" s="59"/>
      <c r="PWQ2" s="59"/>
      <c r="PWR2" s="59"/>
      <c r="PWS2" s="59"/>
      <c r="PWT2" s="59"/>
      <c r="PWU2" s="59"/>
      <c r="PWV2" s="59"/>
      <c r="PWW2" s="59"/>
      <c r="PWX2" s="59"/>
      <c r="PWY2" s="59"/>
      <c r="PWZ2" s="59"/>
      <c r="PXA2" s="59"/>
      <c r="PXB2" s="59"/>
      <c r="PXC2" s="59"/>
      <c r="PXD2" s="59"/>
      <c r="PXE2" s="59"/>
      <c r="PXF2" s="59"/>
      <c r="PXG2" s="59"/>
      <c r="PXH2" s="59"/>
      <c r="PXI2" s="59"/>
      <c r="PXJ2" s="59"/>
      <c r="PXK2" s="59"/>
      <c r="PXL2" s="59"/>
      <c r="PXM2" s="59"/>
      <c r="PXN2" s="59"/>
      <c r="PXO2" s="59"/>
      <c r="PXP2" s="59"/>
      <c r="PXQ2" s="59"/>
      <c r="PXR2" s="59"/>
      <c r="PXS2" s="59"/>
      <c r="PXT2" s="59"/>
      <c r="PXU2" s="59"/>
      <c r="PXV2" s="59"/>
      <c r="PXW2" s="59"/>
      <c r="PXX2" s="59"/>
      <c r="PXY2" s="59"/>
      <c r="PXZ2" s="59"/>
      <c r="PYA2" s="59"/>
      <c r="PYB2" s="59"/>
      <c r="PYC2" s="59"/>
      <c r="PYD2" s="59"/>
      <c r="PYE2" s="59"/>
      <c r="PYF2" s="59"/>
      <c r="PYG2" s="59"/>
      <c r="PYH2" s="59"/>
      <c r="PYI2" s="59"/>
      <c r="PYJ2" s="59"/>
      <c r="PYK2" s="59"/>
      <c r="PYL2" s="59"/>
      <c r="PYM2" s="59"/>
      <c r="PYN2" s="59"/>
      <c r="PYO2" s="59"/>
      <c r="PYP2" s="59"/>
      <c r="PYQ2" s="59"/>
      <c r="PYR2" s="59"/>
      <c r="PYS2" s="59"/>
      <c r="PYT2" s="59"/>
      <c r="PYU2" s="59"/>
      <c r="PYV2" s="59"/>
      <c r="PYW2" s="59"/>
      <c r="PYX2" s="59"/>
      <c r="PYY2" s="59"/>
      <c r="PYZ2" s="59"/>
      <c r="PZA2" s="59"/>
      <c r="PZB2" s="59"/>
      <c r="PZC2" s="59"/>
      <c r="PZD2" s="59"/>
      <c r="PZE2" s="59"/>
      <c r="PZF2" s="59"/>
      <c r="PZG2" s="59"/>
      <c r="PZH2" s="59"/>
      <c r="PZI2" s="59"/>
      <c r="PZJ2" s="59"/>
      <c r="PZK2" s="59"/>
      <c r="PZL2" s="59"/>
      <c r="PZM2" s="59"/>
      <c r="PZN2" s="59"/>
      <c r="PZO2" s="59"/>
      <c r="PZP2" s="59"/>
      <c r="PZQ2" s="59"/>
      <c r="PZR2" s="59"/>
      <c r="PZS2" s="59"/>
      <c r="PZT2" s="59"/>
      <c r="PZU2" s="59"/>
      <c r="PZV2" s="59"/>
      <c r="PZW2" s="59"/>
      <c r="PZX2" s="59"/>
      <c r="PZY2" s="59"/>
      <c r="PZZ2" s="59"/>
      <c r="QAA2" s="59"/>
      <c r="QAB2" s="59"/>
      <c r="QAC2" s="59"/>
      <c r="QAD2" s="59"/>
      <c r="QAE2" s="59"/>
      <c r="QAF2" s="59"/>
      <c r="QAG2" s="59"/>
      <c r="QAH2" s="59"/>
      <c r="QAI2" s="59"/>
      <c r="QAJ2" s="59"/>
      <c r="QAK2" s="59"/>
      <c r="QAL2" s="59"/>
      <c r="QAM2" s="59"/>
      <c r="QAN2" s="59"/>
      <c r="QAO2" s="59"/>
      <c r="QAP2" s="59"/>
      <c r="QAQ2" s="59"/>
      <c r="QAR2" s="59"/>
      <c r="QAS2" s="59"/>
      <c r="QAT2" s="59"/>
      <c r="QAU2" s="59"/>
      <c r="QAV2" s="59"/>
      <c r="QAW2" s="59"/>
      <c r="QAX2" s="59"/>
      <c r="QAY2" s="59"/>
      <c r="QAZ2" s="59"/>
      <c r="QBA2" s="59"/>
      <c r="QBB2" s="59"/>
      <c r="QBC2" s="59"/>
      <c r="QBD2" s="59"/>
      <c r="QBE2" s="59"/>
      <c r="QBF2" s="59"/>
      <c r="QBG2" s="59"/>
      <c r="QBH2" s="59"/>
      <c r="QBI2" s="59"/>
      <c r="QBJ2" s="59"/>
      <c r="QBK2" s="59"/>
      <c r="QBL2" s="59"/>
      <c r="QBM2" s="59"/>
      <c r="QBN2" s="59"/>
      <c r="QBO2" s="59"/>
      <c r="QBP2" s="59"/>
      <c r="QBQ2" s="59"/>
      <c r="QBR2" s="59"/>
      <c r="QBS2" s="59"/>
      <c r="QBT2" s="59"/>
      <c r="QBU2" s="59"/>
      <c r="QBV2" s="59"/>
      <c r="QBW2" s="59"/>
      <c r="QBX2" s="59"/>
      <c r="QBY2" s="59"/>
      <c r="QBZ2" s="59"/>
      <c r="QCA2" s="59"/>
      <c r="QCB2" s="59"/>
      <c r="QCC2" s="59"/>
      <c r="QCD2" s="59"/>
      <c r="QCE2" s="59"/>
      <c r="QCF2" s="59"/>
      <c r="QCG2" s="59"/>
      <c r="QCH2" s="59"/>
      <c r="QCI2" s="59"/>
      <c r="QCJ2" s="59"/>
      <c r="QCK2" s="59"/>
      <c r="QCL2" s="59"/>
      <c r="QCM2" s="59"/>
      <c r="QCN2" s="59"/>
      <c r="QCO2" s="59"/>
      <c r="QCP2" s="59"/>
      <c r="QCQ2" s="59"/>
      <c r="QCR2" s="59"/>
      <c r="QCS2" s="59"/>
      <c r="QCT2" s="59"/>
      <c r="QCU2" s="59"/>
      <c r="QCV2" s="59"/>
      <c r="QCW2" s="59"/>
      <c r="QCX2" s="59"/>
      <c r="QCY2" s="59"/>
      <c r="QCZ2" s="59"/>
      <c r="QDA2" s="59"/>
      <c r="QDB2" s="59"/>
      <c r="QDC2" s="59"/>
      <c r="QDD2" s="59"/>
      <c r="QDE2" s="59"/>
      <c r="QDF2" s="59"/>
      <c r="QDG2" s="59"/>
      <c r="QDH2" s="59"/>
      <c r="QDI2" s="59"/>
      <c r="QDJ2" s="59"/>
      <c r="QDK2" s="59"/>
      <c r="QDL2" s="59"/>
      <c r="QDM2" s="59"/>
      <c r="QDN2" s="59"/>
      <c r="QDO2" s="59"/>
      <c r="QDP2" s="59"/>
      <c r="QDQ2" s="59"/>
      <c r="QDR2" s="59"/>
      <c r="QDS2" s="59"/>
      <c r="QDT2" s="59"/>
      <c r="QDU2" s="59"/>
      <c r="QDV2" s="59"/>
      <c r="QDW2" s="59"/>
      <c r="QDX2" s="59"/>
      <c r="QDY2" s="59"/>
      <c r="QDZ2" s="59"/>
      <c r="QEA2" s="59"/>
      <c r="QEB2" s="59"/>
      <c r="QEC2" s="59"/>
      <c r="QED2" s="59"/>
      <c r="QEE2" s="59"/>
      <c r="QEF2" s="59"/>
      <c r="QEG2" s="59"/>
      <c r="QEH2" s="59"/>
      <c r="QEI2" s="59"/>
      <c r="QEJ2" s="59"/>
      <c r="QEK2" s="59"/>
      <c r="QEL2" s="59"/>
      <c r="QEM2" s="59"/>
      <c r="QEN2" s="59"/>
      <c r="QEO2" s="59"/>
      <c r="QEP2" s="59"/>
      <c r="QEQ2" s="59"/>
      <c r="QER2" s="59"/>
      <c r="QES2" s="59"/>
      <c r="QET2" s="59"/>
      <c r="QEU2" s="59"/>
      <c r="QEV2" s="59"/>
      <c r="QEW2" s="59"/>
      <c r="QEX2" s="59"/>
      <c r="QEY2" s="59"/>
      <c r="QEZ2" s="59"/>
      <c r="QFA2" s="59"/>
      <c r="QFB2" s="59"/>
      <c r="QFC2" s="59"/>
      <c r="QFD2" s="59"/>
      <c r="QFE2" s="59"/>
      <c r="QFF2" s="59"/>
      <c r="QFG2" s="59"/>
      <c r="QFH2" s="59"/>
      <c r="QFI2" s="59"/>
      <c r="QFJ2" s="59"/>
      <c r="QFK2" s="59"/>
      <c r="QFL2" s="59"/>
      <c r="QFM2" s="59"/>
      <c r="QFN2" s="59"/>
      <c r="QFO2" s="59"/>
      <c r="QFP2" s="59"/>
      <c r="QFQ2" s="59"/>
      <c r="QFR2" s="59"/>
      <c r="QFS2" s="59"/>
      <c r="QFT2" s="59"/>
      <c r="QFU2" s="59"/>
      <c r="QFV2" s="59"/>
      <c r="QFW2" s="59"/>
      <c r="QFX2" s="59"/>
      <c r="QFY2" s="59"/>
      <c r="QFZ2" s="59"/>
      <c r="QGA2" s="59"/>
      <c r="QGB2" s="59"/>
      <c r="QGC2" s="59"/>
      <c r="QGD2" s="59"/>
      <c r="QGE2" s="59"/>
      <c r="QGF2" s="59"/>
      <c r="QGG2" s="59"/>
      <c r="QGH2" s="59"/>
      <c r="QGI2" s="59"/>
      <c r="QGJ2" s="59"/>
      <c r="QGK2" s="59"/>
      <c r="QGL2" s="59"/>
      <c r="QGM2" s="59"/>
      <c r="QGN2" s="59"/>
      <c r="QGO2" s="59"/>
      <c r="QGP2" s="59"/>
      <c r="QGQ2" s="59"/>
      <c r="QGR2" s="59"/>
      <c r="QGS2" s="59"/>
      <c r="QGT2" s="59"/>
      <c r="QGU2" s="59"/>
      <c r="QGV2" s="59"/>
      <c r="QGW2" s="59"/>
      <c r="QGX2" s="59"/>
      <c r="QGY2" s="59"/>
      <c r="QGZ2" s="59"/>
      <c r="QHA2" s="59"/>
      <c r="QHB2" s="59"/>
      <c r="QHC2" s="59"/>
      <c r="QHD2" s="59"/>
      <c r="QHE2" s="59"/>
      <c r="QHF2" s="59"/>
      <c r="QHG2" s="59"/>
      <c r="QHH2" s="59"/>
      <c r="QHI2" s="59"/>
      <c r="QHJ2" s="59"/>
      <c r="QHK2" s="59"/>
      <c r="QHL2" s="59"/>
      <c r="QHM2" s="59"/>
      <c r="QHN2" s="59"/>
      <c r="QHO2" s="59"/>
      <c r="QHP2" s="59"/>
      <c r="QHQ2" s="59"/>
      <c r="QHR2" s="59"/>
      <c r="QHS2" s="59"/>
      <c r="QHT2" s="59"/>
      <c r="QHU2" s="59"/>
      <c r="QHV2" s="59"/>
      <c r="QHW2" s="59"/>
      <c r="QHX2" s="59"/>
      <c r="QHY2" s="59"/>
      <c r="QHZ2" s="59"/>
      <c r="QIA2" s="59"/>
      <c r="QIB2" s="59"/>
      <c r="QIC2" s="59"/>
      <c r="QID2" s="59"/>
      <c r="QIE2" s="59"/>
      <c r="QIF2" s="59"/>
      <c r="QIG2" s="59"/>
      <c r="QIH2" s="59"/>
      <c r="QII2" s="59"/>
      <c r="QIJ2" s="59"/>
      <c r="QIK2" s="59"/>
      <c r="QIL2" s="59"/>
      <c r="QIM2" s="59"/>
      <c r="QIN2" s="59"/>
      <c r="QIO2" s="59"/>
      <c r="QIP2" s="59"/>
      <c r="QIQ2" s="59"/>
      <c r="QIR2" s="59"/>
      <c r="QIS2" s="59"/>
      <c r="QIT2" s="59"/>
      <c r="QIU2" s="59"/>
      <c r="QIV2" s="59"/>
      <c r="QIW2" s="59"/>
      <c r="QIX2" s="59"/>
      <c r="QIY2" s="59"/>
      <c r="QIZ2" s="59"/>
      <c r="QJA2" s="59"/>
      <c r="QJB2" s="59"/>
      <c r="QJC2" s="59"/>
      <c r="QJD2" s="59"/>
      <c r="QJE2" s="59"/>
      <c r="QJF2" s="59"/>
      <c r="QJG2" s="59"/>
      <c r="QJH2" s="59"/>
      <c r="QJI2" s="59"/>
      <c r="QJJ2" s="59"/>
      <c r="QJK2" s="59"/>
      <c r="QJL2" s="59"/>
      <c r="QJM2" s="59"/>
      <c r="QJN2" s="59"/>
      <c r="QJO2" s="59"/>
      <c r="QJP2" s="59"/>
      <c r="QJQ2" s="59"/>
      <c r="QJR2" s="59"/>
      <c r="QJS2" s="59"/>
      <c r="QJT2" s="59"/>
      <c r="QJU2" s="59"/>
      <c r="QJV2" s="59"/>
      <c r="QJW2" s="59"/>
      <c r="QJX2" s="59"/>
      <c r="QJY2" s="59"/>
      <c r="QJZ2" s="59"/>
      <c r="QKA2" s="59"/>
      <c r="QKB2" s="59"/>
      <c r="QKC2" s="59"/>
      <c r="QKD2" s="59"/>
      <c r="QKE2" s="59"/>
      <c r="QKF2" s="59"/>
      <c r="QKG2" s="59"/>
      <c r="QKH2" s="59"/>
      <c r="QKI2" s="59"/>
      <c r="QKJ2" s="59"/>
      <c r="QKK2" s="59"/>
      <c r="QKL2" s="59"/>
      <c r="QKM2" s="59"/>
      <c r="QKN2" s="59"/>
      <c r="QKO2" s="59"/>
      <c r="QKP2" s="59"/>
      <c r="QKQ2" s="59"/>
      <c r="QKR2" s="59"/>
      <c r="QKS2" s="59"/>
      <c r="QKT2" s="59"/>
      <c r="QKU2" s="59"/>
      <c r="QKV2" s="59"/>
      <c r="QKW2" s="59"/>
      <c r="QKX2" s="59"/>
      <c r="QKY2" s="59"/>
      <c r="QKZ2" s="59"/>
      <c r="QLA2" s="59"/>
      <c r="QLB2" s="59"/>
      <c r="QLC2" s="59"/>
      <c r="QLD2" s="59"/>
      <c r="QLE2" s="59"/>
      <c r="QLF2" s="59"/>
      <c r="QLG2" s="59"/>
      <c r="QLH2" s="59"/>
      <c r="QLI2" s="59"/>
      <c r="QLJ2" s="59"/>
      <c r="QLK2" s="59"/>
      <c r="QLL2" s="59"/>
      <c r="QLM2" s="59"/>
      <c r="QLN2" s="59"/>
      <c r="QLO2" s="59"/>
      <c r="QLP2" s="59"/>
      <c r="QLQ2" s="59"/>
      <c r="QLR2" s="59"/>
      <c r="QLS2" s="59"/>
      <c r="QLT2" s="59"/>
      <c r="QLU2" s="59"/>
      <c r="QLV2" s="59"/>
      <c r="QLW2" s="59"/>
      <c r="QLX2" s="59"/>
      <c r="QLY2" s="59"/>
      <c r="QLZ2" s="59"/>
      <c r="QMA2" s="59"/>
      <c r="QMB2" s="59"/>
      <c r="QMC2" s="59"/>
      <c r="QMD2" s="59"/>
      <c r="QME2" s="59"/>
      <c r="QMF2" s="59"/>
      <c r="QMG2" s="59"/>
      <c r="QMH2" s="59"/>
      <c r="QMI2" s="59"/>
      <c r="QMJ2" s="59"/>
      <c r="QMK2" s="59"/>
      <c r="QML2" s="59"/>
      <c r="QMM2" s="59"/>
      <c r="QMN2" s="59"/>
      <c r="QMO2" s="59"/>
      <c r="QMP2" s="59"/>
      <c r="QMQ2" s="59"/>
      <c r="QMR2" s="59"/>
      <c r="QMS2" s="59"/>
      <c r="QMT2" s="59"/>
      <c r="QMU2" s="59"/>
      <c r="QMV2" s="59"/>
      <c r="QMW2" s="59"/>
      <c r="QMX2" s="59"/>
      <c r="QMY2" s="59"/>
      <c r="QMZ2" s="59"/>
      <c r="QNA2" s="59"/>
      <c r="QNB2" s="59"/>
      <c r="QNC2" s="59"/>
      <c r="QND2" s="59"/>
      <c r="QNE2" s="59"/>
      <c r="QNF2" s="59"/>
      <c r="QNG2" s="59"/>
      <c r="QNH2" s="59"/>
      <c r="QNI2" s="59"/>
      <c r="QNJ2" s="59"/>
      <c r="QNK2" s="59"/>
      <c r="QNL2" s="59"/>
      <c r="QNM2" s="59"/>
      <c r="QNN2" s="59"/>
      <c r="QNO2" s="59"/>
      <c r="QNP2" s="59"/>
      <c r="QNQ2" s="59"/>
      <c r="QNR2" s="59"/>
      <c r="QNS2" s="59"/>
      <c r="QNT2" s="59"/>
      <c r="QNU2" s="59"/>
      <c r="QNV2" s="59"/>
      <c r="QNW2" s="59"/>
      <c r="QNX2" s="59"/>
      <c r="QNY2" s="59"/>
      <c r="QNZ2" s="59"/>
      <c r="QOA2" s="59"/>
      <c r="QOB2" s="59"/>
      <c r="QOC2" s="59"/>
      <c r="QOD2" s="59"/>
      <c r="QOE2" s="59"/>
      <c r="QOF2" s="59"/>
      <c r="QOG2" s="59"/>
      <c r="QOH2" s="59"/>
      <c r="QOI2" s="59"/>
      <c r="QOJ2" s="59"/>
      <c r="QOK2" s="59"/>
      <c r="QOL2" s="59"/>
      <c r="QOM2" s="59"/>
      <c r="QON2" s="59"/>
      <c r="QOO2" s="59"/>
      <c r="QOP2" s="59"/>
      <c r="QOQ2" s="59"/>
      <c r="QOR2" s="59"/>
      <c r="QOS2" s="59"/>
      <c r="QOT2" s="59"/>
      <c r="QOU2" s="59"/>
      <c r="QOV2" s="59"/>
      <c r="QOW2" s="59"/>
      <c r="QOX2" s="59"/>
      <c r="QOY2" s="59"/>
      <c r="QOZ2" s="59"/>
      <c r="QPA2" s="59"/>
      <c r="QPB2" s="59"/>
      <c r="QPC2" s="59"/>
      <c r="QPD2" s="59"/>
      <c r="QPE2" s="59"/>
      <c r="QPF2" s="59"/>
      <c r="QPG2" s="59"/>
      <c r="QPH2" s="59"/>
      <c r="QPI2" s="59"/>
      <c r="QPJ2" s="59"/>
      <c r="QPK2" s="59"/>
      <c r="QPL2" s="59"/>
      <c r="QPM2" s="59"/>
      <c r="QPN2" s="59"/>
      <c r="QPO2" s="59"/>
      <c r="QPP2" s="59"/>
      <c r="QPQ2" s="59"/>
      <c r="QPR2" s="59"/>
      <c r="QPS2" s="59"/>
      <c r="QPT2" s="59"/>
      <c r="QPU2" s="59"/>
      <c r="QPV2" s="59"/>
      <c r="QPW2" s="59"/>
      <c r="QPX2" s="59"/>
      <c r="QPY2" s="59"/>
      <c r="QPZ2" s="59"/>
      <c r="QQA2" s="59"/>
      <c r="QQB2" s="59"/>
      <c r="QQC2" s="59"/>
      <c r="QQD2" s="59"/>
      <c r="QQE2" s="59"/>
      <c r="QQF2" s="59"/>
      <c r="QQG2" s="59"/>
      <c r="QQH2" s="59"/>
      <c r="QQI2" s="59"/>
      <c r="QQJ2" s="59"/>
      <c r="QQK2" s="59"/>
      <c r="QQL2" s="59"/>
      <c r="QQM2" s="59"/>
      <c r="QQN2" s="59"/>
      <c r="QQO2" s="59"/>
      <c r="QQP2" s="59"/>
      <c r="QQQ2" s="59"/>
      <c r="QQR2" s="59"/>
      <c r="QQS2" s="59"/>
      <c r="QQT2" s="59"/>
      <c r="QQU2" s="59"/>
      <c r="QQV2" s="59"/>
      <c r="QQW2" s="59"/>
      <c r="QQX2" s="59"/>
      <c r="QQY2" s="59"/>
      <c r="QQZ2" s="59"/>
      <c r="QRA2" s="59"/>
      <c r="QRB2" s="59"/>
      <c r="QRC2" s="59"/>
      <c r="QRD2" s="59"/>
      <c r="QRE2" s="59"/>
      <c r="QRF2" s="59"/>
      <c r="QRG2" s="59"/>
      <c r="QRH2" s="59"/>
      <c r="QRI2" s="59"/>
      <c r="QRJ2" s="59"/>
      <c r="QRK2" s="59"/>
      <c r="QRL2" s="59"/>
      <c r="QRM2" s="59"/>
      <c r="QRN2" s="59"/>
      <c r="QRO2" s="59"/>
      <c r="QRP2" s="59"/>
      <c r="QRQ2" s="59"/>
      <c r="QRR2" s="59"/>
      <c r="QRS2" s="59"/>
      <c r="QRT2" s="59"/>
      <c r="QRU2" s="59"/>
      <c r="QRV2" s="59"/>
      <c r="QRW2" s="59"/>
      <c r="QRX2" s="59"/>
      <c r="QRY2" s="59"/>
      <c r="QRZ2" s="59"/>
      <c r="QSA2" s="59"/>
      <c r="QSB2" s="59"/>
      <c r="QSC2" s="59"/>
      <c r="QSD2" s="59"/>
      <c r="QSE2" s="59"/>
      <c r="QSF2" s="59"/>
      <c r="QSG2" s="59"/>
      <c r="QSH2" s="59"/>
      <c r="QSI2" s="59"/>
      <c r="QSJ2" s="59"/>
      <c r="QSK2" s="59"/>
      <c r="QSL2" s="59"/>
      <c r="QSM2" s="59"/>
      <c r="QSN2" s="59"/>
      <c r="QSO2" s="59"/>
      <c r="QSP2" s="59"/>
      <c r="QSQ2" s="59"/>
      <c r="QSR2" s="59"/>
      <c r="QSS2" s="59"/>
      <c r="QST2" s="59"/>
      <c r="QSU2" s="59"/>
      <c r="QSV2" s="59"/>
      <c r="QSW2" s="59"/>
      <c r="QSX2" s="59"/>
      <c r="QSY2" s="59"/>
      <c r="QSZ2" s="59"/>
      <c r="QTA2" s="59"/>
      <c r="QTB2" s="59"/>
      <c r="QTC2" s="59"/>
      <c r="QTD2" s="59"/>
      <c r="QTE2" s="59"/>
      <c r="QTF2" s="59"/>
      <c r="QTG2" s="59"/>
      <c r="QTH2" s="59"/>
      <c r="QTI2" s="59"/>
      <c r="QTJ2" s="59"/>
      <c r="QTK2" s="59"/>
      <c r="QTL2" s="59"/>
      <c r="QTM2" s="59"/>
      <c r="QTN2" s="59"/>
      <c r="QTO2" s="59"/>
      <c r="QTP2" s="59"/>
      <c r="QTQ2" s="59"/>
      <c r="QTR2" s="59"/>
      <c r="QTS2" s="59"/>
      <c r="QTT2" s="59"/>
      <c r="QTU2" s="59"/>
      <c r="QTV2" s="59"/>
      <c r="QTW2" s="59"/>
      <c r="QTX2" s="59"/>
      <c r="QTY2" s="59"/>
      <c r="QTZ2" s="59"/>
      <c r="QUA2" s="59"/>
      <c r="QUB2" s="59"/>
      <c r="QUC2" s="59"/>
      <c r="QUD2" s="59"/>
      <c r="QUE2" s="59"/>
      <c r="QUF2" s="59"/>
      <c r="QUG2" s="59"/>
      <c r="QUH2" s="59"/>
      <c r="QUI2" s="59"/>
      <c r="QUJ2" s="59"/>
      <c r="QUK2" s="59"/>
      <c r="QUL2" s="59"/>
      <c r="QUM2" s="59"/>
      <c r="QUN2" s="59"/>
      <c r="QUO2" s="59"/>
      <c r="QUP2" s="59"/>
      <c r="QUQ2" s="59"/>
      <c r="QUR2" s="59"/>
      <c r="QUS2" s="59"/>
      <c r="QUT2" s="59"/>
      <c r="QUU2" s="59"/>
      <c r="QUV2" s="59"/>
      <c r="QUW2" s="59"/>
      <c r="QUX2" s="59"/>
      <c r="QUY2" s="59"/>
      <c r="QUZ2" s="59"/>
      <c r="QVA2" s="59"/>
      <c r="QVB2" s="59"/>
      <c r="QVC2" s="59"/>
      <c r="QVD2" s="59"/>
      <c r="QVE2" s="59"/>
      <c r="QVF2" s="59"/>
      <c r="QVG2" s="59"/>
      <c r="QVH2" s="59"/>
      <c r="QVI2" s="59"/>
      <c r="QVJ2" s="59"/>
      <c r="QVK2" s="59"/>
      <c r="QVL2" s="59"/>
      <c r="QVM2" s="59"/>
      <c r="QVN2" s="59"/>
      <c r="QVO2" s="59"/>
      <c r="QVP2" s="59"/>
      <c r="QVQ2" s="59"/>
      <c r="QVR2" s="59"/>
      <c r="QVS2" s="59"/>
      <c r="QVT2" s="59"/>
      <c r="QVU2" s="59"/>
      <c r="QVV2" s="59"/>
      <c r="QVW2" s="59"/>
      <c r="QVX2" s="59"/>
      <c r="QVY2" s="59"/>
      <c r="QVZ2" s="59"/>
      <c r="QWA2" s="59"/>
      <c r="QWB2" s="59"/>
      <c r="QWC2" s="59"/>
      <c r="QWD2" s="59"/>
      <c r="QWE2" s="59"/>
      <c r="QWF2" s="59"/>
      <c r="QWG2" s="59"/>
      <c r="QWH2" s="59"/>
      <c r="QWI2" s="59"/>
      <c r="QWJ2" s="59"/>
      <c r="QWK2" s="59"/>
      <c r="QWL2" s="59"/>
      <c r="QWM2" s="59"/>
      <c r="QWN2" s="59"/>
      <c r="QWO2" s="59"/>
      <c r="QWP2" s="59"/>
      <c r="QWQ2" s="59"/>
      <c r="QWR2" s="59"/>
      <c r="QWS2" s="59"/>
      <c r="QWT2" s="59"/>
      <c r="QWU2" s="59"/>
      <c r="QWV2" s="59"/>
      <c r="QWW2" s="59"/>
      <c r="QWX2" s="59"/>
      <c r="QWY2" s="59"/>
      <c r="QWZ2" s="59"/>
      <c r="QXA2" s="59"/>
      <c r="QXB2" s="59"/>
      <c r="QXC2" s="59"/>
      <c r="QXD2" s="59"/>
      <c r="QXE2" s="59"/>
      <c r="QXF2" s="59"/>
      <c r="QXG2" s="59"/>
      <c r="QXH2" s="59"/>
      <c r="QXI2" s="59"/>
      <c r="QXJ2" s="59"/>
      <c r="QXK2" s="59"/>
      <c r="QXL2" s="59"/>
      <c r="QXM2" s="59"/>
      <c r="QXN2" s="59"/>
      <c r="QXO2" s="59"/>
      <c r="QXP2" s="59"/>
      <c r="QXQ2" s="59"/>
      <c r="QXR2" s="59"/>
      <c r="QXS2" s="59"/>
      <c r="QXT2" s="59"/>
      <c r="QXU2" s="59"/>
      <c r="QXV2" s="59"/>
      <c r="QXW2" s="59"/>
      <c r="QXX2" s="59"/>
      <c r="QXY2" s="59"/>
      <c r="QXZ2" s="59"/>
      <c r="QYA2" s="59"/>
      <c r="QYB2" s="59"/>
      <c r="QYC2" s="59"/>
      <c r="QYD2" s="59"/>
      <c r="QYE2" s="59"/>
      <c r="QYF2" s="59"/>
      <c r="QYG2" s="59"/>
      <c r="QYH2" s="59"/>
      <c r="QYI2" s="59"/>
      <c r="QYJ2" s="59"/>
      <c r="QYK2" s="59"/>
      <c r="QYL2" s="59"/>
      <c r="QYM2" s="59"/>
      <c r="QYN2" s="59"/>
      <c r="QYO2" s="59"/>
      <c r="QYP2" s="59"/>
      <c r="QYQ2" s="59"/>
      <c r="QYR2" s="59"/>
      <c r="QYS2" s="59"/>
      <c r="QYT2" s="59"/>
      <c r="QYU2" s="59"/>
      <c r="QYV2" s="59"/>
      <c r="QYW2" s="59"/>
      <c r="QYX2" s="59"/>
      <c r="QYY2" s="59"/>
      <c r="QYZ2" s="59"/>
      <c r="QZA2" s="59"/>
      <c r="QZB2" s="59"/>
      <c r="QZC2" s="59"/>
      <c r="QZD2" s="59"/>
      <c r="QZE2" s="59"/>
      <c r="QZF2" s="59"/>
      <c r="QZG2" s="59"/>
      <c r="QZH2" s="59"/>
      <c r="QZI2" s="59"/>
      <c r="QZJ2" s="59"/>
      <c r="QZK2" s="59"/>
      <c r="QZL2" s="59"/>
      <c r="QZM2" s="59"/>
      <c r="QZN2" s="59"/>
      <c r="QZO2" s="59"/>
      <c r="QZP2" s="59"/>
      <c r="QZQ2" s="59"/>
      <c r="QZR2" s="59"/>
      <c r="QZS2" s="59"/>
      <c r="QZT2" s="59"/>
      <c r="QZU2" s="59"/>
      <c r="QZV2" s="59"/>
      <c r="QZW2" s="59"/>
      <c r="QZX2" s="59"/>
      <c r="QZY2" s="59"/>
      <c r="QZZ2" s="59"/>
      <c r="RAA2" s="59"/>
      <c r="RAB2" s="59"/>
      <c r="RAC2" s="59"/>
      <c r="RAD2" s="59"/>
      <c r="RAE2" s="59"/>
      <c r="RAF2" s="59"/>
      <c r="RAG2" s="59"/>
      <c r="RAH2" s="59"/>
      <c r="RAI2" s="59"/>
      <c r="RAJ2" s="59"/>
      <c r="RAK2" s="59"/>
      <c r="RAL2" s="59"/>
      <c r="RAM2" s="59"/>
      <c r="RAN2" s="59"/>
      <c r="RAO2" s="59"/>
      <c r="RAP2" s="59"/>
      <c r="RAQ2" s="59"/>
      <c r="RAR2" s="59"/>
      <c r="RAS2" s="59"/>
      <c r="RAT2" s="59"/>
      <c r="RAU2" s="59"/>
      <c r="RAV2" s="59"/>
      <c r="RAW2" s="59"/>
      <c r="RAX2" s="59"/>
      <c r="RAY2" s="59"/>
      <c r="RAZ2" s="59"/>
      <c r="RBA2" s="59"/>
      <c r="RBB2" s="59"/>
      <c r="RBC2" s="59"/>
      <c r="RBD2" s="59"/>
      <c r="RBE2" s="59"/>
      <c r="RBF2" s="59"/>
      <c r="RBG2" s="59"/>
      <c r="RBH2" s="59"/>
      <c r="RBI2" s="59"/>
      <c r="RBJ2" s="59"/>
      <c r="RBK2" s="59"/>
      <c r="RBL2" s="59"/>
      <c r="RBM2" s="59"/>
      <c r="RBN2" s="59"/>
      <c r="RBO2" s="59"/>
      <c r="RBP2" s="59"/>
      <c r="RBQ2" s="59"/>
      <c r="RBR2" s="59"/>
      <c r="RBS2" s="59"/>
      <c r="RBT2" s="59"/>
      <c r="RBU2" s="59"/>
      <c r="RBV2" s="59"/>
      <c r="RBW2" s="59"/>
      <c r="RBX2" s="59"/>
      <c r="RBY2" s="59"/>
      <c r="RBZ2" s="59"/>
      <c r="RCA2" s="59"/>
      <c r="RCB2" s="59"/>
      <c r="RCC2" s="59"/>
      <c r="RCD2" s="59"/>
      <c r="RCE2" s="59"/>
      <c r="RCF2" s="59"/>
      <c r="RCG2" s="59"/>
      <c r="RCH2" s="59"/>
      <c r="RCI2" s="59"/>
      <c r="RCJ2" s="59"/>
      <c r="RCK2" s="59"/>
      <c r="RCL2" s="59"/>
      <c r="RCM2" s="59"/>
      <c r="RCN2" s="59"/>
      <c r="RCO2" s="59"/>
      <c r="RCP2" s="59"/>
      <c r="RCQ2" s="59"/>
      <c r="RCR2" s="59"/>
      <c r="RCS2" s="59"/>
      <c r="RCT2" s="59"/>
      <c r="RCU2" s="59"/>
      <c r="RCV2" s="59"/>
      <c r="RCW2" s="59"/>
      <c r="RCX2" s="59"/>
      <c r="RCY2" s="59"/>
      <c r="RCZ2" s="59"/>
      <c r="RDA2" s="59"/>
      <c r="RDB2" s="59"/>
      <c r="RDC2" s="59"/>
      <c r="RDD2" s="59"/>
      <c r="RDE2" s="59"/>
      <c r="RDF2" s="59"/>
      <c r="RDG2" s="59"/>
      <c r="RDH2" s="59"/>
      <c r="RDI2" s="59"/>
      <c r="RDJ2" s="59"/>
      <c r="RDK2" s="59"/>
      <c r="RDL2" s="59"/>
      <c r="RDM2" s="59"/>
      <c r="RDN2" s="59"/>
      <c r="RDO2" s="59"/>
      <c r="RDP2" s="59"/>
      <c r="RDQ2" s="59"/>
      <c r="RDR2" s="59"/>
      <c r="RDS2" s="59"/>
      <c r="RDT2" s="59"/>
      <c r="RDU2" s="59"/>
      <c r="RDV2" s="59"/>
      <c r="RDW2" s="59"/>
      <c r="RDX2" s="59"/>
      <c r="RDY2" s="59"/>
      <c r="RDZ2" s="59"/>
      <c r="REA2" s="59"/>
      <c r="REB2" s="59"/>
      <c r="REC2" s="59"/>
      <c r="RED2" s="59"/>
      <c r="REE2" s="59"/>
      <c r="REF2" s="59"/>
      <c r="REG2" s="59"/>
      <c r="REH2" s="59"/>
      <c r="REI2" s="59"/>
      <c r="REJ2" s="59"/>
      <c r="REK2" s="59"/>
      <c r="REL2" s="59"/>
      <c r="REM2" s="59"/>
      <c r="REN2" s="59"/>
      <c r="REO2" s="59"/>
      <c r="REP2" s="59"/>
      <c r="REQ2" s="59"/>
      <c r="RER2" s="59"/>
      <c r="RES2" s="59"/>
      <c r="RET2" s="59"/>
      <c r="REU2" s="59"/>
      <c r="REV2" s="59"/>
      <c r="REW2" s="59"/>
      <c r="REX2" s="59"/>
      <c r="REY2" s="59"/>
      <c r="REZ2" s="59"/>
      <c r="RFA2" s="59"/>
      <c r="RFB2" s="59"/>
      <c r="RFC2" s="59"/>
      <c r="RFD2" s="59"/>
      <c r="RFE2" s="59"/>
      <c r="RFF2" s="59"/>
      <c r="RFG2" s="59"/>
      <c r="RFH2" s="59"/>
      <c r="RFI2" s="59"/>
      <c r="RFJ2" s="59"/>
      <c r="RFK2" s="59"/>
      <c r="RFL2" s="59"/>
      <c r="RFM2" s="59"/>
      <c r="RFN2" s="59"/>
      <c r="RFO2" s="59"/>
      <c r="RFP2" s="59"/>
      <c r="RFQ2" s="59"/>
      <c r="RFR2" s="59"/>
      <c r="RFS2" s="59"/>
      <c r="RFT2" s="59"/>
      <c r="RFU2" s="59"/>
      <c r="RFV2" s="59"/>
      <c r="RFW2" s="59"/>
      <c r="RFX2" s="59"/>
      <c r="RFY2" s="59"/>
      <c r="RFZ2" s="59"/>
      <c r="RGA2" s="59"/>
      <c r="RGB2" s="59"/>
      <c r="RGC2" s="59"/>
      <c r="RGD2" s="59"/>
      <c r="RGE2" s="59"/>
      <c r="RGF2" s="59"/>
      <c r="RGG2" s="59"/>
      <c r="RGH2" s="59"/>
      <c r="RGI2" s="59"/>
      <c r="RGJ2" s="59"/>
      <c r="RGK2" s="59"/>
      <c r="RGL2" s="59"/>
      <c r="RGM2" s="59"/>
      <c r="RGN2" s="59"/>
      <c r="RGO2" s="59"/>
      <c r="RGP2" s="59"/>
      <c r="RGQ2" s="59"/>
      <c r="RGR2" s="59"/>
      <c r="RGS2" s="59"/>
      <c r="RGT2" s="59"/>
      <c r="RGU2" s="59"/>
      <c r="RGV2" s="59"/>
      <c r="RGW2" s="59"/>
      <c r="RGX2" s="59"/>
      <c r="RGY2" s="59"/>
      <c r="RGZ2" s="59"/>
      <c r="RHA2" s="59"/>
      <c r="RHB2" s="59"/>
      <c r="RHC2" s="59"/>
      <c r="RHD2" s="59"/>
      <c r="RHE2" s="59"/>
      <c r="RHF2" s="59"/>
      <c r="RHG2" s="59"/>
      <c r="RHH2" s="59"/>
      <c r="RHI2" s="59"/>
      <c r="RHJ2" s="59"/>
      <c r="RHK2" s="59"/>
      <c r="RHL2" s="59"/>
      <c r="RHM2" s="59"/>
      <c r="RHN2" s="59"/>
      <c r="RHO2" s="59"/>
      <c r="RHP2" s="59"/>
      <c r="RHQ2" s="59"/>
      <c r="RHR2" s="59"/>
      <c r="RHS2" s="59"/>
      <c r="RHT2" s="59"/>
      <c r="RHU2" s="59"/>
      <c r="RHV2" s="59"/>
      <c r="RHW2" s="59"/>
      <c r="RHX2" s="59"/>
      <c r="RHY2" s="59"/>
      <c r="RHZ2" s="59"/>
      <c r="RIA2" s="59"/>
      <c r="RIB2" s="59"/>
      <c r="RIC2" s="59"/>
      <c r="RID2" s="59"/>
      <c r="RIE2" s="59"/>
      <c r="RIF2" s="59"/>
      <c r="RIG2" s="59"/>
      <c r="RIH2" s="59"/>
      <c r="RII2" s="59"/>
      <c r="RIJ2" s="59"/>
      <c r="RIK2" s="59"/>
      <c r="RIL2" s="59"/>
      <c r="RIM2" s="59"/>
      <c r="RIN2" s="59"/>
      <c r="RIO2" s="59"/>
      <c r="RIP2" s="59"/>
      <c r="RIQ2" s="59"/>
      <c r="RIR2" s="59"/>
      <c r="RIS2" s="59"/>
      <c r="RIT2" s="59"/>
      <c r="RIU2" s="59"/>
      <c r="RIV2" s="59"/>
      <c r="RIW2" s="59"/>
      <c r="RIX2" s="59"/>
      <c r="RIY2" s="59"/>
      <c r="RIZ2" s="59"/>
      <c r="RJA2" s="59"/>
      <c r="RJB2" s="59"/>
      <c r="RJC2" s="59"/>
      <c r="RJD2" s="59"/>
      <c r="RJE2" s="59"/>
      <c r="RJF2" s="59"/>
      <c r="RJG2" s="59"/>
      <c r="RJH2" s="59"/>
      <c r="RJI2" s="59"/>
      <c r="RJJ2" s="59"/>
      <c r="RJK2" s="59"/>
      <c r="RJL2" s="59"/>
      <c r="RJM2" s="59"/>
      <c r="RJN2" s="59"/>
      <c r="RJO2" s="59"/>
      <c r="RJP2" s="59"/>
      <c r="RJQ2" s="59"/>
      <c r="RJR2" s="59"/>
      <c r="RJS2" s="59"/>
      <c r="RJT2" s="59"/>
      <c r="RJU2" s="59"/>
      <c r="RJV2" s="59"/>
      <c r="RJW2" s="59"/>
      <c r="RJX2" s="59"/>
      <c r="RJY2" s="59"/>
      <c r="RJZ2" s="59"/>
      <c r="RKA2" s="59"/>
      <c r="RKB2" s="59"/>
      <c r="RKC2" s="59"/>
      <c r="RKD2" s="59"/>
      <c r="RKE2" s="59"/>
      <c r="RKF2" s="59"/>
      <c r="RKG2" s="59"/>
      <c r="RKH2" s="59"/>
      <c r="RKI2" s="59"/>
      <c r="RKJ2" s="59"/>
      <c r="RKK2" s="59"/>
      <c r="RKL2" s="59"/>
      <c r="RKM2" s="59"/>
      <c r="RKN2" s="59"/>
      <c r="RKO2" s="59"/>
      <c r="RKP2" s="59"/>
      <c r="RKQ2" s="59"/>
      <c r="RKR2" s="59"/>
      <c r="RKS2" s="59"/>
      <c r="RKT2" s="59"/>
      <c r="RKU2" s="59"/>
      <c r="RKV2" s="59"/>
      <c r="RKW2" s="59"/>
      <c r="RKX2" s="59"/>
      <c r="RKY2" s="59"/>
      <c r="RKZ2" s="59"/>
      <c r="RLA2" s="59"/>
      <c r="RLB2" s="59"/>
      <c r="RLC2" s="59"/>
      <c r="RLD2" s="59"/>
      <c r="RLE2" s="59"/>
      <c r="RLF2" s="59"/>
      <c r="RLG2" s="59"/>
      <c r="RLH2" s="59"/>
      <c r="RLI2" s="59"/>
      <c r="RLJ2" s="59"/>
      <c r="RLK2" s="59"/>
      <c r="RLL2" s="59"/>
      <c r="RLM2" s="59"/>
      <c r="RLN2" s="59"/>
      <c r="RLO2" s="59"/>
      <c r="RLP2" s="59"/>
      <c r="RLQ2" s="59"/>
      <c r="RLR2" s="59"/>
      <c r="RLS2" s="59"/>
      <c r="RLT2" s="59"/>
      <c r="RLU2" s="59"/>
      <c r="RLV2" s="59"/>
      <c r="RLW2" s="59"/>
      <c r="RLX2" s="59"/>
      <c r="RLY2" s="59"/>
      <c r="RLZ2" s="59"/>
      <c r="RMA2" s="59"/>
      <c r="RMB2" s="59"/>
      <c r="RMC2" s="59"/>
      <c r="RMD2" s="59"/>
      <c r="RME2" s="59"/>
      <c r="RMF2" s="59"/>
      <c r="RMG2" s="59"/>
      <c r="RMH2" s="59"/>
      <c r="RMI2" s="59"/>
      <c r="RMJ2" s="59"/>
      <c r="RMK2" s="59"/>
      <c r="RML2" s="59"/>
      <c r="RMM2" s="59"/>
      <c r="RMN2" s="59"/>
      <c r="RMO2" s="59"/>
      <c r="RMP2" s="59"/>
      <c r="RMQ2" s="59"/>
      <c r="RMR2" s="59"/>
      <c r="RMS2" s="59"/>
      <c r="RMT2" s="59"/>
      <c r="RMU2" s="59"/>
      <c r="RMV2" s="59"/>
      <c r="RMW2" s="59"/>
      <c r="RMX2" s="59"/>
      <c r="RMY2" s="59"/>
      <c r="RMZ2" s="59"/>
      <c r="RNA2" s="59"/>
      <c r="RNB2" s="59"/>
      <c r="RNC2" s="59"/>
      <c r="RND2" s="59"/>
      <c r="RNE2" s="59"/>
      <c r="RNF2" s="59"/>
      <c r="RNG2" s="59"/>
      <c r="RNH2" s="59"/>
      <c r="RNI2" s="59"/>
      <c r="RNJ2" s="59"/>
      <c r="RNK2" s="59"/>
      <c r="RNL2" s="59"/>
      <c r="RNM2" s="59"/>
      <c r="RNN2" s="59"/>
      <c r="RNO2" s="59"/>
      <c r="RNP2" s="59"/>
      <c r="RNQ2" s="59"/>
      <c r="RNR2" s="59"/>
      <c r="RNS2" s="59"/>
      <c r="RNT2" s="59"/>
      <c r="RNU2" s="59"/>
      <c r="RNV2" s="59"/>
      <c r="RNW2" s="59"/>
      <c r="RNX2" s="59"/>
      <c r="RNY2" s="59"/>
      <c r="RNZ2" s="59"/>
      <c r="ROA2" s="59"/>
      <c r="ROB2" s="59"/>
      <c r="ROC2" s="59"/>
      <c r="ROD2" s="59"/>
      <c r="ROE2" s="59"/>
      <c r="ROF2" s="59"/>
      <c r="ROG2" s="59"/>
      <c r="ROH2" s="59"/>
      <c r="ROI2" s="59"/>
      <c r="ROJ2" s="59"/>
      <c r="ROK2" s="59"/>
      <c r="ROL2" s="59"/>
      <c r="ROM2" s="59"/>
      <c r="RON2" s="59"/>
      <c r="ROO2" s="59"/>
      <c r="ROP2" s="59"/>
      <c r="ROQ2" s="59"/>
      <c r="ROR2" s="59"/>
      <c r="ROS2" s="59"/>
      <c r="ROT2" s="59"/>
      <c r="ROU2" s="59"/>
      <c r="ROV2" s="59"/>
      <c r="ROW2" s="59"/>
      <c r="ROX2" s="59"/>
      <c r="ROY2" s="59"/>
      <c r="ROZ2" s="59"/>
      <c r="RPA2" s="59"/>
      <c r="RPB2" s="59"/>
      <c r="RPC2" s="59"/>
      <c r="RPD2" s="59"/>
      <c r="RPE2" s="59"/>
      <c r="RPF2" s="59"/>
      <c r="RPG2" s="59"/>
      <c r="RPH2" s="59"/>
      <c r="RPI2" s="59"/>
      <c r="RPJ2" s="59"/>
      <c r="RPK2" s="59"/>
      <c r="RPL2" s="59"/>
      <c r="RPM2" s="59"/>
      <c r="RPN2" s="59"/>
      <c r="RPO2" s="59"/>
      <c r="RPP2" s="59"/>
      <c r="RPQ2" s="59"/>
      <c r="RPR2" s="59"/>
      <c r="RPS2" s="59"/>
      <c r="RPT2" s="59"/>
      <c r="RPU2" s="59"/>
      <c r="RPV2" s="59"/>
      <c r="RPW2" s="59"/>
      <c r="RPX2" s="59"/>
      <c r="RPY2" s="59"/>
      <c r="RPZ2" s="59"/>
      <c r="RQA2" s="59"/>
      <c r="RQB2" s="59"/>
      <c r="RQC2" s="59"/>
      <c r="RQD2" s="59"/>
      <c r="RQE2" s="59"/>
      <c r="RQF2" s="59"/>
      <c r="RQG2" s="59"/>
      <c r="RQH2" s="59"/>
      <c r="RQI2" s="59"/>
      <c r="RQJ2" s="59"/>
      <c r="RQK2" s="59"/>
      <c r="RQL2" s="59"/>
      <c r="RQM2" s="59"/>
      <c r="RQN2" s="59"/>
      <c r="RQO2" s="59"/>
      <c r="RQP2" s="59"/>
      <c r="RQQ2" s="59"/>
      <c r="RQR2" s="59"/>
      <c r="RQS2" s="59"/>
      <c r="RQT2" s="59"/>
      <c r="RQU2" s="59"/>
      <c r="RQV2" s="59"/>
      <c r="RQW2" s="59"/>
      <c r="RQX2" s="59"/>
      <c r="RQY2" s="59"/>
      <c r="RQZ2" s="59"/>
      <c r="RRA2" s="59"/>
      <c r="RRB2" s="59"/>
      <c r="RRC2" s="59"/>
      <c r="RRD2" s="59"/>
      <c r="RRE2" s="59"/>
      <c r="RRF2" s="59"/>
      <c r="RRG2" s="59"/>
      <c r="RRH2" s="59"/>
      <c r="RRI2" s="59"/>
      <c r="RRJ2" s="59"/>
      <c r="RRK2" s="59"/>
      <c r="RRL2" s="59"/>
      <c r="RRM2" s="59"/>
      <c r="RRN2" s="59"/>
      <c r="RRO2" s="59"/>
      <c r="RRP2" s="59"/>
      <c r="RRQ2" s="59"/>
      <c r="RRR2" s="59"/>
      <c r="RRS2" s="59"/>
      <c r="RRT2" s="59"/>
      <c r="RRU2" s="59"/>
      <c r="RRV2" s="59"/>
      <c r="RRW2" s="59"/>
      <c r="RRX2" s="59"/>
      <c r="RRY2" s="59"/>
      <c r="RRZ2" s="59"/>
      <c r="RSA2" s="59"/>
      <c r="RSB2" s="59"/>
      <c r="RSC2" s="59"/>
      <c r="RSD2" s="59"/>
      <c r="RSE2" s="59"/>
      <c r="RSF2" s="59"/>
      <c r="RSG2" s="59"/>
      <c r="RSH2" s="59"/>
      <c r="RSI2" s="59"/>
      <c r="RSJ2" s="59"/>
      <c r="RSK2" s="59"/>
      <c r="RSL2" s="59"/>
      <c r="RSM2" s="59"/>
      <c r="RSN2" s="59"/>
      <c r="RSO2" s="59"/>
      <c r="RSP2" s="59"/>
      <c r="RSQ2" s="59"/>
      <c r="RSR2" s="59"/>
      <c r="RSS2" s="59"/>
      <c r="RST2" s="59"/>
      <c r="RSU2" s="59"/>
      <c r="RSV2" s="59"/>
      <c r="RSW2" s="59"/>
      <c r="RSX2" s="59"/>
      <c r="RSY2" s="59"/>
      <c r="RSZ2" s="59"/>
      <c r="RTA2" s="59"/>
      <c r="RTB2" s="59"/>
      <c r="RTC2" s="59"/>
      <c r="RTD2" s="59"/>
      <c r="RTE2" s="59"/>
      <c r="RTF2" s="59"/>
      <c r="RTG2" s="59"/>
      <c r="RTH2" s="59"/>
      <c r="RTI2" s="59"/>
      <c r="RTJ2" s="59"/>
      <c r="RTK2" s="59"/>
      <c r="RTL2" s="59"/>
      <c r="RTM2" s="59"/>
      <c r="RTN2" s="59"/>
      <c r="RTO2" s="59"/>
      <c r="RTP2" s="59"/>
      <c r="RTQ2" s="59"/>
      <c r="RTR2" s="59"/>
      <c r="RTS2" s="59"/>
      <c r="RTT2" s="59"/>
      <c r="RTU2" s="59"/>
      <c r="RTV2" s="59"/>
      <c r="RTW2" s="59"/>
      <c r="RTX2" s="59"/>
      <c r="RTY2" s="59"/>
      <c r="RTZ2" s="59"/>
      <c r="RUA2" s="59"/>
      <c r="RUB2" s="59"/>
      <c r="RUC2" s="59"/>
      <c r="RUD2" s="59"/>
      <c r="RUE2" s="59"/>
      <c r="RUF2" s="59"/>
      <c r="RUG2" s="59"/>
      <c r="RUH2" s="59"/>
      <c r="RUI2" s="59"/>
      <c r="RUJ2" s="59"/>
      <c r="RUK2" s="59"/>
      <c r="RUL2" s="59"/>
      <c r="RUM2" s="59"/>
      <c r="RUN2" s="59"/>
      <c r="RUO2" s="59"/>
      <c r="RUP2" s="59"/>
      <c r="RUQ2" s="59"/>
      <c r="RUR2" s="59"/>
      <c r="RUS2" s="59"/>
      <c r="RUT2" s="59"/>
      <c r="RUU2" s="59"/>
      <c r="RUV2" s="59"/>
      <c r="RUW2" s="59"/>
      <c r="RUX2" s="59"/>
      <c r="RUY2" s="59"/>
      <c r="RUZ2" s="59"/>
      <c r="RVA2" s="59"/>
      <c r="RVB2" s="59"/>
      <c r="RVC2" s="59"/>
      <c r="RVD2" s="59"/>
      <c r="RVE2" s="59"/>
      <c r="RVF2" s="59"/>
      <c r="RVG2" s="59"/>
      <c r="RVH2" s="59"/>
      <c r="RVI2" s="59"/>
      <c r="RVJ2" s="59"/>
      <c r="RVK2" s="59"/>
      <c r="RVL2" s="59"/>
      <c r="RVM2" s="59"/>
      <c r="RVN2" s="59"/>
      <c r="RVO2" s="59"/>
      <c r="RVP2" s="59"/>
      <c r="RVQ2" s="59"/>
      <c r="RVR2" s="59"/>
      <c r="RVS2" s="59"/>
      <c r="RVT2" s="59"/>
      <c r="RVU2" s="59"/>
      <c r="RVV2" s="59"/>
      <c r="RVW2" s="59"/>
      <c r="RVX2" s="59"/>
      <c r="RVY2" s="59"/>
      <c r="RVZ2" s="59"/>
      <c r="RWA2" s="59"/>
      <c r="RWB2" s="59"/>
      <c r="RWC2" s="59"/>
      <c r="RWD2" s="59"/>
      <c r="RWE2" s="59"/>
      <c r="RWF2" s="59"/>
      <c r="RWG2" s="59"/>
      <c r="RWH2" s="59"/>
      <c r="RWI2" s="59"/>
      <c r="RWJ2" s="59"/>
      <c r="RWK2" s="59"/>
      <c r="RWL2" s="59"/>
      <c r="RWM2" s="59"/>
      <c r="RWN2" s="59"/>
      <c r="RWO2" s="59"/>
      <c r="RWP2" s="59"/>
      <c r="RWQ2" s="59"/>
      <c r="RWR2" s="59"/>
      <c r="RWS2" s="59"/>
      <c r="RWT2" s="59"/>
      <c r="RWU2" s="59"/>
      <c r="RWV2" s="59"/>
      <c r="RWW2" s="59"/>
      <c r="RWX2" s="59"/>
      <c r="RWY2" s="59"/>
      <c r="RWZ2" s="59"/>
      <c r="RXA2" s="59"/>
      <c r="RXB2" s="59"/>
      <c r="RXC2" s="59"/>
      <c r="RXD2" s="59"/>
      <c r="RXE2" s="59"/>
      <c r="RXF2" s="59"/>
      <c r="RXG2" s="59"/>
      <c r="RXH2" s="59"/>
      <c r="RXI2" s="59"/>
      <c r="RXJ2" s="59"/>
      <c r="RXK2" s="59"/>
      <c r="RXL2" s="59"/>
      <c r="RXM2" s="59"/>
      <c r="RXN2" s="59"/>
      <c r="RXO2" s="59"/>
      <c r="RXP2" s="59"/>
      <c r="RXQ2" s="59"/>
      <c r="RXR2" s="59"/>
      <c r="RXS2" s="59"/>
      <c r="RXT2" s="59"/>
      <c r="RXU2" s="59"/>
      <c r="RXV2" s="59"/>
      <c r="RXW2" s="59"/>
      <c r="RXX2" s="59"/>
      <c r="RXY2" s="59"/>
      <c r="RXZ2" s="59"/>
      <c r="RYA2" s="59"/>
      <c r="RYB2" s="59"/>
      <c r="RYC2" s="59"/>
      <c r="RYD2" s="59"/>
      <c r="RYE2" s="59"/>
      <c r="RYF2" s="59"/>
      <c r="RYG2" s="59"/>
      <c r="RYH2" s="59"/>
      <c r="RYI2" s="59"/>
      <c r="RYJ2" s="59"/>
      <c r="RYK2" s="59"/>
      <c r="RYL2" s="59"/>
      <c r="RYM2" s="59"/>
      <c r="RYN2" s="59"/>
      <c r="RYO2" s="59"/>
      <c r="RYP2" s="59"/>
      <c r="RYQ2" s="59"/>
      <c r="RYR2" s="59"/>
      <c r="RYS2" s="59"/>
      <c r="RYT2" s="59"/>
      <c r="RYU2" s="59"/>
      <c r="RYV2" s="59"/>
      <c r="RYW2" s="59"/>
      <c r="RYX2" s="59"/>
      <c r="RYY2" s="59"/>
      <c r="RYZ2" s="59"/>
      <c r="RZA2" s="59"/>
      <c r="RZB2" s="59"/>
      <c r="RZC2" s="59"/>
      <c r="RZD2" s="59"/>
      <c r="RZE2" s="59"/>
      <c r="RZF2" s="59"/>
      <c r="RZG2" s="59"/>
      <c r="RZH2" s="59"/>
      <c r="RZI2" s="59"/>
      <c r="RZJ2" s="59"/>
      <c r="RZK2" s="59"/>
      <c r="RZL2" s="59"/>
      <c r="RZM2" s="59"/>
      <c r="RZN2" s="59"/>
      <c r="RZO2" s="59"/>
      <c r="RZP2" s="59"/>
      <c r="RZQ2" s="59"/>
      <c r="RZR2" s="59"/>
      <c r="RZS2" s="59"/>
      <c r="RZT2" s="59"/>
      <c r="RZU2" s="59"/>
      <c r="RZV2" s="59"/>
      <c r="RZW2" s="59"/>
      <c r="RZX2" s="59"/>
      <c r="RZY2" s="59"/>
      <c r="RZZ2" s="59"/>
      <c r="SAA2" s="59"/>
      <c r="SAB2" s="59"/>
      <c r="SAC2" s="59"/>
      <c r="SAD2" s="59"/>
      <c r="SAE2" s="59"/>
      <c r="SAF2" s="59"/>
      <c r="SAG2" s="59"/>
      <c r="SAH2" s="59"/>
      <c r="SAI2" s="59"/>
      <c r="SAJ2" s="59"/>
      <c r="SAK2" s="59"/>
      <c r="SAL2" s="59"/>
      <c r="SAM2" s="59"/>
      <c r="SAN2" s="59"/>
      <c r="SAO2" s="59"/>
      <c r="SAP2" s="59"/>
      <c r="SAQ2" s="59"/>
      <c r="SAR2" s="59"/>
      <c r="SAS2" s="59"/>
      <c r="SAT2" s="59"/>
      <c r="SAU2" s="59"/>
      <c r="SAV2" s="59"/>
      <c r="SAW2" s="59"/>
      <c r="SAX2" s="59"/>
      <c r="SAY2" s="59"/>
      <c r="SAZ2" s="59"/>
      <c r="SBA2" s="59"/>
      <c r="SBB2" s="59"/>
      <c r="SBC2" s="59"/>
      <c r="SBD2" s="59"/>
      <c r="SBE2" s="59"/>
      <c r="SBF2" s="59"/>
      <c r="SBG2" s="59"/>
      <c r="SBH2" s="59"/>
      <c r="SBI2" s="59"/>
      <c r="SBJ2" s="59"/>
      <c r="SBK2" s="59"/>
      <c r="SBL2" s="59"/>
      <c r="SBM2" s="59"/>
      <c r="SBN2" s="59"/>
      <c r="SBO2" s="59"/>
      <c r="SBP2" s="59"/>
      <c r="SBQ2" s="59"/>
      <c r="SBR2" s="59"/>
      <c r="SBS2" s="59"/>
      <c r="SBT2" s="59"/>
      <c r="SBU2" s="59"/>
      <c r="SBV2" s="59"/>
      <c r="SBW2" s="59"/>
      <c r="SBX2" s="59"/>
      <c r="SBY2" s="59"/>
      <c r="SBZ2" s="59"/>
      <c r="SCA2" s="59"/>
      <c r="SCB2" s="59"/>
      <c r="SCC2" s="59"/>
      <c r="SCD2" s="59"/>
      <c r="SCE2" s="59"/>
      <c r="SCF2" s="59"/>
      <c r="SCG2" s="59"/>
      <c r="SCH2" s="59"/>
      <c r="SCI2" s="59"/>
      <c r="SCJ2" s="59"/>
      <c r="SCK2" s="59"/>
      <c r="SCL2" s="59"/>
      <c r="SCM2" s="59"/>
      <c r="SCN2" s="59"/>
      <c r="SCO2" s="59"/>
      <c r="SCP2" s="59"/>
      <c r="SCQ2" s="59"/>
      <c r="SCR2" s="59"/>
      <c r="SCS2" s="59"/>
      <c r="SCT2" s="59"/>
      <c r="SCU2" s="59"/>
      <c r="SCV2" s="59"/>
      <c r="SCW2" s="59"/>
      <c r="SCX2" s="59"/>
      <c r="SCY2" s="59"/>
      <c r="SCZ2" s="59"/>
      <c r="SDA2" s="59"/>
      <c r="SDB2" s="59"/>
      <c r="SDC2" s="59"/>
      <c r="SDD2" s="59"/>
      <c r="SDE2" s="59"/>
      <c r="SDF2" s="59"/>
      <c r="SDG2" s="59"/>
      <c r="SDH2" s="59"/>
      <c r="SDI2" s="59"/>
      <c r="SDJ2" s="59"/>
      <c r="SDK2" s="59"/>
      <c r="SDL2" s="59"/>
      <c r="SDM2" s="59"/>
      <c r="SDN2" s="59"/>
      <c r="SDO2" s="59"/>
      <c r="SDP2" s="59"/>
      <c r="SDQ2" s="59"/>
      <c r="SDR2" s="59"/>
      <c r="SDS2" s="59"/>
      <c r="SDT2" s="59"/>
      <c r="SDU2" s="59"/>
      <c r="SDV2" s="59"/>
      <c r="SDW2" s="59"/>
      <c r="SDX2" s="59"/>
      <c r="SDY2" s="59"/>
      <c r="SDZ2" s="59"/>
      <c r="SEA2" s="59"/>
      <c r="SEB2" s="59"/>
      <c r="SEC2" s="59"/>
      <c r="SED2" s="59"/>
      <c r="SEE2" s="59"/>
      <c r="SEF2" s="59"/>
      <c r="SEG2" s="59"/>
      <c r="SEH2" s="59"/>
      <c r="SEI2" s="59"/>
      <c r="SEJ2" s="59"/>
      <c r="SEK2" s="59"/>
      <c r="SEL2" s="59"/>
      <c r="SEM2" s="59"/>
      <c r="SEN2" s="59"/>
      <c r="SEO2" s="59"/>
      <c r="SEP2" s="59"/>
      <c r="SEQ2" s="59"/>
      <c r="SER2" s="59"/>
      <c r="SES2" s="59"/>
      <c r="SET2" s="59"/>
      <c r="SEU2" s="59"/>
      <c r="SEV2" s="59"/>
      <c r="SEW2" s="59"/>
      <c r="SEX2" s="59"/>
      <c r="SEY2" s="59"/>
      <c r="SEZ2" s="59"/>
      <c r="SFA2" s="59"/>
      <c r="SFB2" s="59"/>
      <c r="SFC2" s="59"/>
      <c r="SFD2" s="59"/>
      <c r="SFE2" s="59"/>
      <c r="SFF2" s="59"/>
      <c r="SFG2" s="59"/>
      <c r="SFH2" s="59"/>
      <c r="SFI2" s="59"/>
      <c r="SFJ2" s="59"/>
      <c r="SFK2" s="59"/>
      <c r="SFL2" s="59"/>
      <c r="SFM2" s="59"/>
      <c r="SFN2" s="59"/>
      <c r="SFO2" s="59"/>
      <c r="SFP2" s="59"/>
      <c r="SFQ2" s="59"/>
      <c r="SFR2" s="59"/>
      <c r="SFS2" s="59"/>
      <c r="SFT2" s="59"/>
      <c r="SFU2" s="59"/>
      <c r="SFV2" s="59"/>
      <c r="SFW2" s="59"/>
      <c r="SFX2" s="59"/>
      <c r="SFY2" s="59"/>
      <c r="SFZ2" s="59"/>
      <c r="SGA2" s="59"/>
      <c r="SGB2" s="59"/>
      <c r="SGC2" s="59"/>
      <c r="SGD2" s="59"/>
      <c r="SGE2" s="59"/>
      <c r="SGF2" s="59"/>
      <c r="SGG2" s="59"/>
      <c r="SGH2" s="59"/>
      <c r="SGI2" s="59"/>
      <c r="SGJ2" s="59"/>
      <c r="SGK2" s="59"/>
      <c r="SGL2" s="59"/>
      <c r="SGM2" s="59"/>
      <c r="SGN2" s="59"/>
      <c r="SGO2" s="59"/>
      <c r="SGP2" s="59"/>
      <c r="SGQ2" s="59"/>
      <c r="SGR2" s="59"/>
      <c r="SGS2" s="59"/>
      <c r="SGT2" s="59"/>
      <c r="SGU2" s="59"/>
      <c r="SGV2" s="59"/>
      <c r="SGW2" s="59"/>
      <c r="SGX2" s="59"/>
      <c r="SGY2" s="59"/>
      <c r="SGZ2" s="59"/>
      <c r="SHA2" s="59"/>
      <c r="SHB2" s="59"/>
      <c r="SHC2" s="59"/>
      <c r="SHD2" s="59"/>
      <c r="SHE2" s="59"/>
      <c r="SHF2" s="59"/>
      <c r="SHG2" s="59"/>
      <c r="SHH2" s="59"/>
      <c r="SHI2" s="59"/>
      <c r="SHJ2" s="59"/>
      <c r="SHK2" s="59"/>
      <c r="SHL2" s="59"/>
      <c r="SHM2" s="59"/>
      <c r="SHN2" s="59"/>
      <c r="SHO2" s="59"/>
      <c r="SHP2" s="59"/>
      <c r="SHQ2" s="59"/>
      <c r="SHR2" s="59"/>
      <c r="SHS2" s="59"/>
      <c r="SHT2" s="59"/>
      <c r="SHU2" s="59"/>
      <c r="SHV2" s="59"/>
      <c r="SHW2" s="59"/>
      <c r="SHX2" s="59"/>
      <c r="SHY2" s="59"/>
      <c r="SHZ2" s="59"/>
      <c r="SIA2" s="59"/>
      <c r="SIB2" s="59"/>
      <c r="SIC2" s="59"/>
      <c r="SID2" s="59"/>
      <c r="SIE2" s="59"/>
      <c r="SIF2" s="59"/>
      <c r="SIG2" s="59"/>
      <c r="SIH2" s="59"/>
      <c r="SII2" s="59"/>
      <c r="SIJ2" s="59"/>
      <c r="SIK2" s="59"/>
      <c r="SIL2" s="59"/>
      <c r="SIM2" s="59"/>
      <c r="SIN2" s="59"/>
      <c r="SIO2" s="59"/>
      <c r="SIP2" s="59"/>
      <c r="SIQ2" s="59"/>
      <c r="SIR2" s="59"/>
      <c r="SIS2" s="59"/>
      <c r="SIT2" s="59"/>
      <c r="SIU2" s="59"/>
      <c r="SIV2" s="59"/>
      <c r="SIW2" s="59"/>
      <c r="SIX2" s="59"/>
      <c r="SIY2" s="59"/>
      <c r="SIZ2" s="59"/>
      <c r="SJA2" s="59"/>
      <c r="SJB2" s="59"/>
      <c r="SJC2" s="59"/>
      <c r="SJD2" s="59"/>
      <c r="SJE2" s="59"/>
      <c r="SJF2" s="59"/>
      <c r="SJG2" s="59"/>
      <c r="SJH2" s="59"/>
      <c r="SJI2" s="59"/>
      <c r="SJJ2" s="59"/>
      <c r="SJK2" s="59"/>
      <c r="SJL2" s="59"/>
      <c r="SJM2" s="59"/>
      <c r="SJN2" s="59"/>
      <c r="SJO2" s="59"/>
      <c r="SJP2" s="59"/>
      <c r="SJQ2" s="59"/>
      <c r="SJR2" s="59"/>
      <c r="SJS2" s="59"/>
      <c r="SJT2" s="59"/>
      <c r="SJU2" s="59"/>
      <c r="SJV2" s="59"/>
      <c r="SJW2" s="59"/>
      <c r="SJX2" s="59"/>
      <c r="SJY2" s="59"/>
      <c r="SJZ2" s="59"/>
      <c r="SKA2" s="59"/>
      <c r="SKB2" s="59"/>
      <c r="SKC2" s="59"/>
      <c r="SKD2" s="59"/>
      <c r="SKE2" s="59"/>
      <c r="SKF2" s="59"/>
      <c r="SKG2" s="59"/>
      <c r="SKH2" s="59"/>
      <c r="SKI2" s="59"/>
      <c r="SKJ2" s="59"/>
      <c r="SKK2" s="59"/>
      <c r="SKL2" s="59"/>
      <c r="SKM2" s="59"/>
      <c r="SKN2" s="59"/>
      <c r="SKO2" s="59"/>
      <c r="SKP2" s="59"/>
      <c r="SKQ2" s="59"/>
      <c r="SKR2" s="59"/>
      <c r="SKS2" s="59"/>
      <c r="SKT2" s="59"/>
      <c r="SKU2" s="59"/>
      <c r="SKV2" s="59"/>
      <c r="SKW2" s="59"/>
      <c r="SKX2" s="59"/>
      <c r="SKY2" s="59"/>
      <c r="SKZ2" s="59"/>
      <c r="SLA2" s="59"/>
      <c r="SLB2" s="59"/>
      <c r="SLC2" s="59"/>
      <c r="SLD2" s="59"/>
      <c r="SLE2" s="59"/>
      <c r="SLF2" s="59"/>
      <c r="SLG2" s="59"/>
      <c r="SLH2" s="59"/>
      <c r="SLI2" s="59"/>
      <c r="SLJ2" s="59"/>
      <c r="SLK2" s="59"/>
      <c r="SLL2" s="59"/>
      <c r="SLM2" s="59"/>
      <c r="SLN2" s="59"/>
      <c r="SLO2" s="59"/>
      <c r="SLP2" s="59"/>
      <c r="SLQ2" s="59"/>
      <c r="SLR2" s="59"/>
      <c r="SLS2" s="59"/>
      <c r="SLT2" s="59"/>
      <c r="SLU2" s="59"/>
      <c r="SLV2" s="59"/>
      <c r="SLW2" s="59"/>
      <c r="SLX2" s="59"/>
      <c r="SLY2" s="59"/>
      <c r="SLZ2" s="59"/>
      <c r="SMA2" s="59"/>
      <c r="SMB2" s="59"/>
      <c r="SMC2" s="59"/>
      <c r="SMD2" s="59"/>
      <c r="SME2" s="59"/>
      <c r="SMF2" s="59"/>
      <c r="SMG2" s="59"/>
      <c r="SMH2" s="59"/>
      <c r="SMI2" s="59"/>
      <c r="SMJ2" s="59"/>
      <c r="SMK2" s="59"/>
      <c r="SML2" s="59"/>
      <c r="SMM2" s="59"/>
      <c r="SMN2" s="59"/>
      <c r="SMO2" s="59"/>
      <c r="SMP2" s="59"/>
      <c r="SMQ2" s="59"/>
      <c r="SMR2" s="59"/>
      <c r="SMS2" s="59"/>
      <c r="SMT2" s="59"/>
      <c r="SMU2" s="59"/>
      <c r="SMV2" s="59"/>
      <c r="SMW2" s="59"/>
      <c r="SMX2" s="59"/>
      <c r="SMY2" s="59"/>
      <c r="SMZ2" s="59"/>
      <c r="SNA2" s="59"/>
      <c r="SNB2" s="59"/>
      <c r="SNC2" s="59"/>
      <c r="SND2" s="59"/>
      <c r="SNE2" s="59"/>
      <c r="SNF2" s="59"/>
      <c r="SNG2" s="59"/>
      <c r="SNH2" s="59"/>
      <c r="SNI2" s="59"/>
      <c r="SNJ2" s="59"/>
      <c r="SNK2" s="59"/>
      <c r="SNL2" s="59"/>
      <c r="SNM2" s="59"/>
      <c r="SNN2" s="59"/>
      <c r="SNO2" s="59"/>
      <c r="SNP2" s="59"/>
      <c r="SNQ2" s="59"/>
      <c r="SNR2" s="59"/>
      <c r="SNS2" s="59"/>
      <c r="SNT2" s="59"/>
      <c r="SNU2" s="59"/>
      <c r="SNV2" s="59"/>
      <c r="SNW2" s="59"/>
      <c r="SNX2" s="59"/>
      <c r="SNY2" s="59"/>
      <c r="SNZ2" s="59"/>
      <c r="SOA2" s="59"/>
      <c r="SOB2" s="59"/>
      <c r="SOC2" s="59"/>
      <c r="SOD2" s="59"/>
      <c r="SOE2" s="59"/>
      <c r="SOF2" s="59"/>
      <c r="SOG2" s="59"/>
      <c r="SOH2" s="59"/>
      <c r="SOI2" s="59"/>
      <c r="SOJ2" s="59"/>
      <c r="SOK2" s="59"/>
      <c r="SOL2" s="59"/>
      <c r="SOM2" s="59"/>
      <c r="SON2" s="59"/>
      <c r="SOO2" s="59"/>
      <c r="SOP2" s="59"/>
      <c r="SOQ2" s="59"/>
      <c r="SOR2" s="59"/>
      <c r="SOS2" s="59"/>
      <c r="SOT2" s="59"/>
      <c r="SOU2" s="59"/>
      <c r="SOV2" s="59"/>
      <c r="SOW2" s="59"/>
      <c r="SOX2" s="59"/>
      <c r="SOY2" s="59"/>
      <c r="SOZ2" s="59"/>
      <c r="SPA2" s="59"/>
      <c r="SPB2" s="59"/>
      <c r="SPC2" s="59"/>
      <c r="SPD2" s="59"/>
      <c r="SPE2" s="59"/>
      <c r="SPF2" s="59"/>
      <c r="SPG2" s="59"/>
      <c r="SPH2" s="59"/>
      <c r="SPI2" s="59"/>
      <c r="SPJ2" s="59"/>
      <c r="SPK2" s="59"/>
      <c r="SPL2" s="59"/>
      <c r="SPM2" s="59"/>
      <c r="SPN2" s="59"/>
      <c r="SPO2" s="59"/>
      <c r="SPP2" s="59"/>
      <c r="SPQ2" s="59"/>
      <c r="SPR2" s="59"/>
      <c r="SPS2" s="59"/>
      <c r="SPT2" s="59"/>
      <c r="SPU2" s="59"/>
      <c r="SPV2" s="59"/>
      <c r="SPW2" s="59"/>
      <c r="SPX2" s="59"/>
      <c r="SPY2" s="59"/>
      <c r="SPZ2" s="59"/>
      <c r="SQA2" s="59"/>
      <c r="SQB2" s="59"/>
      <c r="SQC2" s="59"/>
      <c r="SQD2" s="59"/>
      <c r="SQE2" s="59"/>
      <c r="SQF2" s="59"/>
      <c r="SQG2" s="59"/>
      <c r="SQH2" s="59"/>
      <c r="SQI2" s="59"/>
      <c r="SQJ2" s="59"/>
      <c r="SQK2" s="59"/>
      <c r="SQL2" s="59"/>
      <c r="SQM2" s="59"/>
      <c r="SQN2" s="59"/>
      <c r="SQO2" s="59"/>
      <c r="SQP2" s="59"/>
      <c r="SQQ2" s="59"/>
      <c r="SQR2" s="59"/>
      <c r="SQS2" s="59"/>
      <c r="SQT2" s="59"/>
      <c r="SQU2" s="59"/>
      <c r="SQV2" s="59"/>
      <c r="SQW2" s="59"/>
      <c r="SQX2" s="59"/>
      <c r="SQY2" s="59"/>
      <c r="SQZ2" s="59"/>
      <c r="SRA2" s="59"/>
      <c r="SRB2" s="59"/>
      <c r="SRC2" s="59"/>
      <c r="SRD2" s="59"/>
      <c r="SRE2" s="59"/>
      <c r="SRF2" s="59"/>
      <c r="SRG2" s="59"/>
      <c r="SRH2" s="59"/>
      <c r="SRI2" s="59"/>
      <c r="SRJ2" s="59"/>
      <c r="SRK2" s="59"/>
      <c r="SRL2" s="59"/>
      <c r="SRM2" s="59"/>
      <c r="SRN2" s="59"/>
      <c r="SRO2" s="59"/>
      <c r="SRP2" s="59"/>
      <c r="SRQ2" s="59"/>
      <c r="SRR2" s="59"/>
      <c r="SRS2" s="59"/>
      <c r="SRT2" s="59"/>
      <c r="SRU2" s="59"/>
      <c r="SRV2" s="59"/>
      <c r="SRW2" s="59"/>
      <c r="SRX2" s="59"/>
      <c r="SRY2" s="59"/>
      <c r="SRZ2" s="59"/>
      <c r="SSA2" s="59"/>
      <c r="SSB2" s="59"/>
      <c r="SSC2" s="59"/>
      <c r="SSD2" s="59"/>
      <c r="SSE2" s="59"/>
      <c r="SSF2" s="59"/>
      <c r="SSG2" s="59"/>
      <c r="SSH2" s="59"/>
      <c r="SSI2" s="59"/>
      <c r="SSJ2" s="59"/>
      <c r="SSK2" s="59"/>
      <c r="SSL2" s="59"/>
      <c r="SSM2" s="59"/>
      <c r="SSN2" s="59"/>
      <c r="SSO2" s="59"/>
      <c r="SSP2" s="59"/>
      <c r="SSQ2" s="59"/>
      <c r="SSR2" s="59"/>
      <c r="SSS2" s="59"/>
      <c r="SST2" s="59"/>
      <c r="SSU2" s="59"/>
      <c r="SSV2" s="59"/>
      <c r="SSW2" s="59"/>
      <c r="SSX2" s="59"/>
      <c r="SSY2" s="59"/>
      <c r="SSZ2" s="59"/>
      <c r="STA2" s="59"/>
      <c r="STB2" s="59"/>
      <c r="STC2" s="59"/>
      <c r="STD2" s="59"/>
      <c r="STE2" s="59"/>
      <c r="STF2" s="59"/>
      <c r="STG2" s="59"/>
      <c r="STH2" s="59"/>
      <c r="STI2" s="59"/>
      <c r="STJ2" s="59"/>
      <c r="STK2" s="59"/>
      <c r="STL2" s="59"/>
      <c r="STM2" s="59"/>
      <c r="STN2" s="59"/>
      <c r="STO2" s="59"/>
      <c r="STP2" s="59"/>
      <c r="STQ2" s="59"/>
      <c r="STR2" s="59"/>
      <c r="STS2" s="59"/>
      <c r="STT2" s="59"/>
      <c r="STU2" s="59"/>
      <c r="STV2" s="59"/>
      <c r="STW2" s="59"/>
      <c r="STX2" s="59"/>
      <c r="STY2" s="59"/>
      <c r="STZ2" s="59"/>
      <c r="SUA2" s="59"/>
      <c r="SUB2" s="59"/>
      <c r="SUC2" s="59"/>
      <c r="SUD2" s="59"/>
      <c r="SUE2" s="59"/>
      <c r="SUF2" s="59"/>
      <c r="SUG2" s="59"/>
      <c r="SUH2" s="59"/>
      <c r="SUI2" s="59"/>
      <c r="SUJ2" s="59"/>
      <c r="SUK2" s="59"/>
      <c r="SUL2" s="59"/>
      <c r="SUM2" s="59"/>
      <c r="SUN2" s="59"/>
      <c r="SUO2" s="59"/>
      <c r="SUP2" s="59"/>
      <c r="SUQ2" s="59"/>
      <c r="SUR2" s="59"/>
      <c r="SUS2" s="59"/>
      <c r="SUT2" s="59"/>
      <c r="SUU2" s="59"/>
      <c r="SUV2" s="59"/>
      <c r="SUW2" s="59"/>
      <c r="SUX2" s="59"/>
      <c r="SUY2" s="59"/>
      <c r="SUZ2" s="59"/>
      <c r="SVA2" s="59"/>
      <c r="SVB2" s="59"/>
      <c r="SVC2" s="59"/>
      <c r="SVD2" s="59"/>
      <c r="SVE2" s="59"/>
      <c r="SVF2" s="59"/>
      <c r="SVG2" s="59"/>
      <c r="SVH2" s="59"/>
      <c r="SVI2" s="59"/>
      <c r="SVJ2" s="59"/>
      <c r="SVK2" s="59"/>
      <c r="SVL2" s="59"/>
      <c r="SVM2" s="59"/>
      <c r="SVN2" s="59"/>
      <c r="SVO2" s="59"/>
      <c r="SVP2" s="59"/>
      <c r="SVQ2" s="59"/>
      <c r="SVR2" s="59"/>
      <c r="SVS2" s="59"/>
      <c r="SVT2" s="59"/>
      <c r="SVU2" s="59"/>
      <c r="SVV2" s="59"/>
      <c r="SVW2" s="59"/>
      <c r="SVX2" s="59"/>
      <c r="SVY2" s="59"/>
      <c r="SVZ2" s="59"/>
      <c r="SWA2" s="59"/>
      <c r="SWB2" s="59"/>
      <c r="SWC2" s="59"/>
      <c r="SWD2" s="59"/>
      <c r="SWE2" s="59"/>
      <c r="SWF2" s="59"/>
      <c r="SWG2" s="59"/>
      <c r="SWH2" s="59"/>
      <c r="SWI2" s="59"/>
      <c r="SWJ2" s="59"/>
      <c r="SWK2" s="59"/>
      <c r="SWL2" s="59"/>
      <c r="SWM2" s="59"/>
      <c r="SWN2" s="59"/>
      <c r="SWO2" s="59"/>
      <c r="SWP2" s="59"/>
      <c r="SWQ2" s="59"/>
      <c r="SWR2" s="59"/>
      <c r="SWS2" s="59"/>
      <c r="SWT2" s="59"/>
      <c r="SWU2" s="59"/>
      <c r="SWV2" s="59"/>
      <c r="SWW2" s="59"/>
      <c r="SWX2" s="59"/>
      <c r="SWY2" s="59"/>
      <c r="SWZ2" s="59"/>
      <c r="SXA2" s="59"/>
      <c r="SXB2" s="59"/>
      <c r="SXC2" s="59"/>
      <c r="SXD2" s="59"/>
      <c r="SXE2" s="59"/>
      <c r="SXF2" s="59"/>
      <c r="SXG2" s="59"/>
      <c r="SXH2" s="59"/>
      <c r="SXI2" s="59"/>
      <c r="SXJ2" s="59"/>
      <c r="SXK2" s="59"/>
      <c r="SXL2" s="59"/>
      <c r="SXM2" s="59"/>
      <c r="SXN2" s="59"/>
      <c r="SXO2" s="59"/>
      <c r="SXP2" s="59"/>
      <c r="SXQ2" s="59"/>
      <c r="SXR2" s="59"/>
      <c r="SXS2" s="59"/>
      <c r="SXT2" s="59"/>
      <c r="SXU2" s="59"/>
      <c r="SXV2" s="59"/>
      <c r="SXW2" s="59"/>
      <c r="SXX2" s="59"/>
      <c r="SXY2" s="59"/>
      <c r="SXZ2" s="59"/>
      <c r="SYA2" s="59"/>
      <c r="SYB2" s="59"/>
      <c r="SYC2" s="59"/>
      <c r="SYD2" s="59"/>
      <c r="SYE2" s="59"/>
      <c r="SYF2" s="59"/>
      <c r="SYG2" s="59"/>
      <c r="SYH2" s="59"/>
      <c r="SYI2" s="59"/>
      <c r="SYJ2" s="59"/>
      <c r="SYK2" s="59"/>
      <c r="SYL2" s="59"/>
      <c r="SYM2" s="59"/>
      <c r="SYN2" s="59"/>
      <c r="SYO2" s="59"/>
      <c r="SYP2" s="59"/>
      <c r="SYQ2" s="59"/>
      <c r="SYR2" s="59"/>
      <c r="SYS2" s="59"/>
      <c r="SYT2" s="59"/>
      <c r="SYU2" s="59"/>
      <c r="SYV2" s="59"/>
      <c r="SYW2" s="59"/>
      <c r="SYX2" s="59"/>
      <c r="SYY2" s="59"/>
      <c r="SYZ2" s="59"/>
      <c r="SZA2" s="59"/>
      <c r="SZB2" s="59"/>
      <c r="SZC2" s="59"/>
      <c r="SZD2" s="59"/>
      <c r="SZE2" s="59"/>
      <c r="SZF2" s="59"/>
      <c r="SZG2" s="59"/>
      <c r="SZH2" s="59"/>
      <c r="SZI2" s="59"/>
      <c r="SZJ2" s="59"/>
      <c r="SZK2" s="59"/>
      <c r="SZL2" s="59"/>
      <c r="SZM2" s="59"/>
      <c r="SZN2" s="59"/>
      <c r="SZO2" s="59"/>
      <c r="SZP2" s="59"/>
      <c r="SZQ2" s="59"/>
      <c r="SZR2" s="59"/>
      <c r="SZS2" s="59"/>
      <c r="SZT2" s="59"/>
      <c r="SZU2" s="59"/>
      <c r="SZV2" s="59"/>
      <c r="SZW2" s="59"/>
      <c r="SZX2" s="59"/>
      <c r="SZY2" s="59"/>
      <c r="SZZ2" s="59"/>
      <c r="TAA2" s="59"/>
      <c r="TAB2" s="59"/>
      <c r="TAC2" s="59"/>
      <c r="TAD2" s="59"/>
      <c r="TAE2" s="59"/>
      <c r="TAF2" s="59"/>
      <c r="TAG2" s="59"/>
      <c r="TAH2" s="59"/>
      <c r="TAI2" s="59"/>
      <c r="TAJ2" s="59"/>
      <c r="TAK2" s="59"/>
      <c r="TAL2" s="59"/>
      <c r="TAM2" s="59"/>
      <c r="TAN2" s="59"/>
      <c r="TAO2" s="59"/>
      <c r="TAP2" s="59"/>
      <c r="TAQ2" s="59"/>
      <c r="TAR2" s="59"/>
      <c r="TAS2" s="59"/>
      <c r="TAT2" s="59"/>
      <c r="TAU2" s="59"/>
      <c r="TAV2" s="59"/>
      <c r="TAW2" s="59"/>
      <c r="TAX2" s="59"/>
      <c r="TAY2" s="59"/>
      <c r="TAZ2" s="59"/>
      <c r="TBA2" s="59"/>
      <c r="TBB2" s="59"/>
      <c r="TBC2" s="59"/>
      <c r="TBD2" s="59"/>
      <c r="TBE2" s="59"/>
      <c r="TBF2" s="59"/>
      <c r="TBG2" s="59"/>
      <c r="TBH2" s="59"/>
      <c r="TBI2" s="59"/>
      <c r="TBJ2" s="59"/>
      <c r="TBK2" s="59"/>
      <c r="TBL2" s="59"/>
      <c r="TBM2" s="59"/>
      <c r="TBN2" s="59"/>
      <c r="TBO2" s="59"/>
      <c r="TBP2" s="59"/>
      <c r="TBQ2" s="59"/>
      <c r="TBR2" s="59"/>
      <c r="TBS2" s="59"/>
      <c r="TBT2" s="59"/>
      <c r="TBU2" s="59"/>
      <c r="TBV2" s="59"/>
      <c r="TBW2" s="59"/>
      <c r="TBX2" s="59"/>
      <c r="TBY2" s="59"/>
      <c r="TBZ2" s="59"/>
      <c r="TCA2" s="59"/>
      <c r="TCB2" s="59"/>
      <c r="TCC2" s="59"/>
      <c r="TCD2" s="59"/>
      <c r="TCE2" s="59"/>
      <c r="TCF2" s="59"/>
      <c r="TCG2" s="59"/>
      <c r="TCH2" s="59"/>
      <c r="TCI2" s="59"/>
      <c r="TCJ2" s="59"/>
      <c r="TCK2" s="59"/>
      <c r="TCL2" s="59"/>
      <c r="TCM2" s="59"/>
      <c r="TCN2" s="59"/>
      <c r="TCO2" s="59"/>
      <c r="TCP2" s="59"/>
      <c r="TCQ2" s="59"/>
      <c r="TCR2" s="59"/>
      <c r="TCS2" s="59"/>
      <c r="TCT2" s="59"/>
      <c r="TCU2" s="59"/>
      <c r="TCV2" s="59"/>
      <c r="TCW2" s="59"/>
      <c r="TCX2" s="59"/>
      <c r="TCY2" s="59"/>
      <c r="TCZ2" s="59"/>
      <c r="TDA2" s="59"/>
      <c r="TDB2" s="59"/>
      <c r="TDC2" s="59"/>
      <c r="TDD2" s="59"/>
      <c r="TDE2" s="59"/>
      <c r="TDF2" s="59"/>
      <c r="TDG2" s="59"/>
      <c r="TDH2" s="59"/>
      <c r="TDI2" s="59"/>
      <c r="TDJ2" s="59"/>
      <c r="TDK2" s="59"/>
      <c r="TDL2" s="59"/>
      <c r="TDM2" s="59"/>
      <c r="TDN2" s="59"/>
      <c r="TDO2" s="59"/>
      <c r="TDP2" s="59"/>
      <c r="TDQ2" s="59"/>
      <c r="TDR2" s="59"/>
      <c r="TDS2" s="59"/>
      <c r="TDT2" s="59"/>
      <c r="TDU2" s="59"/>
      <c r="TDV2" s="59"/>
      <c r="TDW2" s="59"/>
      <c r="TDX2" s="59"/>
      <c r="TDY2" s="59"/>
      <c r="TDZ2" s="59"/>
      <c r="TEA2" s="59"/>
      <c r="TEB2" s="59"/>
      <c r="TEC2" s="59"/>
      <c r="TED2" s="59"/>
      <c r="TEE2" s="59"/>
      <c r="TEF2" s="59"/>
      <c r="TEG2" s="59"/>
      <c r="TEH2" s="59"/>
      <c r="TEI2" s="59"/>
      <c r="TEJ2" s="59"/>
      <c r="TEK2" s="59"/>
      <c r="TEL2" s="59"/>
      <c r="TEM2" s="59"/>
      <c r="TEN2" s="59"/>
      <c r="TEO2" s="59"/>
      <c r="TEP2" s="59"/>
      <c r="TEQ2" s="59"/>
      <c r="TER2" s="59"/>
      <c r="TES2" s="59"/>
      <c r="TET2" s="59"/>
      <c r="TEU2" s="59"/>
      <c r="TEV2" s="59"/>
      <c r="TEW2" s="59"/>
      <c r="TEX2" s="59"/>
      <c r="TEY2" s="59"/>
      <c r="TEZ2" s="59"/>
      <c r="TFA2" s="59"/>
      <c r="TFB2" s="59"/>
      <c r="TFC2" s="59"/>
      <c r="TFD2" s="59"/>
      <c r="TFE2" s="59"/>
      <c r="TFF2" s="59"/>
      <c r="TFG2" s="59"/>
      <c r="TFH2" s="59"/>
      <c r="TFI2" s="59"/>
      <c r="TFJ2" s="59"/>
      <c r="TFK2" s="59"/>
      <c r="TFL2" s="59"/>
      <c r="TFM2" s="59"/>
      <c r="TFN2" s="59"/>
      <c r="TFO2" s="59"/>
      <c r="TFP2" s="59"/>
      <c r="TFQ2" s="59"/>
      <c r="TFR2" s="59"/>
      <c r="TFS2" s="59"/>
      <c r="TFT2" s="59"/>
      <c r="TFU2" s="59"/>
      <c r="TFV2" s="59"/>
      <c r="TFW2" s="59"/>
      <c r="TFX2" s="59"/>
      <c r="TFY2" s="59"/>
      <c r="TFZ2" s="59"/>
      <c r="TGA2" s="59"/>
      <c r="TGB2" s="59"/>
      <c r="TGC2" s="59"/>
      <c r="TGD2" s="59"/>
      <c r="TGE2" s="59"/>
      <c r="TGF2" s="59"/>
      <c r="TGG2" s="59"/>
      <c r="TGH2" s="59"/>
      <c r="TGI2" s="59"/>
      <c r="TGJ2" s="59"/>
      <c r="TGK2" s="59"/>
      <c r="TGL2" s="59"/>
      <c r="TGM2" s="59"/>
      <c r="TGN2" s="59"/>
      <c r="TGO2" s="59"/>
      <c r="TGP2" s="59"/>
      <c r="TGQ2" s="59"/>
      <c r="TGR2" s="59"/>
      <c r="TGS2" s="59"/>
      <c r="TGT2" s="59"/>
      <c r="TGU2" s="59"/>
      <c r="TGV2" s="59"/>
      <c r="TGW2" s="59"/>
      <c r="TGX2" s="59"/>
      <c r="TGY2" s="59"/>
      <c r="TGZ2" s="59"/>
      <c r="THA2" s="59"/>
      <c r="THB2" s="59"/>
      <c r="THC2" s="59"/>
      <c r="THD2" s="59"/>
      <c r="THE2" s="59"/>
      <c r="THF2" s="59"/>
      <c r="THG2" s="59"/>
      <c r="THH2" s="59"/>
      <c r="THI2" s="59"/>
      <c r="THJ2" s="59"/>
      <c r="THK2" s="59"/>
      <c r="THL2" s="59"/>
      <c r="THM2" s="59"/>
      <c r="THN2" s="59"/>
      <c r="THO2" s="59"/>
      <c r="THP2" s="59"/>
      <c r="THQ2" s="59"/>
      <c r="THR2" s="59"/>
      <c r="THS2" s="59"/>
      <c r="THT2" s="59"/>
      <c r="THU2" s="59"/>
      <c r="THV2" s="59"/>
      <c r="THW2" s="59"/>
      <c r="THX2" s="59"/>
      <c r="THY2" s="59"/>
      <c r="THZ2" s="59"/>
      <c r="TIA2" s="59"/>
      <c r="TIB2" s="59"/>
      <c r="TIC2" s="59"/>
      <c r="TID2" s="59"/>
      <c r="TIE2" s="59"/>
      <c r="TIF2" s="59"/>
      <c r="TIG2" s="59"/>
      <c r="TIH2" s="59"/>
      <c r="TII2" s="59"/>
      <c r="TIJ2" s="59"/>
      <c r="TIK2" s="59"/>
      <c r="TIL2" s="59"/>
      <c r="TIM2" s="59"/>
      <c r="TIN2" s="59"/>
      <c r="TIO2" s="59"/>
      <c r="TIP2" s="59"/>
      <c r="TIQ2" s="59"/>
      <c r="TIR2" s="59"/>
      <c r="TIS2" s="59"/>
      <c r="TIT2" s="59"/>
      <c r="TIU2" s="59"/>
      <c r="TIV2" s="59"/>
      <c r="TIW2" s="59"/>
      <c r="TIX2" s="59"/>
      <c r="TIY2" s="59"/>
      <c r="TIZ2" s="59"/>
      <c r="TJA2" s="59"/>
      <c r="TJB2" s="59"/>
      <c r="TJC2" s="59"/>
      <c r="TJD2" s="59"/>
      <c r="TJE2" s="59"/>
      <c r="TJF2" s="59"/>
      <c r="TJG2" s="59"/>
      <c r="TJH2" s="59"/>
      <c r="TJI2" s="59"/>
      <c r="TJJ2" s="59"/>
      <c r="TJK2" s="59"/>
      <c r="TJL2" s="59"/>
      <c r="TJM2" s="59"/>
      <c r="TJN2" s="59"/>
      <c r="TJO2" s="59"/>
      <c r="TJP2" s="59"/>
      <c r="TJQ2" s="59"/>
      <c r="TJR2" s="59"/>
      <c r="TJS2" s="59"/>
      <c r="TJT2" s="59"/>
      <c r="TJU2" s="59"/>
      <c r="TJV2" s="59"/>
      <c r="TJW2" s="59"/>
      <c r="TJX2" s="59"/>
      <c r="TJY2" s="59"/>
      <c r="TJZ2" s="59"/>
      <c r="TKA2" s="59"/>
      <c r="TKB2" s="59"/>
      <c r="TKC2" s="59"/>
      <c r="TKD2" s="59"/>
      <c r="TKE2" s="59"/>
      <c r="TKF2" s="59"/>
      <c r="TKG2" s="59"/>
      <c r="TKH2" s="59"/>
      <c r="TKI2" s="59"/>
      <c r="TKJ2" s="59"/>
      <c r="TKK2" s="59"/>
      <c r="TKL2" s="59"/>
      <c r="TKM2" s="59"/>
      <c r="TKN2" s="59"/>
      <c r="TKO2" s="59"/>
      <c r="TKP2" s="59"/>
      <c r="TKQ2" s="59"/>
      <c r="TKR2" s="59"/>
      <c r="TKS2" s="59"/>
      <c r="TKT2" s="59"/>
      <c r="TKU2" s="59"/>
      <c r="TKV2" s="59"/>
      <c r="TKW2" s="59"/>
      <c r="TKX2" s="59"/>
      <c r="TKY2" s="59"/>
      <c r="TKZ2" s="59"/>
      <c r="TLA2" s="59"/>
      <c r="TLB2" s="59"/>
      <c r="TLC2" s="59"/>
      <c r="TLD2" s="59"/>
      <c r="TLE2" s="59"/>
      <c r="TLF2" s="59"/>
      <c r="TLG2" s="59"/>
      <c r="TLH2" s="59"/>
      <c r="TLI2" s="59"/>
      <c r="TLJ2" s="59"/>
      <c r="TLK2" s="59"/>
      <c r="TLL2" s="59"/>
      <c r="TLM2" s="59"/>
      <c r="TLN2" s="59"/>
      <c r="TLO2" s="59"/>
      <c r="TLP2" s="59"/>
      <c r="TLQ2" s="59"/>
      <c r="TLR2" s="59"/>
      <c r="TLS2" s="59"/>
      <c r="TLT2" s="59"/>
      <c r="TLU2" s="59"/>
      <c r="TLV2" s="59"/>
      <c r="TLW2" s="59"/>
      <c r="TLX2" s="59"/>
      <c r="TLY2" s="59"/>
      <c r="TLZ2" s="59"/>
      <c r="TMA2" s="59"/>
      <c r="TMB2" s="59"/>
      <c r="TMC2" s="59"/>
      <c r="TMD2" s="59"/>
      <c r="TME2" s="59"/>
      <c r="TMF2" s="59"/>
      <c r="TMG2" s="59"/>
      <c r="TMH2" s="59"/>
      <c r="TMI2" s="59"/>
      <c r="TMJ2" s="59"/>
      <c r="TMK2" s="59"/>
      <c r="TML2" s="59"/>
      <c r="TMM2" s="59"/>
      <c r="TMN2" s="59"/>
      <c r="TMO2" s="59"/>
      <c r="TMP2" s="59"/>
      <c r="TMQ2" s="59"/>
      <c r="TMR2" s="59"/>
      <c r="TMS2" s="59"/>
      <c r="TMT2" s="59"/>
      <c r="TMU2" s="59"/>
      <c r="TMV2" s="59"/>
      <c r="TMW2" s="59"/>
      <c r="TMX2" s="59"/>
      <c r="TMY2" s="59"/>
      <c r="TMZ2" s="59"/>
      <c r="TNA2" s="59"/>
      <c r="TNB2" s="59"/>
      <c r="TNC2" s="59"/>
      <c r="TND2" s="59"/>
      <c r="TNE2" s="59"/>
      <c r="TNF2" s="59"/>
      <c r="TNG2" s="59"/>
      <c r="TNH2" s="59"/>
      <c r="TNI2" s="59"/>
      <c r="TNJ2" s="59"/>
      <c r="TNK2" s="59"/>
      <c r="TNL2" s="59"/>
      <c r="TNM2" s="59"/>
      <c r="TNN2" s="59"/>
      <c r="TNO2" s="59"/>
      <c r="TNP2" s="59"/>
      <c r="TNQ2" s="59"/>
      <c r="TNR2" s="59"/>
      <c r="TNS2" s="59"/>
      <c r="TNT2" s="59"/>
      <c r="TNU2" s="59"/>
      <c r="TNV2" s="59"/>
      <c r="TNW2" s="59"/>
      <c r="TNX2" s="59"/>
      <c r="TNY2" s="59"/>
      <c r="TNZ2" s="59"/>
      <c r="TOA2" s="59"/>
      <c r="TOB2" s="59"/>
      <c r="TOC2" s="59"/>
      <c r="TOD2" s="59"/>
      <c r="TOE2" s="59"/>
      <c r="TOF2" s="59"/>
      <c r="TOG2" s="59"/>
      <c r="TOH2" s="59"/>
      <c r="TOI2" s="59"/>
      <c r="TOJ2" s="59"/>
      <c r="TOK2" s="59"/>
      <c r="TOL2" s="59"/>
      <c r="TOM2" s="59"/>
      <c r="TON2" s="59"/>
      <c r="TOO2" s="59"/>
      <c r="TOP2" s="59"/>
      <c r="TOQ2" s="59"/>
      <c r="TOR2" s="59"/>
      <c r="TOS2" s="59"/>
      <c r="TOT2" s="59"/>
      <c r="TOU2" s="59"/>
      <c r="TOV2" s="59"/>
      <c r="TOW2" s="59"/>
      <c r="TOX2" s="59"/>
      <c r="TOY2" s="59"/>
      <c r="TOZ2" s="59"/>
      <c r="TPA2" s="59"/>
      <c r="TPB2" s="59"/>
      <c r="TPC2" s="59"/>
      <c r="TPD2" s="59"/>
      <c r="TPE2" s="59"/>
      <c r="TPF2" s="59"/>
      <c r="TPG2" s="59"/>
      <c r="TPH2" s="59"/>
      <c r="TPI2" s="59"/>
      <c r="TPJ2" s="59"/>
      <c r="TPK2" s="59"/>
      <c r="TPL2" s="59"/>
      <c r="TPM2" s="59"/>
      <c r="TPN2" s="59"/>
      <c r="TPO2" s="59"/>
      <c r="TPP2" s="59"/>
      <c r="TPQ2" s="59"/>
      <c r="TPR2" s="59"/>
      <c r="TPS2" s="59"/>
      <c r="TPT2" s="59"/>
      <c r="TPU2" s="59"/>
      <c r="TPV2" s="59"/>
      <c r="TPW2" s="59"/>
      <c r="TPX2" s="59"/>
      <c r="TPY2" s="59"/>
      <c r="TPZ2" s="59"/>
      <c r="TQA2" s="59"/>
      <c r="TQB2" s="59"/>
      <c r="TQC2" s="59"/>
      <c r="TQD2" s="59"/>
      <c r="TQE2" s="59"/>
      <c r="TQF2" s="59"/>
      <c r="TQG2" s="59"/>
      <c r="TQH2" s="59"/>
      <c r="TQI2" s="59"/>
      <c r="TQJ2" s="59"/>
      <c r="TQK2" s="59"/>
      <c r="TQL2" s="59"/>
      <c r="TQM2" s="59"/>
      <c r="TQN2" s="59"/>
      <c r="TQO2" s="59"/>
      <c r="TQP2" s="59"/>
      <c r="TQQ2" s="59"/>
      <c r="TQR2" s="59"/>
      <c r="TQS2" s="59"/>
      <c r="TQT2" s="59"/>
      <c r="TQU2" s="59"/>
      <c r="TQV2" s="59"/>
      <c r="TQW2" s="59"/>
      <c r="TQX2" s="59"/>
      <c r="TQY2" s="59"/>
      <c r="TQZ2" s="59"/>
      <c r="TRA2" s="59"/>
      <c r="TRB2" s="59"/>
      <c r="TRC2" s="59"/>
      <c r="TRD2" s="59"/>
      <c r="TRE2" s="59"/>
      <c r="TRF2" s="59"/>
      <c r="TRG2" s="59"/>
      <c r="TRH2" s="59"/>
      <c r="TRI2" s="59"/>
      <c r="TRJ2" s="59"/>
      <c r="TRK2" s="59"/>
      <c r="TRL2" s="59"/>
      <c r="TRM2" s="59"/>
      <c r="TRN2" s="59"/>
      <c r="TRO2" s="59"/>
      <c r="TRP2" s="59"/>
      <c r="TRQ2" s="59"/>
      <c r="TRR2" s="59"/>
      <c r="TRS2" s="59"/>
      <c r="TRT2" s="59"/>
      <c r="TRU2" s="59"/>
      <c r="TRV2" s="59"/>
      <c r="TRW2" s="59"/>
      <c r="TRX2" s="59"/>
      <c r="TRY2" s="59"/>
      <c r="TRZ2" s="59"/>
      <c r="TSA2" s="59"/>
      <c r="TSB2" s="59"/>
      <c r="TSC2" s="59"/>
      <c r="TSD2" s="59"/>
      <c r="TSE2" s="59"/>
      <c r="TSF2" s="59"/>
      <c r="TSG2" s="59"/>
      <c r="TSH2" s="59"/>
      <c r="TSI2" s="59"/>
      <c r="TSJ2" s="59"/>
      <c r="TSK2" s="59"/>
      <c r="TSL2" s="59"/>
      <c r="TSM2" s="59"/>
      <c r="TSN2" s="59"/>
      <c r="TSO2" s="59"/>
      <c r="TSP2" s="59"/>
      <c r="TSQ2" s="59"/>
      <c r="TSR2" s="59"/>
      <c r="TSS2" s="59"/>
      <c r="TST2" s="59"/>
      <c r="TSU2" s="59"/>
      <c r="TSV2" s="59"/>
      <c r="TSW2" s="59"/>
      <c r="TSX2" s="59"/>
      <c r="TSY2" s="59"/>
      <c r="TSZ2" s="59"/>
      <c r="TTA2" s="59"/>
      <c r="TTB2" s="59"/>
      <c r="TTC2" s="59"/>
      <c r="TTD2" s="59"/>
      <c r="TTE2" s="59"/>
      <c r="TTF2" s="59"/>
      <c r="TTG2" s="59"/>
      <c r="TTH2" s="59"/>
      <c r="TTI2" s="59"/>
      <c r="TTJ2" s="59"/>
      <c r="TTK2" s="59"/>
      <c r="TTL2" s="59"/>
      <c r="TTM2" s="59"/>
      <c r="TTN2" s="59"/>
      <c r="TTO2" s="59"/>
      <c r="TTP2" s="59"/>
      <c r="TTQ2" s="59"/>
      <c r="TTR2" s="59"/>
      <c r="TTS2" s="59"/>
      <c r="TTT2" s="59"/>
      <c r="TTU2" s="59"/>
      <c r="TTV2" s="59"/>
      <c r="TTW2" s="59"/>
      <c r="TTX2" s="59"/>
      <c r="TTY2" s="59"/>
      <c r="TTZ2" s="59"/>
      <c r="TUA2" s="59"/>
      <c r="TUB2" s="59"/>
      <c r="TUC2" s="59"/>
      <c r="TUD2" s="59"/>
      <c r="TUE2" s="59"/>
      <c r="TUF2" s="59"/>
      <c r="TUG2" s="59"/>
      <c r="TUH2" s="59"/>
      <c r="TUI2" s="59"/>
      <c r="TUJ2" s="59"/>
      <c r="TUK2" s="59"/>
      <c r="TUL2" s="59"/>
      <c r="TUM2" s="59"/>
      <c r="TUN2" s="59"/>
      <c r="TUO2" s="59"/>
      <c r="TUP2" s="59"/>
      <c r="TUQ2" s="59"/>
      <c r="TUR2" s="59"/>
      <c r="TUS2" s="59"/>
      <c r="TUT2" s="59"/>
      <c r="TUU2" s="59"/>
      <c r="TUV2" s="59"/>
      <c r="TUW2" s="59"/>
      <c r="TUX2" s="59"/>
      <c r="TUY2" s="59"/>
      <c r="TUZ2" s="59"/>
      <c r="TVA2" s="59"/>
      <c r="TVB2" s="59"/>
      <c r="TVC2" s="59"/>
      <c r="TVD2" s="59"/>
      <c r="TVE2" s="59"/>
      <c r="TVF2" s="59"/>
      <c r="TVG2" s="59"/>
      <c r="TVH2" s="59"/>
      <c r="TVI2" s="59"/>
      <c r="TVJ2" s="59"/>
      <c r="TVK2" s="59"/>
      <c r="TVL2" s="59"/>
      <c r="TVM2" s="59"/>
      <c r="TVN2" s="59"/>
      <c r="TVO2" s="59"/>
      <c r="TVP2" s="59"/>
      <c r="TVQ2" s="59"/>
      <c r="TVR2" s="59"/>
      <c r="TVS2" s="59"/>
      <c r="TVT2" s="59"/>
      <c r="TVU2" s="59"/>
      <c r="TVV2" s="59"/>
      <c r="TVW2" s="59"/>
      <c r="TVX2" s="59"/>
      <c r="TVY2" s="59"/>
      <c r="TVZ2" s="59"/>
      <c r="TWA2" s="59"/>
      <c r="TWB2" s="59"/>
      <c r="TWC2" s="59"/>
      <c r="TWD2" s="59"/>
      <c r="TWE2" s="59"/>
      <c r="TWF2" s="59"/>
      <c r="TWG2" s="59"/>
      <c r="TWH2" s="59"/>
      <c r="TWI2" s="59"/>
      <c r="TWJ2" s="59"/>
      <c r="TWK2" s="59"/>
      <c r="TWL2" s="59"/>
      <c r="TWM2" s="59"/>
      <c r="TWN2" s="59"/>
      <c r="TWO2" s="59"/>
      <c r="TWP2" s="59"/>
      <c r="TWQ2" s="59"/>
      <c r="TWR2" s="59"/>
      <c r="TWS2" s="59"/>
      <c r="TWT2" s="59"/>
      <c r="TWU2" s="59"/>
      <c r="TWV2" s="59"/>
      <c r="TWW2" s="59"/>
      <c r="TWX2" s="59"/>
      <c r="TWY2" s="59"/>
      <c r="TWZ2" s="59"/>
      <c r="TXA2" s="59"/>
      <c r="TXB2" s="59"/>
      <c r="TXC2" s="59"/>
      <c r="TXD2" s="59"/>
      <c r="TXE2" s="59"/>
      <c r="TXF2" s="59"/>
      <c r="TXG2" s="59"/>
      <c r="TXH2" s="59"/>
      <c r="TXI2" s="59"/>
      <c r="TXJ2" s="59"/>
      <c r="TXK2" s="59"/>
      <c r="TXL2" s="59"/>
      <c r="TXM2" s="59"/>
      <c r="TXN2" s="59"/>
      <c r="TXO2" s="59"/>
      <c r="TXP2" s="59"/>
      <c r="TXQ2" s="59"/>
      <c r="TXR2" s="59"/>
      <c r="TXS2" s="59"/>
      <c r="TXT2" s="59"/>
      <c r="TXU2" s="59"/>
      <c r="TXV2" s="59"/>
      <c r="TXW2" s="59"/>
      <c r="TXX2" s="59"/>
      <c r="TXY2" s="59"/>
      <c r="TXZ2" s="59"/>
      <c r="TYA2" s="59"/>
      <c r="TYB2" s="59"/>
      <c r="TYC2" s="59"/>
      <c r="TYD2" s="59"/>
      <c r="TYE2" s="59"/>
      <c r="TYF2" s="59"/>
      <c r="TYG2" s="59"/>
      <c r="TYH2" s="59"/>
      <c r="TYI2" s="59"/>
      <c r="TYJ2" s="59"/>
      <c r="TYK2" s="59"/>
      <c r="TYL2" s="59"/>
      <c r="TYM2" s="59"/>
      <c r="TYN2" s="59"/>
      <c r="TYO2" s="59"/>
      <c r="TYP2" s="59"/>
      <c r="TYQ2" s="59"/>
      <c r="TYR2" s="59"/>
      <c r="TYS2" s="59"/>
      <c r="TYT2" s="59"/>
      <c r="TYU2" s="59"/>
      <c r="TYV2" s="59"/>
      <c r="TYW2" s="59"/>
      <c r="TYX2" s="59"/>
      <c r="TYY2" s="59"/>
      <c r="TYZ2" s="59"/>
      <c r="TZA2" s="59"/>
      <c r="TZB2" s="59"/>
      <c r="TZC2" s="59"/>
      <c r="TZD2" s="59"/>
      <c r="TZE2" s="59"/>
      <c r="TZF2" s="59"/>
      <c r="TZG2" s="59"/>
      <c r="TZH2" s="59"/>
      <c r="TZI2" s="59"/>
      <c r="TZJ2" s="59"/>
      <c r="TZK2" s="59"/>
      <c r="TZL2" s="59"/>
      <c r="TZM2" s="59"/>
      <c r="TZN2" s="59"/>
      <c r="TZO2" s="59"/>
      <c r="TZP2" s="59"/>
      <c r="TZQ2" s="59"/>
      <c r="TZR2" s="59"/>
      <c r="TZS2" s="59"/>
      <c r="TZT2" s="59"/>
      <c r="TZU2" s="59"/>
      <c r="TZV2" s="59"/>
      <c r="TZW2" s="59"/>
      <c r="TZX2" s="59"/>
      <c r="TZY2" s="59"/>
      <c r="TZZ2" s="59"/>
      <c r="UAA2" s="59"/>
      <c r="UAB2" s="59"/>
      <c r="UAC2" s="59"/>
      <c r="UAD2" s="59"/>
      <c r="UAE2" s="59"/>
      <c r="UAF2" s="59"/>
      <c r="UAG2" s="59"/>
      <c r="UAH2" s="59"/>
      <c r="UAI2" s="59"/>
      <c r="UAJ2" s="59"/>
      <c r="UAK2" s="59"/>
      <c r="UAL2" s="59"/>
      <c r="UAM2" s="59"/>
      <c r="UAN2" s="59"/>
      <c r="UAO2" s="59"/>
      <c r="UAP2" s="59"/>
      <c r="UAQ2" s="59"/>
      <c r="UAR2" s="59"/>
      <c r="UAS2" s="59"/>
      <c r="UAT2" s="59"/>
      <c r="UAU2" s="59"/>
      <c r="UAV2" s="59"/>
      <c r="UAW2" s="59"/>
      <c r="UAX2" s="59"/>
      <c r="UAY2" s="59"/>
      <c r="UAZ2" s="59"/>
      <c r="UBA2" s="59"/>
      <c r="UBB2" s="59"/>
      <c r="UBC2" s="59"/>
      <c r="UBD2" s="59"/>
      <c r="UBE2" s="59"/>
      <c r="UBF2" s="59"/>
      <c r="UBG2" s="59"/>
      <c r="UBH2" s="59"/>
      <c r="UBI2" s="59"/>
      <c r="UBJ2" s="59"/>
      <c r="UBK2" s="59"/>
      <c r="UBL2" s="59"/>
      <c r="UBM2" s="59"/>
      <c r="UBN2" s="59"/>
      <c r="UBO2" s="59"/>
      <c r="UBP2" s="59"/>
      <c r="UBQ2" s="59"/>
      <c r="UBR2" s="59"/>
      <c r="UBS2" s="59"/>
      <c r="UBT2" s="59"/>
      <c r="UBU2" s="59"/>
      <c r="UBV2" s="59"/>
      <c r="UBW2" s="59"/>
      <c r="UBX2" s="59"/>
      <c r="UBY2" s="59"/>
      <c r="UBZ2" s="59"/>
      <c r="UCA2" s="59"/>
      <c r="UCB2" s="59"/>
      <c r="UCC2" s="59"/>
      <c r="UCD2" s="59"/>
      <c r="UCE2" s="59"/>
      <c r="UCF2" s="59"/>
      <c r="UCG2" s="59"/>
      <c r="UCH2" s="59"/>
      <c r="UCI2" s="59"/>
      <c r="UCJ2" s="59"/>
      <c r="UCK2" s="59"/>
      <c r="UCL2" s="59"/>
      <c r="UCM2" s="59"/>
      <c r="UCN2" s="59"/>
      <c r="UCO2" s="59"/>
      <c r="UCP2" s="59"/>
      <c r="UCQ2" s="59"/>
      <c r="UCR2" s="59"/>
      <c r="UCS2" s="59"/>
      <c r="UCT2" s="59"/>
      <c r="UCU2" s="59"/>
      <c r="UCV2" s="59"/>
      <c r="UCW2" s="59"/>
      <c r="UCX2" s="59"/>
      <c r="UCY2" s="59"/>
      <c r="UCZ2" s="59"/>
      <c r="UDA2" s="59"/>
      <c r="UDB2" s="59"/>
      <c r="UDC2" s="59"/>
      <c r="UDD2" s="59"/>
      <c r="UDE2" s="59"/>
      <c r="UDF2" s="59"/>
      <c r="UDG2" s="59"/>
      <c r="UDH2" s="59"/>
      <c r="UDI2" s="59"/>
      <c r="UDJ2" s="59"/>
      <c r="UDK2" s="59"/>
      <c r="UDL2" s="59"/>
      <c r="UDM2" s="59"/>
      <c r="UDN2" s="59"/>
      <c r="UDO2" s="59"/>
      <c r="UDP2" s="59"/>
      <c r="UDQ2" s="59"/>
      <c r="UDR2" s="59"/>
      <c r="UDS2" s="59"/>
      <c r="UDT2" s="59"/>
      <c r="UDU2" s="59"/>
      <c r="UDV2" s="59"/>
      <c r="UDW2" s="59"/>
      <c r="UDX2" s="59"/>
      <c r="UDY2" s="59"/>
      <c r="UDZ2" s="59"/>
      <c r="UEA2" s="59"/>
      <c r="UEB2" s="59"/>
      <c r="UEC2" s="59"/>
      <c r="UED2" s="59"/>
      <c r="UEE2" s="59"/>
      <c r="UEF2" s="59"/>
      <c r="UEG2" s="59"/>
      <c r="UEH2" s="59"/>
      <c r="UEI2" s="59"/>
      <c r="UEJ2" s="59"/>
      <c r="UEK2" s="59"/>
      <c r="UEL2" s="59"/>
      <c r="UEM2" s="59"/>
      <c r="UEN2" s="59"/>
      <c r="UEO2" s="59"/>
      <c r="UEP2" s="59"/>
      <c r="UEQ2" s="59"/>
      <c r="UER2" s="59"/>
      <c r="UES2" s="59"/>
      <c r="UET2" s="59"/>
      <c r="UEU2" s="59"/>
      <c r="UEV2" s="59"/>
      <c r="UEW2" s="59"/>
      <c r="UEX2" s="59"/>
      <c r="UEY2" s="59"/>
      <c r="UEZ2" s="59"/>
      <c r="UFA2" s="59"/>
      <c r="UFB2" s="59"/>
      <c r="UFC2" s="59"/>
      <c r="UFD2" s="59"/>
      <c r="UFE2" s="59"/>
      <c r="UFF2" s="59"/>
      <c r="UFG2" s="59"/>
      <c r="UFH2" s="59"/>
      <c r="UFI2" s="59"/>
      <c r="UFJ2" s="59"/>
      <c r="UFK2" s="59"/>
      <c r="UFL2" s="59"/>
      <c r="UFM2" s="59"/>
      <c r="UFN2" s="59"/>
      <c r="UFO2" s="59"/>
      <c r="UFP2" s="59"/>
      <c r="UFQ2" s="59"/>
      <c r="UFR2" s="59"/>
      <c r="UFS2" s="59"/>
      <c r="UFT2" s="59"/>
      <c r="UFU2" s="59"/>
      <c r="UFV2" s="59"/>
      <c r="UFW2" s="59"/>
      <c r="UFX2" s="59"/>
      <c r="UFY2" s="59"/>
      <c r="UFZ2" s="59"/>
      <c r="UGA2" s="59"/>
      <c r="UGB2" s="59"/>
      <c r="UGC2" s="59"/>
      <c r="UGD2" s="59"/>
      <c r="UGE2" s="59"/>
      <c r="UGF2" s="59"/>
      <c r="UGG2" s="59"/>
      <c r="UGH2" s="59"/>
      <c r="UGI2" s="59"/>
      <c r="UGJ2" s="59"/>
      <c r="UGK2" s="59"/>
      <c r="UGL2" s="59"/>
      <c r="UGM2" s="59"/>
      <c r="UGN2" s="59"/>
      <c r="UGO2" s="59"/>
      <c r="UGP2" s="59"/>
      <c r="UGQ2" s="59"/>
      <c r="UGR2" s="59"/>
      <c r="UGS2" s="59"/>
      <c r="UGT2" s="59"/>
      <c r="UGU2" s="59"/>
      <c r="UGV2" s="59"/>
      <c r="UGW2" s="59"/>
      <c r="UGX2" s="59"/>
      <c r="UGY2" s="59"/>
      <c r="UGZ2" s="59"/>
      <c r="UHA2" s="59"/>
      <c r="UHB2" s="59"/>
      <c r="UHC2" s="59"/>
      <c r="UHD2" s="59"/>
      <c r="UHE2" s="59"/>
      <c r="UHF2" s="59"/>
      <c r="UHG2" s="59"/>
      <c r="UHH2" s="59"/>
      <c r="UHI2" s="59"/>
      <c r="UHJ2" s="59"/>
      <c r="UHK2" s="59"/>
      <c r="UHL2" s="59"/>
      <c r="UHM2" s="59"/>
      <c r="UHN2" s="59"/>
      <c r="UHO2" s="59"/>
      <c r="UHP2" s="59"/>
      <c r="UHQ2" s="59"/>
      <c r="UHR2" s="59"/>
      <c r="UHS2" s="59"/>
      <c r="UHT2" s="59"/>
      <c r="UHU2" s="59"/>
      <c r="UHV2" s="59"/>
      <c r="UHW2" s="59"/>
      <c r="UHX2" s="59"/>
      <c r="UHY2" s="59"/>
      <c r="UHZ2" s="59"/>
      <c r="UIA2" s="59"/>
      <c r="UIB2" s="59"/>
      <c r="UIC2" s="59"/>
      <c r="UID2" s="59"/>
      <c r="UIE2" s="59"/>
      <c r="UIF2" s="59"/>
      <c r="UIG2" s="59"/>
      <c r="UIH2" s="59"/>
      <c r="UII2" s="59"/>
      <c r="UIJ2" s="59"/>
      <c r="UIK2" s="59"/>
      <c r="UIL2" s="59"/>
      <c r="UIM2" s="59"/>
      <c r="UIN2" s="59"/>
      <c r="UIO2" s="59"/>
      <c r="UIP2" s="59"/>
      <c r="UIQ2" s="59"/>
      <c r="UIR2" s="59"/>
      <c r="UIS2" s="59"/>
      <c r="UIT2" s="59"/>
      <c r="UIU2" s="59"/>
      <c r="UIV2" s="59"/>
      <c r="UIW2" s="59"/>
      <c r="UIX2" s="59"/>
      <c r="UIY2" s="59"/>
      <c r="UIZ2" s="59"/>
      <c r="UJA2" s="59"/>
      <c r="UJB2" s="59"/>
      <c r="UJC2" s="59"/>
      <c r="UJD2" s="59"/>
      <c r="UJE2" s="59"/>
      <c r="UJF2" s="59"/>
      <c r="UJG2" s="59"/>
      <c r="UJH2" s="59"/>
      <c r="UJI2" s="59"/>
      <c r="UJJ2" s="59"/>
      <c r="UJK2" s="59"/>
      <c r="UJL2" s="59"/>
      <c r="UJM2" s="59"/>
      <c r="UJN2" s="59"/>
      <c r="UJO2" s="59"/>
      <c r="UJP2" s="59"/>
      <c r="UJQ2" s="59"/>
      <c r="UJR2" s="59"/>
      <c r="UJS2" s="59"/>
      <c r="UJT2" s="59"/>
      <c r="UJU2" s="59"/>
      <c r="UJV2" s="59"/>
      <c r="UJW2" s="59"/>
      <c r="UJX2" s="59"/>
      <c r="UJY2" s="59"/>
      <c r="UJZ2" s="59"/>
      <c r="UKA2" s="59"/>
      <c r="UKB2" s="59"/>
      <c r="UKC2" s="59"/>
      <c r="UKD2" s="59"/>
      <c r="UKE2" s="59"/>
      <c r="UKF2" s="59"/>
      <c r="UKG2" s="59"/>
      <c r="UKH2" s="59"/>
      <c r="UKI2" s="59"/>
      <c r="UKJ2" s="59"/>
      <c r="UKK2" s="59"/>
      <c r="UKL2" s="59"/>
      <c r="UKM2" s="59"/>
      <c r="UKN2" s="59"/>
      <c r="UKO2" s="59"/>
      <c r="UKP2" s="59"/>
      <c r="UKQ2" s="59"/>
      <c r="UKR2" s="59"/>
      <c r="UKS2" s="59"/>
      <c r="UKT2" s="59"/>
      <c r="UKU2" s="59"/>
      <c r="UKV2" s="59"/>
      <c r="UKW2" s="59"/>
      <c r="UKX2" s="59"/>
      <c r="UKY2" s="59"/>
      <c r="UKZ2" s="59"/>
      <c r="ULA2" s="59"/>
      <c r="ULB2" s="59"/>
      <c r="ULC2" s="59"/>
      <c r="ULD2" s="59"/>
      <c r="ULE2" s="59"/>
      <c r="ULF2" s="59"/>
      <c r="ULG2" s="59"/>
      <c r="ULH2" s="59"/>
      <c r="ULI2" s="59"/>
      <c r="ULJ2" s="59"/>
      <c r="ULK2" s="59"/>
      <c r="ULL2" s="59"/>
      <c r="ULM2" s="59"/>
      <c r="ULN2" s="59"/>
      <c r="ULO2" s="59"/>
      <c r="ULP2" s="59"/>
      <c r="ULQ2" s="59"/>
      <c r="ULR2" s="59"/>
      <c r="ULS2" s="59"/>
      <c r="ULT2" s="59"/>
      <c r="ULU2" s="59"/>
      <c r="ULV2" s="59"/>
      <c r="ULW2" s="59"/>
      <c r="ULX2" s="59"/>
      <c r="ULY2" s="59"/>
      <c r="ULZ2" s="59"/>
      <c r="UMA2" s="59"/>
      <c r="UMB2" s="59"/>
      <c r="UMC2" s="59"/>
      <c r="UMD2" s="59"/>
      <c r="UME2" s="59"/>
      <c r="UMF2" s="59"/>
      <c r="UMG2" s="59"/>
      <c r="UMH2" s="59"/>
      <c r="UMI2" s="59"/>
      <c r="UMJ2" s="59"/>
      <c r="UMK2" s="59"/>
      <c r="UML2" s="59"/>
      <c r="UMM2" s="59"/>
      <c r="UMN2" s="59"/>
      <c r="UMO2" s="59"/>
      <c r="UMP2" s="59"/>
      <c r="UMQ2" s="59"/>
      <c r="UMR2" s="59"/>
      <c r="UMS2" s="59"/>
      <c r="UMT2" s="59"/>
      <c r="UMU2" s="59"/>
      <c r="UMV2" s="59"/>
      <c r="UMW2" s="59"/>
      <c r="UMX2" s="59"/>
      <c r="UMY2" s="59"/>
      <c r="UMZ2" s="59"/>
      <c r="UNA2" s="59"/>
      <c r="UNB2" s="59"/>
      <c r="UNC2" s="59"/>
      <c r="UND2" s="59"/>
      <c r="UNE2" s="59"/>
      <c r="UNF2" s="59"/>
      <c r="UNG2" s="59"/>
      <c r="UNH2" s="59"/>
      <c r="UNI2" s="59"/>
      <c r="UNJ2" s="59"/>
      <c r="UNK2" s="59"/>
      <c r="UNL2" s="59"/>
      <c r="UNM2" s="59"/>
      <c r="UNN2" s="59"/>
      <c r="UNO2" s="59"/>
      <c r="UNP2" s="59"/>
      <c r="UNQ2" s="59"/>
      <c r="UNR2" s="59"/>
      <c r="UNS2" s="59"/>
      <c r="UNT2" s="59"/>
      <c r="UNU2" s="59"/>
      <c r="UNV2" s="59"/>
      <c r="UNW2" s="59"/>
      <c r="UNX2" s="59"/>
      <c r="UNY2" s="59"/>
      <c r="UNZ2" s="59"/>
      <c r="UOA2" s="59"/>
      <c r="UOB2" s="59"/>
      <c r="UOC2" s="59"/>
      <c r="UOD2" s="59"/>
      <c r="UOE2" s="59"/>
      <c r="UOF2" s="59"/>
      <c r="UOG2" s="59"/>
      <c r="UOH2" s="59"/>
      <c r="UOI2" s="59"/>
      <c r="UOJ2" s="59"/>
      <c r="UOK2" s="59"/>
      <c r="UOL2" s="59"/>
      <c r="UOM2" s="59"/>
      <c r="UON2" s="59"/>
      <c r="UOO2" s="59"/>
      <c r="UOP2" s="59"/>
      <c r="UOQ2" s="59"/>
      <c r="UOR2" s="59"/>
      <c r="UOS2" s="59"/>
      <c r="UOT2" s="59"/>
      <c r="UOU2" s="59"/>
      <c r="UOV2" s="59"/>
      <c r="UOW2" s="59"/>
      <c r="UOX2" s="59"/>
      <c r="UOY2" s="59"/>
      <c r="UOZ2" s="59"/>
      <c r="UPA2" s="59"/>
      <c r="UPB2" s="59"/>
      <c r="UPC2" s="59"/>
      <c r="UPD2" s="59"/>
      <c r="UPE2" s="59"/>
      <c r="UPF2" s="59"/>
      <c r="UPG2" s="59"/>
      <c r="UPH2" s="59"/>
      <c r="UPI2" s="59"/>
      <c r="UPJ2" s="59"/>
      <c r="UPK2" s="59"/>
      <c r="UPL2" s="59"/>
      <c r="UPM2" s="59"/>
      <c r="UPN2" s="59"/>
      <c r="UPO2" s="59"/>
      <c r="UPP2" s="59"/>
      <c r="UPQ2" s="59"/>
      <c r="UPR2" s="59"/>
      <c r="UPS2" s="59"/>
      <c r="UPT2" s="59"/>
      <c r="UPU2" s="59"/>
      <c r="UPV2" s="59"/>
      <c r="UPW2" s="59"/>
      <c r="UPX2" s="59"/>
      <c r="UPY2" s="59"/>
      <c r="UPZ2" s="59"/>
      <c r="UQA2" s="59"/>
      <c r="UQB2" s="59"/>
      <c r="UQC2" s="59"/>
      <c r="UQD2" s="59"/>
      <c r="UQE2" s="59"/>
      <c r="UQF2" s="59"/>
      <c r="UQG2" s="59"/>
      <c r="UQH2" s="59"/>
      <c r="UQI2" s="59"/>
      <c r="UQJ2" s="59"/>
      <c r="UQK2" s="59"/>
      <c r="UQL2" s="59"/>
      <c r="UQM2" s="59"/>
      <c r="UQN2" s="59"/>
      <c r="UQO2" s="59"/>
      <c r="UQP2" s="59"/>
      <c r="UQQ2" s="59"/>
      <c r="UQR2" s="59"/>
      <c r="UQS2" s="59"/>
      <c r="UQT2" s="59"/>
      <c r="UQU2" s="59"/>
      <c r="UQV2" s="59"/>
      <c r="UQW2" s="59"/>
      <c r="UQX2" s="59"/>
      <c r="UQY2" s="59"/>
      <c r="UQZ2" s="59"/>
      <c r="URA2" s="59"/>
      <c r="URB2" s="59"/>
      <c r="URC2" s="59"/>
      <c r="URD2" s="59"/>
      <c r="URE2" s="59"/>
      <c r="URF2" s="59"/>
      <c r="URG2" s="59"/>
      <c r="URH2" s="59"/>
      <c r="URI2" s="59"/>
      <c r="URJ2" s="59"/>
      <c r="URK2" s="59"/>
      <c r="URL2" s="59"/>
      <c r="URM2" s="59"/>
      <c r="URN2" s="59"/>
      <c r="URO2" s="59"/>
      <c r="URP2" s="59"/>
      <c r="URQ2" s="59"/>
      <c r="URR2" s="59"/>
      <c r="URS2" s="59"/>
      <c r="URT2" s="59"/>
      <c r="URU2" s="59"/>
      <c r="URV2" s="59"/>
      <c r="URW2" s="59"/>
      <c r="URX2" s="59"/>
      <c r="URY2" s="59"/>
      <c r="URZ2" s="59"/>
      <c r="USA2" s="59"/>
      <c r="USB2" s="59"/>
      <c r="USC2" s="59"/>
      <c r="USD2" s="59"/>
      <c r="USE2" s="59"/>
      <c r="USF2" s="59"/>
      <c r="USG2" s="59"/>
      <c r="USH2" s="59"/>
      <c r="USI2" s="59"/>
      <c r="USJ2" s="59"/>
      <c r="USK2" s="59"/>
      <c r="USL2" s="59"/>
      <c r="USM2" s="59"/>
      <c r="USN2" s="59"/>
      <c r="USO2" s="59"/>
      <c r="USP2" s="59"/>
      <c r="USQ2" s="59"/>
      <c r="USR2" s="59"/>
      <c r="USS2" s="59"/>
      <c r="UST2" s="59"/>
      <c r="USU2" s="59"/>
      <c r="USV2" s="59"/>
      <c r="USW2" s="59"/>
      <c r="USX2" s="59"/>
      <c r="USY2" s="59"/>
      <c r="USZ2" s="59"/>
      <c r="UTA2" s="59"/>
      <c r="UTB2" s="59"/>
      <c r="UTC2" s="59"/>
      <c r="UTD2" s="59"/>
      <c r="UTE2" s="59"/>
      <c r="UTF2" s="59"/>
      <c r="UTG2" s="59"/>
      <c r="UTH2" s="59"/>
      <c r="UTI2" s="59"/>
      <c r="UTJ2" s="59"/>
      <c r="UTK2" s="59"/>
      <c r="UTL2" s="59"/>
      <c r="UTM2" s="59"/>
      <c r="UTN2" s="59"/>
      <c r="UTO2" s="59"/>
      <c r="UTP2" s="59"/>
      <c r="UTQ2" s="59"/>
      <c r="UTR2" s="59"/>
      <c r="UTS2" s="59"/>
      <c r="UTT2" s="59"/>
      <c r="UTU2" s="59"/>
      <c r="UTV2" s="59"/>
      <c r="UTW2" s="59"/>
      <c r="UTX2" s="59"/>
      <c r="UTY2" s="59"/>
      <c r="UTZ2" s="59"/>
      <c r="UUA2" s="59"/>
      <c r="UUB2" s="59"/>
      <c r="UUC2" s="59"/>
      <c r="UUD2" s="59"/>
      <c r="UUE2" s="59"/>
      <c r="UUF2" s="59"/>
      <c r="UUG2" s="59"/>
      <c r="UUH2" s="59"/>
      <c r="UUI2" s="59"/>
      <c r="UUJ2" s="59"/>
      <c r="UUK2" s="59"/>
      <c r="UUL2" s="59"/>
      <c r="UUM2" s="59"/>
      <c r="UUN2" s="59"/>
      <c r="UUO2" s="59"/>
      <c r="UUP2" s="59"/>
      <c r="UUQ2" s="59"/>
      <c r="UUR2" s="59"/>
      <c r="UUS2" s="59"/>
      <c r="UUT2" s="59"/>
      <c r="UUU2" s="59"/>
      <c r="UUV2" s="59"/>
      <c r="UUW2" s="59"/>
      <c r="UUX2" s="59"/>
      <c r="UUY2" s="59"/>
      <c r="UUZ2" s="59"/>
      <c r="UVA2" s="59"/>
      <c r="UVB2" s="59"/>
      <c r="UVC2" s="59"/>
      <c r="UVD2" s="59"/>
      <c r="UVE2" s="59"/>
      <c r="UVF2" s="59"/>
      <c r="UVG2" s="59"/>
      <c r="UVH2" s="59"/>
      <c r="UVI2" s="59"/>
      <c r="UVJ2" s="59"/>
      <c r="UVK2" s="59"/>
      <c r="UVL2" s="59"/>
      <c r="UVM2" s="59"/>
      <c r="UVN2" s="59"/>
      <c r="UVO2" s="59"/>
      <c r="UVP2" s="59"/>
      <c r="UVQ2" s="59"/>
      <c r="UVR2" s="59"/>
      <c r="UVS2" s="59"/>
      <c r="UVT2" s="59"/>
      <c r="UVU2" s="59"/>
      <c r="UVV2" s="59"/>
      <c r="UVW2" s="59"/>
      <c r="UVX2" s="59"/>
      <c r="UVY2" s="59"/>
      <c r="UVZ2" s="59"/>
      <c r="UWA2" s="59"/>
      <c r="UWB2" s="59"/>
      <c r="UWC2" s="59"/>
      <c r="UWD2" s="59"/>
      <c r="UWE2" s="59"/>
      <c r="UWF2" s="59"/>
      <c r="UWG2" s="59"/>
      <c r="UWH2" s="59"/>
      <c r="UWI2" s="59"/>
      <c r="UWJ2" s="59"/>
      <c r="UWK2" s="59"/>
      <c r="UWL2" s="59"/>
      <c r="UWM2" s="59"/>
      <c r="UWN2" s="59"/>
      <c r="UWO2" s="59"/>
      <c r="UWP2" s="59"/>
      <c r="UWQ2" s="59"/>
      <c r="UWR2" s="59"/>
      <c r="UWS2" s="59"/>
      <c r="UWT2" s="59"/>
      <c r="UWU2" s="59"/>
      <c r="UWV2" s="59"/>
      <c r="UWW2" s="59"/>
      <c r="UWX2" s="59"/>
      <c r="UWY2" s="59"/>
      <c r="UWZ2" s="59"/>
      <c r="UXA2" s="59"/>
      <c r="UXB2" s="59"/>
      <c r="UXC2" s="59"/>
      <c r="UXD2" s="59"/>
      <c r="UXE2" s="59"/>
      <c r="UXF2" s="59"/>
      <c r="UXG2" s="59"/>
      <c r="UXH2" s="59"/>
      <c r="UXI2" s="59"/>
      <c r="UXJ2" s="59"/>
      <c r="UXK2" s="59"/>
      <c r="UXL2" s="59"/>
      <c r="UXM2" s="59"/>
      <c r="UXN2" s="59"/>
      <c r="UXO2" s="59"/>
      <c r="UXP2" s="59"/>
      <c r="UXQ2" s="59"/>
      <c r="UXR2" s="59"/>
      <c r="UXS2" s="59"/>
      <c r="UXT2" s="59"/>
      <c r="UXU2" s="59"/>
      <c r="UXV2" s="59"/>
      <c r="UXW2" s="59"/>
      <c r="UXX2" s="59"/>
      <c r="UXY2" s="59"/>
      <c r="UXZ2" s="59"/>
      <c r="UYA2" s="59"/>
      <c r="UYB2" s="59"/>
      <c r="UYC2" s="59"/>
      <c r="UYD2" s="59"/>
      <c r="UYE2" s="59"/>
      <c r="UYF2" s="59"/>
      <c r="UYG2" s="59"/>
      <c r="UYH2" s="59"/>
      <c r="UYI2" s="59"/>
      <c r="UYJ2" s="59"/>
      <c r="UYK2" s="59"/>
      <c r="UYL2" s="59"/>
      <c r="UYM2" s="59"/>
      <c r="UYN2" s="59"/>
      <c r="UYO2" s="59"/>
      <c r="UYP2" s="59"/>
      <c r="UYQ2" s="59"/>
      <c r="UYR2" s="59"/>
      <c r="UYS2" s="59"/>
      <c r="UYT2" s="59"/>
      <c r="UYU2" s="59"/>
      <c r="UYV2" s="59"/>
      <c r="UYW2" s="59"/>
      <c r="UYX2" s="59"/>
      <c r="UYY2" s="59"/>
      <c r="UYZ2" s="59"/>
      <c r="UZA2" s="59"/>
      <c r="UZB2" s="59"/>
      <c r="UZC2" s="59"/>
      <c r="UZD2" s="59"/>
      <c r="UZE2" s="59"/>
      <c r="UZF2" s="59"/>
      <c r="UZG2" s="59"/>
      <c r="UZH2" s="59"/>
      <c r="UZI2" s="59"/>
      <c r="UZJ2" s="59"/>
      <c r="UZK2" s="59"/>
      <c r="UZL2" s="59"/>
      <c r="UZM2" s="59"/>
      <c r="UZN2" s="59"/>
      <c r="UZO2" s="59"/>
      <c r="UZP2" s="59"/>
      <c r="UZQ2" s="59"/>
      <c r="UZR2" s="59"/>
      <c r="UZS2" s="59"/>
      <c r="UZT2" s="59"/>
      <c r="UZU2" s="59"/>
      <c r="UZV2" s="59"/>
      <c r="UZW2" s="59"/>
      <c r="UZX2" s="59"/>
      <c r="UZY2" s="59"/>
      <c r="UZZ2" s="59"/>
      <c r="VAA2" s="59"/>
      <c r="VAB2" s="59"/>
      <c r="VAC2" s="59"/>
      <c r="VAD2" s="59"/>
      <c r="VAE2" s="59"/>
      <c r="VAF2" s="59"/>
      <c r="VAG2" s="59"/>
      <c r="VAH2" s="59"/>
      <c r="VAI2" s="59"/>
      <c r="VAJ2" s="59"/>
      <c r="VAK2" s="59"/>
      <c r="VAL2" s="59"/>
      <c r="VAM2" s="59"/>
      <c r="VAN2" s="59"/>
      <c r="VAO2" s="59"/>
      <c r="VAP2" s="59"/>
      <c r="VAQ2" s="59"/>
      <c r="VAR2" s="59"/>
      <c r="VAS2" s="59"/>
      <c r="VAT2" s="59"/>
      <c r="VAU2" s="59"/>
      <c r="VAV2" s="59"/>
      <c r="VAW2" s="59"/>
      <c r="VAX2" s="59"/>
      <c r="VAY2" s="59"/>
      <c r="VAZ2" s="59"/>
      <c r="VBA2" s="59"/>
      <c r="VBB2" s="59"/>
      <c r="VBC2" s="59"/>
      <c r="VBD2" s="59"/>
      <c r="VBE2" s="59"/>
      <c r="VBF2" s="59"/>
      <c r="VBG2" s="59"/>
      <c r="VBH2" s="59"/>
      <c r="VBI2" s="59"/>
      <c r="VBJ2" s="59"/>
      <c r="VBK2" s="59"/>
      <c r="VBL2" s="59"/>
      <c r="VBM2" s="59"/>
      <c r="VBN2" s="59"/>
      <c r="VBO2" s="59"/>
      <c r="VBP2" s="59"/>
      <c r="VBQ2" s="59"/>
      <c r="VBR2" s="59"/>
      <c r="VBS2" s="59"/>
      <c r="VBT2" s="59"/>
      <c r="VBU2" s="59"/>
      <c r="VBV2" s="59"/>
      <c r="VBW2" s="59"/>
      <c r="VBX2" s="59"/>
      <c r="VBY2" s="59"/>
      <c r="VBZ2" s="59"/>
      <c r="VCA2" s="59"/>
      <c r="VCB2" s="59"/>
      <c r="VCC2" s="59"/>
      <c r="VCD2" s="59"/>
      <c r="VCE2" s="59"/>
      <c r="VCF2" s="59"/>
      <c r="VCG2" s="59"/>
      <c r="VCH2" s="59"/>
      <c r="VCI2" s="59"/>
      <c r="VCJ2" s="59"/>
      <c r="VCK2" s="59"/>
      <c r="VCL2" s="59"/>
      <c r="VCM2" s="59"/>
      <c r="VCN2" s="59"/>
      <c r="VCO2" s="59"/>
      <c r="VCP2" s="59"/>
      <c r="VCQ2" s="59"/>
      <c r="VCR2" s="59"/>
      <c r="VCS2" s="59"/>
      <c r="VCT2" s="59"/>
      <c r="VCU2" s="59"/>
      <c r="VCV2" s="59"/>
      <c r="VCW2" s="59"/>
      <c r="VCX2" s="59"/>
      <c r="VCY2" s="59"/>
      <c r="VCZ2" s="59"/>
      <c r="VDA2" s="59"/>
      <c r="VDB2" s="59"/>
      <c r="VDC2" s="59"/>
      <c r="VDD2" s="59"/>
      <c r="VDE2" s="59"/>
      <c r="VDF2" s="59"/>
      <c r="VDG2" s="59"/>
      <c r="VDH2" s="59"/>
      <c r="VDI2" s="59"/>
      <c r="VDJ2" s="59"/>
      <c r="VDK2" s="59"/>
      <c r="VDL2" s="59"/>
      <c r="VDM2" s="59"/>
      <c r="VDN2" s="59"/>
      <c r="VDO2" s="59"/>
      <c r="VDP2" s="59"/>
      <c r="VDQ2" s="59"/>
      <c r="VDR2" s="59"/>
      <c r="VDS2" s="59"/>
      <c r="VDT2" s="59"/>
      <c r="VDU2" s="59"/>
      <c r="VDV2" s="59"/>
      <c r="VDW2" s="59"/>
      <c r="VDX2" s="59"/>
      <c r="VDY2" s="59"/>
      <c r="VDZ2" s="59"/>
      <c r="VEA2" s="59"/>
      <c r="VEB2" s="59"/>
      <c r="VEC2" s="59"/>
      <c r="VED2" s="59"/>
      <c r="VEE2" s="59"/>
      <c r="VEF2" s="59"/>
      <c r="VEG2" s="59"/>
      <c r="VEH2" s="59"/>
      <c r="VEI2" s="59"/>
      <c r="VEJ2" s="59"/>
      <c r="VEK2" s="59"/>
      <c r="VEL2" s="59"/>
      <c r="VEM2" s="59"/>
      <c r="VEN2" s="59"/>
      <c r="VEO2" s="59"/>
      <c r="VEP2" s="59"/>
      <c r="VEQ2" s="59"/>
      <c r="VER2" s="59"/>
      <c r="VES2" s="59"/>
      <c r="VET2" s="59"/>
      <c r="VEU2" s="59"/>
      <c r="VEV2" s="59"/>
      <c r="VEW2" s="59"/>
      <c r="VEX2" s="59"/>
      <c r="VEY2" s="59"/>
      <c r="VEZ2" s="59"/>
      <c r="VFA2" s="59"/>
      <c r="VFB2" s="59"/>
      <c r="VFC2" s="59"/>
      <c r="VFD2" s="59"/>
      <c r="VFE2" s="59"/>
      <c r="VFF2" s="59"/>
      <c r="VFG2" s="59"/>
      <c r="VFH2" s="59"/>
      <c r="VFI2" s="59"/>
      <c r="VFJ2" s="59"/>
      <c r="VFK2" s="59"/>
      <c r="VFL2" s="59"/>
      <c r="VFM2" s="59"/>
      <c r="VFN2" s="59"/>
      <c r="VFO2" s="59"/>
      <c r="VFP2" s="59"/>
      <c r="VFQ2" s="59"/>
      <c r="VFR2" s="59"/>
      <c r="VFS2" s="59"/>
      <c r="VFT2" s="59"/>
      <c r="VFU2" s="59"/>
      <c r="VFV2" s="59"/>
      <c r="VFW2" s="59"/>
      <c r="VFX2" s="59"/>
      <c r="VFY2" s="59"/>
      <c r="VFZ2" s="59"/>
      <c r="VGA2" s="59"/>
      <c r="VGB2" s="59"/>
      <c r="VGC2" s="59"/>
      <c r="VGD2" s="59"/>
      <c r="VGE2" s="59"/>
      <c r="VGF2" s="59"/>
      <c r="VGG2" s="59"/>
      <c r="VGH2" s="59"/>
      <c r="VGI2" s="59"/>
      <c r="VGJ2" s="59"/>
      <c r="VGK2" s="59"/>
      <c r="VGL2" s="59"/>
      <c r="VGM2" s="59"/>
      <c r="VGN2" s="59"/>
      <c r="VGO2" s="59"/>
      <c r="VGP2" s="59"/>
      <c r="VGQ2" s="59"/>
      <c r="VGR2" s="59"/>
      <c r="VGS2" s="59"/>
      <c r="VGT2" s="59"/>
      <c r="VGU2" s="59"/>
      <c r="VGV2" s="59"/>
      <c r="VGW2" s="59"/>
      <c r="VGX2" s="59"/>
      <c r="VGY2" s="59"/>
      <c r="VGZ2" s="59"/>
      <c r="VHA2" s="59"/>
      <c r="VHB2" s="59"/>
      <c r="VHC2" s="59"/>
      <c r="VHD2" s="59"/>
      <c r="VHE2" s="59"/>
      <c r="VHF2" s="59"/>
      <c r="VHG2" s="59"/>
      <c r="VHH2" s="59"/>
      <c r="VHI2" s="59"/>
      <c r="VHJ2" s="59"/>
      <c r="VHK2" s="59"/>
      <c r="VHL2" s="59"/>
      <c r="VHM2" s="59"/>
      <c r="VHN2" s="59"/>
      <c r="VHO2" s="59"/>
      <c r="VHP2" s="59"/>
      <c r="VHQ2" s="59"/>
      <c r="VHR2" s="59"/>
      <c r="VHS2" s="59"/>
      <c r="VHT2" s="59"/>
      <c r="VHU2" s="59"/>
      <c r="VHV2" s="59"/>
      <c r="VHW2" s="59"/>
      <c r="VHX2" s="59"/>
      <c r="VHY2" s="59"/>
      <c r="VHZ2" s="59"/>
      <c r="VIA2" s="59"/>
      <c r="VIB2" s="59"/>
      <c r="VIC2" s="59"/>
      <c r="VID2" s="59"/>
      <c r="VIE2" s="59"/>
      <c r="VIF2" s="59"/>
      <c r="VIG2" s="59"/>
      <c r="VIH2" s="59"/>
      <c r="VII2" s="59"/>
      <c r="VIJ2" s="59"/>
      <c r="VIK2" s="59"/>
      <c r="VIL2" s="59"/>
      <c r="VIM2" s="59"/>
      <c r="VIN2" s="59"/>
      <c r="VIO2" s="59"/>
      <c r="VIP2" s="59"/>
      <c r="VIQ2" s="59"/>
      <c r="VIR2" s="59"/>
      <c r="VIS2" s="59"/>
      <c r="VIT2" s="59"/>
      <c r="VIU2" s="59"/>
      <c r="VIV2" s="59"/>
      <c r="VIW2" s="59"/>
      <c r="VIX2" s="59"/>
      <c r="VIY2" s="59"/>
      <c r="VIZ2" s="59"/>
      <c r="VJA2" s="59"/>
      <c r="VJB2" s="59"/>
      <c r="VJC2" s="59"/>
      <c r="VJD2" s="59"/>
      <c r="VJE2" s="59"/>
      <c r="VJF2" s="59"/>
      <c r="VJG2" s="59"/>
      <c r="VJH2" s="59"/>
      <c r="VJI2" s="59"/>
      <c r="VJJ2" s="59"/>
      <c r="VJK2" s="59"/>
      <c r="VJL2" s="59"/>
      <c r="VJM2" s="59"/>
      <c r="VJN2" s="59"/>
      <c r="VJO2" s="59"/>
      <c r="VJP2" s="59"/>
      <c r="VJQ2" s="59"/>
      <c r="VJR2" s="59"/>
      <c r="VJS2" s="59"/>
      <c r="VJT2" s="59"/>
      <c r="VJU2" s="59"/>
      <c r="VJV2" s="59"/>
      <c r="VJW2" s="59"/>
      <c r="VJX2" s="59"/>
      <c r="VJY2" s="59"/>
      <c r="VJZ2" s="59"/>
      <c r="VKA2" s="59"/>
      <c r="VKB2" s="59"/>
      <c r="VKC2" s="59"/>
      <c r="VKD2" s="59"/>
      <c r="VKE2" s="59"/>
      <c r="VKF2" s="59"/>
      <c r="VKG2" s="59"/>
      <c r="VKH2" s="59"/>
      <c r="VKI2" s="59"/>
      <c r="VKJ2" s="59"/>
      <c r="VKK2" s="59"/>
      <c r="VKL2" s="59"/>
      <c r="VKM2" s="59"/>
      <c r="VKN2" s="59"/>
      <c r="VKO2" s="59"/>
      <c r="VKP2" s="59"/>
      <c r="VKQ2" s="59"/>
      <c r="VKR2" s="59"/>
      <c r="VKS2" s="59"/>
      <c r="VKT2" s="59"/>
      <c r="VKU2" s="59"/>
      <c r="VKV2" s="59"/>
      <c r="VKW2" s="59"/>
      <c r="VKX2" s="59"/>
      <c r="VKY2" s="59"/>
      <c r="VKZ2" s="59"/>
      <c r="VLA2" s="59"/>
      <c r="VLB2" s="59"/>
      <c r="VLC2" s="59"/>
      <c r="VLD2" s="59"/>
      <c r="VLE2" s="59"/>
      <c r="VLF2" s="59"/>
      <c r="VLG2" s="59"/>
      <c r="VLH2" s="59"/>
      <c r="VLI2" s="59"/>
      <c r="VLJ2" s="59"/>
      <c r="VLK2" s="59"/>
      <c r="VLL2" s="59"/>
      <c r="VLM2" s="59"/>
      <c r="VLN2" s="59"/>
      <c r="VLO2" s="59"/>
      <c r="VLP2" s="59"/>
      <c r="VLQ2" s="59"/>
      <c r="VLR2" s="59"/>
      <c r="VLS2" s="59"/>
      <c r="VLT2" s="59"/>
      <c r="VLU2" s="59"/>
      <c r="VLV2" s="59"/>
      <c r="VLW2" s="59"/>
      <c r="VLX2" s="59"/>
      <c r="VLY2" s="59"/>
      <c r="VLZ2" s="59"/>
      <c r="VMA2" s="59"/>
      <c r="VMB2" s="59"/>
      <c r="VMC2" s="59"/>
      <c r="VMD2" s="59"/>
      <c r="VME2" s="59"/>
      <c r="VMF2" s="59"/>
      <c r="VMG2" s="59"/>
      <c r="VMH2" s="59"/>
      <c r="VMI2" s="59"/>
      <c r="VMJ2" s="59"/>
      <c r="VMK2" s="59"/>
      <c r="VML2" s="59"/>
      <c r="VMM2" s="59"/>
      <c r="VMN2" s="59"/>
      <c r="VMO2" s="59"/>
      <c r="VMP2" s="59"/>
      <c r="VMQ2" s="59"/>
      <c r="VMR2" s="59"/>
      <c r="VMS2" s="59"/>
      <c r="VMT2" s="59"/>
      <c r="VMU2" s="59"/>
      <c r="VMV2" s="59"/>
      <c r="VMW2" s="59"/>
      <c r="VMX2" s="59"/>
      <c r="VMY2" s="59"/>
      <c r="VMZ2" s="59"/>
      <c r="VNA2" s="59"/>
      <c r="VNB2" s="59"/>
      <c r="VNC2" s="59"/>
      <c r="VND2" s="59"/>
      <c r="VNE2" s="59"/>
      <c r="VNF2" s="59"/>
      <c r="VNG2" s="59"/>
      <c r="VNH2" s="59"/>
      <c r="VNI2" s="59"/>
      <c r="VNJ2" s="59"/>
      <c r="VNK2" s="59"/>
      <c r="VNL2" s="59"/>
      <c r="VNM2" s="59"/>
      <c r="VNN2" s="59"/>
      <c r="VNO2" s="59"/>
      <c r="VNP2" s="59"/>
      <c r="VNQ2" s="59"/>
      <c r="VNR2" s="59"/>
      <c r="VNS2" s="59"/>
      <c r="VNT2" s="59"/>
      <c r="VNU2" s="59"/>
      <c r="VNV2" s="59"/>
      <c r="VNW2" s="59"/>
      <c r="VNX2" s="59"/>
      <c r="VNY2" s="59"/>
      <c r="VNZ2" s="59"/>
      <c r="VOA2" s="59"/>
      <c r="VOB2" s="59"/>
      <c r="VOC2" s="59"/>
      <c r="VOD2" s="59"/>
      <c r="VOE2" s="59"/>
      <c r="VOF2" s="59"/>
      <c r="VOG2" s="59"/>
      <c r="VOH2" s="59"/>
      <c r="VOI2" s="59"/>
      <c r="VOJ2" s="59"/>
      <c r="VOK2" s="59"/>
      <c r="VOL2" s="59"/>
      <c r="VOM2" s="59"/>
      <c r="VON2" s="59"/>
      <c r="VOO2" s="59"/>
      <c r="VOP2" s="59"/>
      <c r="VOQ2" s="59"/>
      <c r="VOR2" s="59"/>
      <c r="VOS2" s="59"/>
      <c r="VOT2" s="59"/>
      <c r="VOU2" s="59"/>
      <c r="VOV2" s="59"/>
      <c r="VOW2" s="59"/>
      <c r="VOX2" s="59"/>
      <c r="VOY2" s="59"/>
      <c r="VOZ2" s="59"/>
      <c r="VPA2" s="59"/>
      <c r="VPB2" s="59"/>
      <c r="VPC2" s="59"/>
      <c r="VPD2" s="59"/>
      <c r="VPE2" s="59"/>
      <c r="VPF2" s="59"/>
      <c r="VPG2" s="59"/>
      <c r="VPH2" s="59"/>
      <c r="VPI2" s="59"/>
      <c r="VPJ2" s="59"/>
      <c r="VPK2" s="59"/>
      <c r="VPL2" s="59"/>
      <c r="VPM2" s="59"/>
      <c r="VPN2" s="59"/>
      <c r="VPO2" s="59"/>
      <c r="VPP2" s="59"/>
      <c r="VPQ2" s="59"/>
      <c r="VPR2" s="59"/>
      <c r="VPS2" s="59"/>
      <c r="VPT2" s="59"/>
      <c r="VPU2" s="59"/>
      <c r="VPV2" s="59"/>
      <c r="VPW2" s="59"/>
      <c r="VPX2" s="59"/>
      <c r="VPY2" s="59"/>
      <c r="VPZ2" s="59"/>
      <c r="VQA2" s="59"/>
      <c r="VQB2" s="59"/>
      <c r="VQC2" s="59"/>
      <c r="VQD2" s="59"/>
      <c r="VQE2" s="59"/>
      <c r="VQF2" s="59"/>
      <c r="VQG2" s="59"/>
      <c r="VQH2" s="59"/>
      <c r="VQI2" s="59"/>
      <c r="VQJ2" s="59"/>
      <c r="VQK2" s="59"/>
      <c r="VQL2" s="59"/>
      <c r="VQM2" s="59"/>
      <c r="VQN2" s="59"/>
      <c r="VQO2" s="59"/>
      <c r="VQP2" s="59"/>
      <c r="VQQ2" s="59"/>
      <c r="VQR2" s="59"/>
      <c r="VQS2" s="59"/>
      <c r="VQT2" s="59"/>
      <c r="VQU2" s="59"/>
      <c r="VQV2" s="59"/>
      <c r="VQW2" s="59"/>
      <c r="VQX2" s="59"/>
      <c r="VQY2" s="59"/>
      <c r="VQZ2" s="59"/>
      <c r="VRA2" s="59"/>
      <c r="VRB2" s="59"/>
      <c r="VRC2" s="59"/>
      <c r="VRD2" s="59"/>
      <c r="VRE2" s="59"/>
      <c r="VRF2" s="59"/>
      <c r="VRG2" s="59"/>
      <c r="VRH2" s="59"/>
      <c r="VRI2" s="59"/>
      <c r="VRJ2" s="59"/>
      <c r="VRK2" s="59"/>
      <c r="VRL2" s="59"/>
      <c r="VRM2" s="59"/>
      <c r="VRN2" s="59"/>
      <c r="VRO2" s="59"/>
      <c r="VRP2" s="59"/>
      <c r="VRQ2" s="59"/>
      <c r="VRR2" s="59"/>
      <c r="VRS2" s="59"/>
      <c r="VRT2" s="59"/>
      <c r="VRU2" s="59"/>
      <c r="VRV2" s="59"/>
      <c r="VRW2" s="59"/>
      <c r="VRX2" s="59"/>
      <c r="VRY2" s="59"/>
      <c r="VRZ2" s="59"/>
      <c r="VSA2" s="59"/>
      <c r="VSB2" s="59"/>
      <c r="VSC2" s="59"/>
      <c r="VSD2" s="59"/>
      <c r="VSE2" s="59"/>
      <c r="VSF2" s="59"/>
      <c r="VSG2" s="59"/>
      <c r="VSH2" s="59"/>
      <c r="VSI2" s="59"/>
      <c r="VSJ2" s="59"/>
      <c r="VSK2" s="59"/>
      <c r="VSL2" s="59"/>
      <c r="VSM2" s="59"/>
      <c r="VSN2" s="59"/>
      <c r="VSO2" s="59"/>
      <c r="VSP2" s="59"/>
      <c r="VSQ2" s="59"/>
      <c r="VSR2" s="59"/>
      <c r="VSS2" s="59"/>
      <c r="VST2" s="59"/>
      <c r="VSU2" s="59"/>
      <c r="VSV2" s="59"/>
      <c r="VSW2" s="59"/>
      <c r="VSX2" s="59"/>
      <c r="VSY2" s="59"/>
      <c r="VSZ2" s="59"/>
      <c r="VTA2" s="59"/>
      <c r="VTB2" s="59"/>
      <c r="VTC2" s="59"/>
      <c r="VTD2" s="59"/>
      <c r="VTE2" s="59"/>
      <c r="VTF2" s="59"/>
      <c r="VTG2" s="59"/>
      <c r="VTH2" s="59"/>
      <c r="VTI2" s="59"/>
      <c r="VTJ2" s="59"/>
      <c r="VTK2" s="59"/>
      <c r="VTL2" s="59"/>
      <c r="VTM2" s="59"/>
      <c r="VTN2" s="59"/>
      <c r="VTO2" s="59"/>
      <c r="VTP2" s="59"/>
      <c r="VTQ2" s="59"/>
      <c r="VTR2" s="59"/>
      <c r="VTS2" s="59"/>
      <c r="VTT2" s="59"/>
      <c r="VTU2" s="59"/>
      <c r="VTV2" s="59"/>
      <c r="VTW2" s="59"/>
      <c r="VTX2" s="59"/>
      <c r="VTY2" s="59"/>
      <c r="VTZ2" s="59"/>
      <c r="VUA2" s="59"/>
      <c r="VUB2" s="59"/>
      <c r="VUC2" s="59"/>
      <c r="VUD2" s="59"/>
      <c r="VUE2" s="59"/>
      <c r="VUF2" s="59"/>
      <c r="VUG2" s="59"/>
      <c r="VUH2" s="59"/>
      <c r="VUI2" s="59"/>
      <c r="VUJ2" s="59"/>
      <c r="VUK2" s="59"/>
      <c r="VUL2" s="59"/>
      <c r="VUM2" s="59"/>
      <c r="VUN2" s="59"/>
      <c r="VUO2" s="59"/>
      <c r="VUP2" s="59"/>
      <c r="VUQ2" s="59"/>
      <c r="VUR2" s="59"/>
      <c r="VUS2" s="59"/>
      <c r="VUT2" s="59"/>
      <c r="VUU2" s="59"/>
      <c r="VUV2" s="59"/>
      <c r="VUW2" s="59"/>
      <c r="VUX2" s="59"/>
      <c r="VUY2" s="59"/>
      <c r="VUZ2" s="59"/>
      <c r="VVA2" s="59"/>
      <c r="VVB2" s="59"/>
      <c r="VVC2" s="59"/>
      <c r="VVD2" s="59"/>
      <c r="VVE2" s="59"/>
      <c r="VVF2" s="59"/>
      <c r="VVG2" s="59"/>
      <c r="VVH2" s="59"/>
      <c r="VVI2" s="59"/>
      <c r="VVJ2" s="59"/>
      <c r="VVK2" s="59"/>
      <c r="VVL2" s="59"/>
      <c r="VVM2" s="59"/>
      <c r="VVN2" s="59"/>
      <c r="VVO2" s="59"/>
      <c r="VVP2" s="59"/>
      <c r="VVQ2" s="59"/>
      <c r="VVR2" s="59"/>
      <c r="VVS2" s="59"/>
      <c r="VVT2" s="59"/>
      <c r="VVU2" s="59"/>
      <c r="VVV2" s="59"/>
      <c r="VVW2" s="59"/>
      <c r="VVX2" s="59"/>
      <c r="VVY2" s="59"/>
      <c r="VVZ2" s="59"/>
      <c r="VWA2" s="59"/>
      <c r="VWB2" s="59"/>
      <c r="VWC2" s="59"/>
      <c r="VWD2" s="59"/>
      <c r="VWE2" s="59"/>
      <c r="VWF2" s="59"/>
      <c r="VWG2" s="59"/>
      <c r="VWH2" s="59"/>
      <c r="VWI2" s="59"/>
      <c r="VWJ2" s="59"/>
      <c r="VWK2" s="59"/>
      <c r="VWL2" s="59"/>
      <c r="VWM2" s="59"/>
      <c r="VWN2" s="59"/>
      <c r="VWO2" s="59"/>
      <c r="VWP2" s="59"/>
      <c r="VWQ2" s="59"/>
      <c r="VWR2" s="59"/>
      <c r="VWS2" s="59"/>
      <c r="VWT2" s="59"/>
      <c r="VWU2" s="59"/>
      <c r="VWV2" s="59"/>
      <c r="VWW2" s="59"/>
      <c r="VWX2" s="59"/>
      <c r="VWY2" s="59"/>
      <c r="VWZ2" s="59"/>
      <c r="VXA2" s="59"/>
      <c r="VXB2" s="59"/>
      <c r="VXC2" s="59"/>
      <c r="VXD2" s="59"/>
      <c r="VXE2" s="59"/>
      <c r="VXF2" s="59"/>
      <c r="VXG2" s="59"/>
      <c r="VXH2" s="59"/>
      <c r="VXI2" s="59"/>
      <c r="VXJ2" s="59"/>
      <c r="VXK2" s="59"/>
      <c r="VXL2" s="59"/>
      <c r="VXM2" s="59"/>
      <c r="VXN2" s="59"/>
      <c r="VXO2" s="59"/>
      <c r="VXP2" s="59"/>
      <c r="VXQ2" s="59"/>
      <c r="VXR2" s="59"/>
      <c r="VXS2" s="59"/>
      <c r="VXT2" s="59"/>
      <c r="VXU2" s="59"/>
      <c r="VXV2" s="59"/>
      <c r="VXW2" s="59"/>
      <c r="VXX2" s="59"/>
      <c r="VXY2" s="59"/>
      <c r="VXZ2" s="59"/>
      <c r="VYA2" s="59"/>
      <c r="VYB2" s="59"/>
      <c r="VYC2" s="59"/>
      <c r="VYD2" s="59"/>
      <c r="VYE2" s="59"/>
      <c r="VYF2" s="59"/>
      <c r="VYG2" s="59"/>
      <c r="VYH2" s="59"/>
      <c r="VYI2" s="59"/>
      <c r="VYJ2" s="59"/>
      <c r="VYK2" s="59"/>
      <c r="VYL2" s="59"/>
      <c r="VYM2" s="59"/>
      <c r="VYN2" s="59"/>
      <c r="VYO2" s="59"/>
      <c r="VYP2" s="59"/>
      <c r="VYQ2" s="59"/>
      <c r="VYR2" s="59"/>
      <c r="VYS2" s="59"/>
      <c r="VYT2" s="59"/>
      <c r="VYU2" s="59"/>
      <c r="VYV2" s="59"/>
      <c r="VYW2" s="59"/>
      <c r="VYX2" s="59"/>
      <c r="VYY2" s="59"/>
      <c r="VYZ2" s="59"/>
      <c r="VZA2" s="59"/>
      <c r="VZB2" s="59"/>
      <c r="VZC2" s="59"/>
      <c r="VZD2" s="59"/>
      <c r="VZE2" s="59"/>
      <c r="VZF2" s="59"/>
      <c r="VZG2" s="59"/>
      <c r="VZH2" s="59"/>
      <c r="VZI2" s="59"/>
      <c r="VZJ2" s="59"/>
      <c r="VZK2" s="59"/>
      <c r="VZL2" s="59"/>
      <c r="VZM2" s="59"/>
      <c r="VZN2" s="59"/>
      <c r="VZO2" s="59"/>
      <c r="VZP2" s="59"/>
      <c r="VZQ2" s="59"/>
      <c r="VZR2" s="59"/>
      <c r="VZS2" s="59"/>
      <c r="VZT2" s="59"/>
      <c r="VZU2" s="59"/>
      <c r="VZV2" s="59"/>
      <c r="VZW2" s="59"/>
      <c r="VZX2" s="59"/>
      <c r="VZY2" s="59"/>
      <c r="VZZ2" s="59"/>
      <c r="WAA2" s="59"/>
      <c r="WAB2" s="59"/>
      <c r="WAC2" s="59"/>
      <c r="WAD2" s="59"/>
      <c r="WAE2" s="59"/>
      <c r="WAF2" s="59"/>
      <c r="WAG2" s="59"/>
      <c r="WAH2" s="59"/>
      <c r="WAI2" s="59"/>
      <c r="WAJ2" s="59"/>
      <c r="WAK2" s="59"/>
      <c r="WAL2" s="59"/>
      <c r="WAM2" s="59"/>
      <c r="WAN2" s="59"/>
      <c r="WAO2" s="59"/>
      <c r="WAP2" s="59"/>
      <c r="WAQ2" s="59"/>
      <c r="WAR2" s="59"/>
      <c r="WAS2" s="59"/>
      <c r="WAT2" s="59"/>
      <c r="WAU2" s="59"/>
      <c r="WAV2" s="59"/>
      <c r="WAW2" s="59"/>
      <c r="WAX2" s="59"/>
      <c r="WAY2" s="59"/>
      <c r="WAZ2" s="59"/>
      <c r="WBA2" s="59"/>
      <c r="WBB2" s="59"/>
      <c r="WBC2" s="59"/>
      <c r="WBD2" s="59"/>
      <c r="WBE2" s="59"/>
      <c r="WBF2" s="59"/>
      <c r="WBG2" s="59"/>
      <c r="WBH2" s="59"/>
      <c r="WBI2" s="59"/>
      <c r="WBJ2" s="59"/>
      <c r="WBK2" s="59"/>
      <c r="WBL2" s="59"/>
      <c r="WBM2" s="59"/>
      <c r="WBN2" s="59"/>
      <c r="WBO2" s="59"/>
      <c r="WBP2" s="59"/>
      <c r="WBQ2" s="59"/>
      <c r="WBR2" s="59"/>
      <c r="WBS2" s="59"/>
      <c r="WBT2" s="59"/>
      <c r="WBU2" s="59"/>
      <c r="WBV2" s="59"/>
      <c r="WBW2" s="59"/>
      <c r="WBX2" s="59"/>
      <c r="WBY2" s="59"/>
      <c r="WBZ2" s="59"/>
      <c r="WCA2" s="59"/>
      <c r="WCB2" s="59"/>
      <c r="WCC2" s="59"/>
      <c r="WCD2" s="59"/>
      <c r="WCE2" s="59"/>
      <c r="WCF2" s="59"/>
      <c r="WCG2" s="59"/>
      <c r="WCH2" s="59"/>
      <c r="WCI2" s="59"/>
      <c r="WCJ2" s="59"/>
      <c r="WCK2" s="59"/>
      <c r="WCL2" s="59"/>
      <c r="WCM2" s="59"/>
      <c r="WCN2" s="59"/>
      <c r="WCO2" s="59"/>
      <c r="WCP2" s="59"/>
      <c r="WCQ2" s="59"/>
      <c r="WCR2" s="59"/>
      <c r="WCS2" s="59"/>
      <c r="WCT2" s="59"/>
      <c r="WCU2" s="59"/>
      <c r="WCV2" s="59"/>
      <c r="WCW2" s="59"/>
      <c r="WCX2" s="59"/>
      <c r="WCY2" s="59"/>
      <c r="WCZ2" s="59"/>
      <c r="WDA2" s="59"/>
      <c r="WDB2" s="59"/>
      <c r="WDC2" s="59"/>
      <c r="WDD2" s="59"/>
      <c r="WDE2" s="59"/>
      <c r="WDF2" s="59"/>
      <c r="WDG2" s="59"/>
      <c r="WDH2" s="59"/>
      <c r="WDI2" s="59"/>
      <c r="WDJ2" s="59"/>
      <c r="WDK2" s="59"/>
      <c r="WDL2" s="59"/>
      <c r="WDM2" s="59"/>
      <c r="WDN2" s="59"/>
      <c r="WDO2" s="59"/>
      <c r="WDP2" s="59"/>
      <c r="WDQ2" s="59"/>
      <c r="WDR2" s="59"/>
      <c r="WDS2" s="59"/>
      <c r="WDT2" s="59"/>
      <c r="WDU2" s="59"/>
      <c r="WDV2" s="59"/>
      <c r="WDW2" s="59"/>
      <c r="WDX2" s="59"/>
      <c r="WDY2" s="59"/>
      <c r="WDZ2" s="59"/>
      <c r="WEA2" s="59"/>
      <c r="WEB2" s="59"/>
      <c r="WEC2" s="59"/>
      <c r="WED2" s="59"/>
      <c r="WEE2" s="59"/>
      <c r="WEF2" s="59"/>
      <c r="WEG2" s="59"/>
      <c r="WEH2" s="59"/>
      <c r="WEI2" s="59"/>
      <c r="WEJ2" s="59"/>
      <c r="WEK2" s="59"/>
      <c r="WEL2" s="59"/>
      <c r="WEM2" s="59"/>
      <c r="WEN2" s="59"/>
      <c r="WEO2" s="59"/>
      <c r="WEP2" s="59"/>
      <c r="WEQ2" s="59"/>
      <c r="WER2" s="59"/>
      <c r="WES2" s="59"/>
      <c r="WET2" s="59"/>
      <c r="WEU2" s="59"/>
      <c r="WEV2" s="59"/>
      <c r="WEW2" s="59"/>
      <c r="WEX2" s="59"/>
      <c r="WEY2" s="59"/>
      <c r="WEZ2" s="59"/>
      <c r="WFA2" s="59"/>
      <c r="WFB2" s="59"/>
      <c r="WFC2" s="59"/>
      <c r="WFD2" s="59"/>
      <c r="WFE2" s="59"/>
      <c r="WFF2" s="59"/>
      <c r="WFG2" s="59"/>
      <c r="WFH2" s="59"/>
      <c r="WFI2" s="59"/>
      <c r="WFJ2" s="59"/>
      <c r="WFK2" s="59"/>
      <c r="WFL2" s="59"/>
      <c r="WFM2" s="59"/>
      <c r="WFN2" s="59"/>
      <c r="WFO2" s="59"/>
      <c r="WFP2" s="59"/>
      <c r="WFQ2" s="59"/>
      <c r="WFR2" s="59"/>
      <c r="WFS2" s="59"/>
      <c r="WFT2" s="59"/>
      <c r="WFU2" s="59"/>
      <c r="WFV2" s="59"/>
      <c r="WFW2" s="59"/>
      <c r="WFX2" s="59"/>
      <c r="WFY2" s="59"/>
      <c r="WFZ2" s="59"/>
      <c r="WGA2" s="59"/>
      <c r="WGB2" s="59"/>
      <c r="WGC2" s="59"/>
      <c r="WGD2" s="59"/>
      <c r="WGE2" s="59"/>
      <c r="WGF2" s="59"/>
      <c r="WGG2" s="59"/>
      <c r="WGH2" s="59"/>
      <c r="WGI2" s="59"/>
      <c r="WGJ2" s="59"/>
      <c r="WGK2" s="59"/>
      <c r="WGL2" s="59"/>
      <c r="WGM2" s="59"/>
      <c r="WGN2" s="59"/>
      <c r="WGO2" s="59"/>
      <c r="WGP2" s="59"/>
      <c r="WGQ2" s="59"/>
      <c r="WGR2" s="59"/>
      <c r="WGS2" s="59"/>
      <c r="WGT2" s="59"/>
      <c r="WGU2" s="59"/>
      <c r="WGV2" s="59"/>
      <c r="WGW2" s="59"/>
      <c r="WGX2" s="59"/>
      <c r="WGY2" s="59"/>
      <c r="WGZ2" s="59"/>
      <c r="WHA2" s="59"/>
      <c r="WHB2" s="59"/>
      <c r="WHC2" s="59"/>
      <c r="WHD2" s="59"/>
      <c r="WHE2" s="59"/>
      <c r="WHF2" s="59"/>
      <c r="WHG2" s="59"/>
      <c r="WHH2" s="59"/>
      <c r="WHI2" s="59"/>
      <c r="WHJ2" s="59"/>
      <c r="WHK2" s="59"/>
      <c r="WHL2" s="59"/>
      <c r="WHM2" s="59"/>
      <c r="WHN2" s="59"/>
      <c r="WHO2" s="59"/>
      <c r="WHP2" s="59"/>
      <c r="WHQ2" s="59"/>
      <c r="WHR2" s="59"/>
      <c r="WHS2" s="59"/>
      <c r="WHT2" s="59"/>
      <c r="WHU2" s="59"/>
      <c r="WHV2" s="59"/>
      <c r="WHW2" s="59"/>
      <c r="WHX2" s="59"/>
      <c r="WHY2" s="59"/>
      <c r="WHZ2" s="59"/>
      <c r="WIA2" s="59"/>
      <c r="WIB2" s="59"/>
      <c r="WIC2" s="59"/>
      <c r="WID2" s="59"/>
      <c r="WIE2" s="59"/>
      <c r="WIF2" s="59"/>
      <c r="WIG2" s="59"/>
      <c r="WIH2" s="59"/>
      <c r="WII2" s="59"/>
      <c r="WIJ2" s="59"/>
      <c r="WIK2" s="59"/>
      <c r="WIL2" s="59"/>
      <c r="WIM2" s="59"/>
      <c r="WIN2" s="59"/>
      <c r="WIO2" s="59"/>
      <c r="WIP2" s="59"/>
      <c r="WIQ2" s="59"/>
      <c r="WIR2" s="59"/>
      <c r="WIS2" s="59"/>
      <c r="WIT2" s="59"/>
      <c r="WIU2" s="59"/>
      <c r="WIV2" s="59"/>
      <c r="WIW2" s="59"/>
      <c r="WIX2" s="59"/>
      <c r="WIY2" s="59"/>
      <c r="WIZ2" s="59"/>
      <c r="WJA2" s="59"/>
      <c r="WJB2" s="59"/>
      <c r="WJC2" s="59"/>
      <c r="WJD2" s="59"/>
      <c r="WJE2" s="59"/>
      <c r="WJF2" s="59"/>
      <c r="WJG2" s="59"/>
      <c r="WJH2" s="59"/>
      <c r="WJI2" s="59"/>
      <c r="WJJ2" s="59"/>
      <c r="WJK2" s="59"/>
      <c r="WJL2" s="59"/>
      <c r="WJM2" s="59"/>
      <c r="WJN2" s="59"/>
      <c r="WJO2" s="59"/>
      <c r="WJP2" s="59"/>
      <c r="WJQ2" s="59"/>
      <c r="WJR2" s="59"/>
      <c r="WJS2" s="59"/>
      <c r="WJT2" s="59"/>
      <c r="WJU2" s="59"/>
      <c r="WJV2" s="59"/>
      <c r="WJW2" s="59"/>
      <c r="WJX2" s="59"/>
      <c r="WJY2" s="59"/>
      <c r="WJZ2" s="59"/>
      <c r="WKA2" s="59"/>
      <c r="WKB2" s="59"/>
      <c r="WKC2" s="59"/>
      <c r="WKD2" s="59"/>
      <c r="WKE2" s="59"/>
      <c r="WKF2" s="59"/>
      <c r="WKG2" s="59"/>
      <c r="WKH2" s="59"/>
      <c r="WKI2" s="59"/>
      <c r="WKJ2" s="59"/>
      <c r="WKK2" s="59"/>
      <c r="WKL2" s="59"/>
      <c r="WKM2" s="59"/>
      <c r="WKN2" s="59"/>
      <c r="WKO2" s="59"/>
      <c r="WKP2" s="59"/>
      <c r="WKQ2" s="59"/>
      <c r="WKR2" s="59"/>
      <c r="WKS2" s="59"/>
      <c r="WKT2" s="59"/>
      <c r="WKU2" s="59"/>
      <c r="WKV2" s="59"/>
      <c r="WKW2" s="59"/>
      <c r="WKX2" s="59"/>
      <c r="WKY2" s="59"/>
      <c r="WKZ2" s="59"/>
      <c r="WLA2" s="59"/>
      <c r="WLB2" s="59"/>
      <c r="WLC2" s="59"/>
      <c r="WLD2" s="59"/>
      <c r="WLE2" s="59"/>
      <c r="WLF2" s="59"/>
      <c r="WLG2" s="59"/>
      <c r="WLH2" s="59"/>
      <c r="WLI2" s="59"/>
      <c r="WLJ2" s="59"/>
      <c r="WLK2" s="59"/>
      <c r="WLL2" s="59"/>
      <c r="WLM2" s="59"/>
      <c r="WLN2" s="59"/>
      <c r="WLO2" s="59"/>
      <c r="WLP2" s="59"/>
      <c r="WLQ2" s="59"/>
      <c r="WLR2" s="59"/>
      <c r="WLS2" s="59"/>
      <c r="WLT2" s="59"/>
      <c r="WLU2" s="59"/>
      <c r="WLV2" s="59"/>
      <c r="WLW2" s="59"/>
      <c r="WLX2" s="59"/>
      <c r="WLY2" s="59"/>
      <c r="WLZ2" s="59"/>
      <c r="WMA2" s="59"/>
      <c r="WMB2" s="59"/>
      <c r="WMC2" s="59"/>
      <c r="WMD2" s="59"/>
      <c r="WME2" s="59"/>
      <c r="WMF2" s="59"/>
      <c r="WMG2" s="59"/>
      <c r="WMH2" s="59"/>
      <c r="WMI2" s="59"/>
      <c r="WMJ2" s="59"/>
      <c r="WMK2" s="59"/>
      <c r="WML2" s="59"/>
      <c r="WMM2" s="59"/>
      <c r="WMN2" s="59"/>
      <c r="WMO2" s="59"/>
      <c r="WMP2" s="59"/>
      <c r="WMQ2" s="59"/>
      <c r="WMR2" s="59"/>
      <c r="WMS2" s="59"/>
      <c r="WMT2" s="59"/>
      <c r="WMU2" s="59"/>
      <c r="WMV2" s="59"/>
      <c r="WMW2" s="59"/>
      <c r="WMX2" s="59"/>
      <c r="WMY2" s="59"/>
      <c r="WMZ2" s="59"/>
      <c r="WNA2" s="59"/>
      <c r="WNB2" s="59"/>
      <c r="WNC2" s="59"/>
      <c r="WND2" s="59"/>
      <c r="WNE2" s="59"/>
      <c r="WNF2" s="59"/>
      <c r="WNG2" s="59"/>
      <c r="WNH2" s="59"/>
      <c r="WNI2" s="59"/>
      <c r="WNJ2" s="59"/>
      <c r="WNK2" s="59"/>
      <c r="WNL2" s="59"/>
      <c r="WNM2" s="59"/>
      <c r="WNN2" s="59"/>
      <c r="WNO2" s="59"/>
      <c r="WNP2" s="59"/>
      <c r="WNQ2" s="59"/>
      <c r="WNR2" s="59"/>
      <c r="WNS2" s="59"/>
      <c r="WNT2" s="59"/>
      <c r="WNU2" s="59"/>
      <c r="WNV2" s="59"/>
      <c r="WNW2" s="59"/>
      <c r="WNX2" s="59"/>
      <c r="WNY2" s="59"/>
      <c r="WNZ2" s="59"/>
      <c r="WOA2" s="59"/>
      <c r="WOB2" s="59"/>
      <c r="WOC2" s="59"/>
      <c r="WOD2" s="59"/>
      <c r="WOE2" s="59"/>
      <c r="WOF2" s="59"/>
      <c r="WOG2" s="59"/>
      <c r="WOH2" s="59"/>
      <c r="WOI2" s="59"/>
      <c r="WOJ2" s="59"/>
      <c r="WOK2" s="59"/>
      <c r="WOL2" s="59"/>
      <c r="WOM2" s="59"/>
      <c r="WON2" s="59"/>
      <c r="WOO2" s="59"/>
      <c r="WOP2" s="59"/>
      <c r="WOQ2" s="59"/>
      <c r="WOR2" s="59"/>
      <c r="WOS2" s="59"/>
      <c r="WOT2" s="59"/>
      <c r="WOU2" s="59"/>
      <c r="WOV2" s="59"/>
      <c r="WOW2" s="59"/>
      <c r="WOX2" s="59"/>
      <c r="WOY2" s="59"/>
      <c r="WOZ2" s="59"/>
      <c r="WPA2" s="59"/>
      <c r="WPB2" s="59"/>
      <c r="WPC2" s="59"/>
      <c r="WPD2" s="59"/>
      <c r="WPE2" s="59"/>
      <c r="WPF2" s="59"/>
      <c r="WPG2" s="59"/>
      <c r="WPH2" s="59"/>
      <c r="WPI2" s="59"/>
      <c r="WPJ2" s="59"/>
      <c r="WPK2" s="59"/>
      <c r="WPL2" s="59"/>
      <c r="WPM2" s="59"/>
      <c r="WPN2" s="59"/>
      <c r="WPO2" s="59"/>
      <c r="WPP2" s="59"/>
      <c r="WPQ2" s="59"/>
      <c r="WPR2" s="59"/>
      <c r="WPS2" s="59"/>
      <c r="WPT2" s="59"/>
      <c r="WPU2" s="59"/>
      <c r="WPV2" s="59"/>
      <c r="WPW2" s="59"/>
      <c r="WPX2" s="59"/>
      <c r="WPY2" s="59"/>
      <c r="WPZ2" s="59"/>
      <c r="WQA2" s="59"/>
      <c r="WQB2" s="59"/>
      <c r="WQC2" s="59"/>
      <c r="WQD2" s="59"/>
      <c r="WQE2" s="59"/>
      <c r="WQF2" s="59"/>
      <c r="WQG2" s="59"/>
      <c r="WQH2" s="59"/>
      <c r="WQI2" s="59"/>
      <c r="WQJ2" s="59"/>
      <c r="WQK2" s="59"/>
      <c r="WQL2" s="59"/>
      <c r="WQM2" s="59"/>
      <c r="WQN2" s="59"/>
      <c r="WQO2" s="59"/>
      <c r="WQP2" s="59"/>
      <c r="WQQ2" s="59"/>
      <c r="WQR2" s="59"/>
      <c r="WQS2" s="59"/>
      <c r="WQT2" s="59"/>
      <c r="WQU2" s="59"/>
      <c r="WQV2" s="59"/>
      <c r="WQW2" s="59"/>
      <c r="WQX2" s="59"/>
      <c r="WQY2" s="59"/>
      <c r="WQZ2" s="59"/>
      <c r="WRA2" s="59"/>
      <c r="WRB2" s="59"/>
      <c r="WRC2" s="59"/>
      <c r="WRD2" s="59"/>
      <c r="WRE2" s="59"/>
      <c r="WRF2" s="59"/>
      <c r="WRG2" s="59"/>
      <c r="WRH2" s="59"/>
      <c r="WRI2" s="59"/>
      <c r="WRJ2" s="59"/>
      <c r="WRK2" s="59"/>
      <c r="WRL2" s="59"/>
      <c r="WRM2" s="59"/>
      <c r="WRN2" s="59"/>
      <c r="WRO2" s="59"/>
      <c r="WRP2" s="59"/>
      <c r="WRQ2" s="59"/>
      <c r="WRR2" s="59"/>
      <c r="WRS2" s="59"/>
      <c r="WRT2" s="59"/>
      <c r="WRU2" s="59"/>
      <c r="WRV2" s="59"/>
      <c r="WRW2" s="59"/>
      <c r="WRX2" s="59"/>
      <c r="WRY2" s="59"/>
      <c r="WRZ2" s="59"/>
      <c r="WSA2" s="59"/>
      <c r="WSB2" s="59"/>
      <c r="WSC2" s="59"/>
      <c r="WSD2" s="59"/>
      <c r="WSE2" s="59"/>
      <c r="WSF2" s="59"/>
      <c r="WSG2" s="59"/>
      <c r="WSH2" s="59"/>
      <c r="WSI2" s="59"/>
      <c r="WSJ2" s="59"/>
      <c r="WSK2" s="59"/>
      <c r="WSL2" s="59"/>
      <c r="WSM2" s="59"/>
      <c r="WSN2" s="59"/>
      <c r="WSO2" s="59"/>
      <c r="WSP2" s="59"/>
      <c r="WSQ2" s="59"/>
      <c r="WSR2" s="59"/>
      <c r="WSS2" s="59"/>
      <c r="WST2" s="59"/>
      <c r="WSU2" s="59"/>
      <c r="WSV2" s="59"/>
      <c r="WSW2" s="59"/>
      <c r="WSX2" s="59"/>
      <c r="WSY2" s="59"/>
      <c r="WSZ2" s="59"/>
      <c r="WTA2" s="59"/>
      <c r="WTB2" s="59"/>
      <c r="WTC2" s="59"/>
      <c r="WTD2" s="59"/>
      <c r="WTE2" s="59"/>
      <c r="WTF2" s="59"/>
      <c r="WTG2" s="59"/>
      <c r="WTH2" s="59"/>
      <c r="WTI2" s="59"/>
      <c r="WTJ2" s="59"/>
      <c r="WTK2" s="59"/>
      <c r="WTL2" s="59"/>
      <c r="WTM2" s="59"/>
      <c r="WTN2" s="59"/>
      <c r="WTO2" s="59"/>
      <c r="WTP2" s="59"/>
      <c r="WTQ2" s="59"/>
      <c r="WTR2" s="59"/>
      <c r="WTS2" s="59"/>
      <c r="WTT2" s="59"/>
      <c r="WTU2" s="59"/>
      <c r="WTV2" s="59"/>
      <c r="WTW2" s="59"/>
      <c r="WTX2" s="59"/>
      <c r="WTY2" s="59"/>
      <c r="WTZ2" s="59"/>
      <c r="WUA2" s="59"/>
      <c r="WUB2" s="59"/>
      <c r="WUC2" s="59"/>
      <c r="WUD2" s="59"/>
      <c r="WUE2" s="59"/>
      <c r="WUF2" s="59"/>
      <c r="WUG2" s="59"/>
      <c r="WUH2" s="59"/>
      <c r="WUI2" s="59"/>
      <c r="WUJ2" s="59"/>
      <c r="WUK2" s="59"/>
      <c r="WUL2" s="59"/>
      <c r="WUM2" s="59"/>
      <c r="WUN2" s="59"/>
      <c r="WUO2" s="59"/>
      <c r="WUP2" s="59"/>
      <c r="WUQ2" s="59"/>
      <c r="WUR2" s="59"/>
      <c r="WUS2" s="59"/>
      <c r="WUT2" s="59"/>
      <c r="WUU2" s="59"/>
      <c r="WUV2" s="59"/>
      <c r="WUW2" s="59"/>
      <c r="WUX2" s="59"/>
      <c r="WUY2" s="59"/>
      <c r="WUZ2" s="59"/>
      <c r="WVA2" s="59"/>
      <c r="WVB2" s="59"/>
      <c r="WVC2" s="59"/>
      <c r="WVD2" s="59"/>
      <c r="WVE2" s="59"/>
      <c r="WVF2" s="59"/>
      <c r="WVG2" s="59"/>
      <c r="WVH2" s="59"/>
      <c r="WVI2" s="59"/>
      <c r="WVJ2" s="59"/>
      <c r="WVK2" s="59"/>
      <c r="WVL2" s="59"/>
      <c r="WVM2" s="59"/>
      <c r="WVN2" s="59"/>
      <c r="WVO2" s="59"/>
      <c r="WVP2" s="59"/>
      <c r="WVQ2" s="59"/>
      <c r="WVR2" s="59"/>
      <c r="WVS2" s="59"/>
      <c r="WVT2" s="59"/>
      <c r="WVU2" s="59"/>
      <c r="WVV2" s="59"/>
      <c r="WVW2" s="59"/>
      <c r="WVX2" s="59"/>
      <c r="WVY2" s="59"/>
      <c r="WVZ2" s="59"/>
      <c r="WWA2" s="59"/>
      <c r="WWB2" s="59"/>
      <c r="WWC2" s="59"/>
      <c r="WWD2" s="59"/>
      <c r="WWE2" s="59"/>
      <c r="WWF2" s="59"/>
      <c r="WWG2" s="59"/>
      <c r="WWH2" s="59"/>
      <c r="WWI2" s="59"/>
      <c r="WWJ2" s="59"/>
      <c r="WWK2" s="59"/>
      <c r="WWL2" s="59"/>
      <c r="WWM2" s="59"/>
      <c r="WWN2" s="59"/>
      <c r="WWO2" s="59"/>
      <c r="WWP2" s="59"/>
      <c r="WWQ2" s="59"/>
      <c r="WWR2" s="59"/>
      <c r="WWS2" s="59"/>
      <c r="WWT2" s="59"/>
      <c r="WWU2" s="59"/>
      <c r="WWV2" s="59"/>
      <c r="WWW2" s="59"/>
      <c r="WWX2" s="59"/>
      <c r="WWY2" s="59"/>
      <c r="WWZ2" s="59"/>
      <c r="WXA2" s="59"/>
      <c r="WXB2" s="59"/>
      <c r="WXC2" s="59"/>
      <c r="WXD2" s="59"/>
      <c r="WXE2" s="59"/>
      <c r="WXF2" s="59"/>
      <c r="WXG2" s="59"/>
      <c r="WXH2" s="59"/>
      <c r="WXI2" s="59"/>
      <c r="WXJ2" s="59"/>
      <c r="WXK2" s="59"/>
      <c r="WXL2" s="59"/>
      <c r="WXM2" s="59"/>
      <c r="WXN2" s="59"/>
      <c r="WXO2" s="59"/>
      <c r="WXP2" s="59"/>
      <c r="WXQ2" s="59"/>
      <c r="WXR2" s="59"/>
      <c r="WXS2" s="59"/>
      <c r="WXT2" s="59"/>
      <c r="WXU2" s="59"/>
      <c r="WXV2" s="59"/>
      <c r="WXW2" s="59"/>
      <c r="WXX2" s="59"/>
      <c r="WXY2" s="59"/>
      <c r="WXZ2" s="59"/>
      <c r="WYA2" s="59"/>
      <c r="WYB2" s="59"/>
      <c r="WYC2" s="59"/>
      <c r="WYD2" s="59"/>
      <c r="WYE2" s="59"/>
      <c r="WYF2" s="59"/>
      <c r="WYG2" s="59"/>
      <c r="WYH2" s="59"/>
      <c r="WYI2" s="59"/>
      <c r="WYJ2" s="59"/>
      <c r="WYK2" s="59"/>
      <c r="WYL2" s="59"/>
      <c r="WYM2" s="59"/>
      <c r="WYN2" s="59"/>
      <c r="WYO2" s="59"/>
      <c r="WYP2" s="59"/>
      <c r="WYQ2" s="59"/>
      <c r="WYR2" s="59"/>
      <c r="WYS2" s="59"/>
      <c r="WYT2" s="59"/>
      <c r="WYU2" s="59"/>
      <c r="WYV2" s="59"/>
      <c r="WYW2" s="59"/>
      <c r="WYX2" s="59"/>
      <c r="WYY2" s="59"/>
      <c r="WYZ2" s="59"/>
      <c r="WZA2" s="59"/>
      <c r="WZB2" s="59"/>
      <c r="WZC2" s="59"/>
      <c r="WZD2" s="59"/>
      <c r="WZE2" s="59"/>
      <c r="WZF2" s="59"/>
      <c r="WZG2" s="59"/>
      <c r="WZH2" s="59"/>
      <c r="WZI2" s="59"/>
      <c r="WZJ2" s="59"/>
      <c r="WZK2" s="59"/>
      <c r="WZL2" s="59"/>
      <c r="WZM2" s="59"/>
      <c r="WZN2" s="59"/>
      <c r="WZO2" s="59"/>
      <c r="WZP2" s="59"/>
      <c r="WZQ2" s="59"/>
      <c r="WZR2" s="59"/>
      <c r="WZS2" s="59"/>
      <c r="WZT2" s="59"/>
      <c r="WZU2" s="59"/>
      <c r="WZV2" s="59"/>
      <c r="WZW2" s="59"/>
      <c r="WZX2" s="59"/>
      <c r="WZY2" s="59"/>
      <c r="WZZ2" s="59"/>
      <c r="XAA2" s="59"/>
      <c r="XAB2" s="59"/>
      <c r="XAC2" s="59"/>
      <c r="XAD2" s="59"/>
      <c r="XAE2" s="59"/>
      <c r="XAF2" s="59"/>
      <c r="XAG2" s="59"/>
      <c r="XAH2" s="59"/>
      <c r="XAI2" s="59"/>
      <c r="XAJ2" s="59"/>
      <c r="XAK2" s="59"/>
      <c r="XAL2" s="59"/>
      <c r="XAM2" s="59"/>
      <c r="XAN2" s="59"/>
      <c r="XAO2" s="59"/>
      <c r="XAP2" s="59"/>
      <c r="XAQ2" s="59"/>
      <c r="XAR2" s="59"/>
      <c r="XAS2" s="59"/>
      <c r="XAT2" s="59"/>
      <c r="XAU2" s="59"/>
      <c r="XAV2" s="59"/>
      <c r="XAW2" s="59"/>
      <c r="XAX2" s="59"/>
      <c r="XAY2" s="59"/>
      <c r="XAZ2" s="59"/>
      <c r="XBA2" s="59"/>
      <c r="XBB2" s="59"/>
      <c r="XBC2" s="59"/>
      <c r="XBD2" s="59"/>
      <c r="XBE2" s="59"/>
      <c r="XBF2" s="59"/>
      <c r="XBG2" s="59"/>
      <c r="XBH2" s="59"/>
      <c r="XBI2" s="59"/>
      <c r="XBJ2" s="59"/>
      <c r="XBK2" s="59"/>
      <c r="XBL2" s="59"/>
      <c r="XBM2" s="59"/>
      <c r="XBN2" s="59"/>
      <c r="XBO2" s="59"/>
      <c r="XBP2" s="59"/>
      <c r="XBQ2" s="59"/>
      <c r="XBR2" s="59"/>
      <c r="XBS2" s="59"/>
      <c r="XBT2" s="59"/>
      <c r="XBU2" s="59"/>
      <c r="XBV2" s="59"/>
      <c r="XBW2" s="59"/>
      <c r="XBX2" s="59"/>
      <c r="XBY2" s="59"/>
      <c r="XBZ2" s="59"/>
      <c r="XCA2" s="59"/>
      <c r="XCB2" s="59"/>
      <c r="XCC2" s="59"/>
      <c r="XCD2" s="59"/>
      <c r="XCE2" s="59"/>
      <c r="XCF2" s="59"/>
      <c r="XCG2" s="59"/>
      <c r="XCH2" s="59"/>
      <c r="XCI2" s="59"/>
      <c r="XCJ2" s="59"/>
      <c r="XCK2" s="59"/>
      <c r="XCL2" s="59"/>
      <c r="XCM2" s="59"/>
      <c r="XCN2" s="59"/>
      <c r="XCO2" s="59"/>
      <c r="XCP2" s="59"/>
      <c r="XCQ2" s="59"/>
      <c r="XCR2" s="59"/>
      <c r="XCS2" s="59"/>
      <c r="XCT2" s="59"/>
      <c r="XCU2" s="59"/>
      <c r="XCV2" s="59"/>
      <c r="XCW2" s="59"/>
      <c r="XCX2" s="59"/>
      <c r="XCY2" s="59"/>
      <c r="XCZ2" s="59"/>
      <c r="XDA2" s="59"/>
      <c r="XDB2" s="59"/>
      <c r="XDC2" s="59"/>
      <c r="XDD2" s="59"/>
      <c r="XDE2" s="59"/>
      <c r="XDF2" s="59"/>
      <c r="XDG2" s="59"/>
      <c r="XDH2" s="59"/>
      <c r="XDI2" s="59"/>
      <c r="XDJ2" s="59"/>
      <c r="XDK2" s="59"/>
      <c r="XDL2" s="59"/>
      <c r="XDM2" s="59"/>
      <c r="XDN2" s="59"/>
      <c r="XDO2" s="59"/>
      <c r="XDP2" s="59"/>
      <c r="XDQ2" s="59"/>
      <c r="XDR2" s="59"/>
      <c r="XDS2" s="59"/>
      <c r="XDT2" s="59"/>
      <c r="XDU2" s="59"/>
      <c r="XDV2" s="59"/>
      <c r="XDW2" s="59"/>
      <c r="XDX2" s="59"/>
      <c r="XDY2" s="59"/>
      <c r="XDZ2" s="59"/>
      <c r="XEA2" s="59"/>
      <c r="XEB2" s="59"/>
      <c r="XEC2" s="59"/>
      <c r="XED2" s="59"/>
      <c r="XEE2" s="59"/>
      <c r="XEF2" s="59"/>
      <c r="XEG2" s="59"/>
      <c r="XEH2" s="59"/>
      <c r="XEI2" s="59"/>
      <c r="XEJ2" s="59"/>
      <c r="XEK2" s="59"/>
      <c r="XEL2" s="59"/>
      <c r="XEM2" s="59"/>
      <c r="XEN2" s="59"/>
      <c r="XEO2" s="59"/>
      <c r="XEP2" s="59"/>
      <c r="XEQ2" s="59"/>
      <c r="XER2" s="59"/>
      <c r="XES2" s="59"/>
      <c r="XET2" s="59"/>
      <c r="XEU2" s="59"/>
      <c r="XEV2" s="59"/>
      <c r="XEW2" s="59"/>
      <c r="XEX2" s="59"/>
      <c r="XEY2" s="59"/>
      <c r="XEZ2" s="59"/>
      <c r="XFA2" s="59"/>
      <c r="XFB2" s="59"/>
      <c r="XFC2" s="59"/>
      <c r="XFD2" s="59"/>
    </row>
    <row r="3" spans="1:16384" s="126" customFormat="1" x14ac:dyDescent="0.2">
      <c r="A3" s="59"/>
      <c r="B3" s="59">
        <f>start</f>
        <v>40817</v>
      </c>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BK3" s="59"/>
      <c r="BL3" s="59"/>
      <c r="BM3" s="59"/>
      <c r="BN3" s="59"/>
      <c r="BO3" s="59"/>
      <c r="BP3" s="59"/>
      <c r="BQ3" s="59"/>
      <c r="BR3" s="59"/>
      <c r="BS3" s="59"/>
      <c r="BT3" s="59"/>
      <c r="BU3" s="59"/>
      <c r="BV3" s="59"/>
      <c r="BW3" s="59"/>
      <c r="BX3" s="59"/>
      <c r="BY3" s="59"/>
      <c r="BZ3" s="59"/>
      <c r="CA3" s="59"/>
      <c r="CB3" s="59"/>
      <c r="CC3" s="59"/>
      <c r="CD3" s="59"/>
      <c r="CE3" s="59"/>
      <c r="CF3" s="59"/>
      <c r="CG3" s="59"/>
      <c r="CH3" s="59"/>
      <c r="CI3" s="59"/>
      <c r="CJ3" s="59"/>
      <c r="CK3" s="59"/>
      <c r="CL3" s="59"/>
      <c r="CM3" s="59"/>
      <c r="CN3" s="59"/>
      <c r="CO3" s="59"/>
      <c r="CP3" s="59"/>
      <c r="CQ3" s="59"/>
      <c r="CR3" s="59"/>
      <c r="CS3" s="59"/>
      <c r="CT3" s="59"/>
      <c r="CU3" s="59"/>
      <c r="CV3" s="59"/>
      <c r="CW3" s="59"/>
      <c r="CX3" s="59"/>
      <c r="CY3" s="59"/>
      <c r="CZ3" s="59"/>
      <c r="DA3" s="59"/>
      <c r="DB3" s="59"/>
      <c r="DC3" s="59"/>
      <c r="DD3" s="59"/>
      <c r="DE3" s="59"/>
      <c r="DF3" s="59"/>
      <c r="DG3" s="59"/>
      <c r="DH3" s="59"/>
      <c r="DI3" s="59"/>
      <c r="DJ3" s="59"/>
      <c r="DK3" s="59"/>
      <c r="DL3" s="59"/>
      <c r="DM3" s="59"/>
      <c r="DN3" s="59"/>
      <c r="DO3" s="59"/>
      <c r="DP3" s="59"/>
      <c r="DQ3" s="59"/>
      <c r="DR3" s="59"/>
      <c r="DS3" s="59"/>
      <c r="DT3" s="59"/>
      <c r="DU3" s="59"/>
      <c r="DV3" s="59"/>
      <c r="DW3" s="59"/>
      <c r="DX3" s="59"/>
      <c r="DY3" s="59"/>
      <c r="DZ3" s="59"/>
      <c r="EA3" s="59"/>
      <c r="EB3" s="59"/>
      <c r="EC3" s="59"/>
      <c r="ED3" s="59"/>
      <c r="EE3" s="59"/>
      <c r="EF3" s="59"/>
      <c r="EG3" s="59"/>
      <c r="EH3" s="59"/>
      <c r="EI3" s="59"/>
      <c r="EJ3" s="59"/>
      <c r="EK3" s="59"/>
      <c r="EL3" s="59"/>
      <c r="EM3" s="59"/>
      <c r="EN3" s="59"/>
      <c r="EO3" s="59"/>
      <c r="EP3" s="59"/>
      <c r="EQ3" s="59"/>
      <c r="ER3" s="59"/>
      <c r="ES3" s="59"/>
      <c r="ET3" s="59"/>
      <c r="EU3" s="59"/>
      <c r="EV3" s="59"/>
      <c r="EW3" s="59"/>
      <c r="EX3" s="59"/>
      <c r="EY3" s="59"/>
      <c r="EZ3" s="59"/>
      <c r="FA3" s="59"/>
      <c r="FB3" s="59"/>
      <c r="FC3" s="59"/>
      <c r="FD3" s="59"/>
      <c r="FE3" s="59"/>
      <c r="FF3" s="59"/>
      <c r="FG3" s="59"/>
      <c r="FH3" s="59"/>
      <c r="FI3" s="59"/>
      <c r="FJ3" s="59"/>
      <c r="FK3" s="59"/>
      <c r="FL3" s="59"/>
      <c r="FM3" s="59"/>
      <c r="FN3" s="59"/>
      <c r="FO3" s="59"/>
      <c r="FP3" s="59"/>
      <c r="FQ3" s="59"/>
      <c r="FR3" s="59"/>
      <c r="FS3" s="59"/>
      <c r="FT3" s="59"/>
      <c r="FU3" s="59"/>
      <c r="FV3" s="59"/>
      <c r="FW3" s="59"/>
      <c r="FX3" s="59"/>
      <c r="FY3" s="59"/>
      <c r="FZ3" s="59"/>
      <c r="GA3" s="59"/>
      <c r="GB3" s="59"/>
      <c r="GC3" s="59"/>
      <c r="GD3" s="59"/>
      <c r="GE3" s="59"/>
      <c r="GF3" s="59"/>
      <c r="GG3" s="59"/>
      <c r="GH3" s="59"/>
      <c r="GI3" s="59"/>
      <c r="GJ3" s="59"/>
      <c r="GK3" s="59"/>
      <c r="GL3" s="59"/>
      <c r="GM3" s="59"/>
      <c r="GN3" s="59"/>
      <c r="GO3" s="59"/>
      <c r="GP3" s="59"/>
      <c r="GQ3" s="59"/>
      <c r="GR3" s="59"/>
      <c r="GS3" s="59"/>
      <c r="GT3" s="59"/>
      <c r="GU3" s="59"/>
      <c r="GV3" s="59"/>
      <c r="GW3" s="59"/>
      <c r="GX3" s="59"/>
      <c r="GY3" s="59"/>
      <c r="GZ3" s="59"/>
      <c r="HA3" s="59"/>
      <c r="HB3" s="59"/>
      <c r="HC3" s="59"/>
      <c r="HD3" s="59"/>
      <c r="HE3" s="59"/>
      <c r="HF3" s="59"/>
      <c r="HG3" s="59"/>
      <c r="HH3" s="59"/>
      <c r="HI3" s="59"/>
      <c r="HJ3" s="59"/>
      <c r="HK3" s="59"/>
      <c r="HL3" s="59"/>
      <c r="HM3" s="59"/>
      <c r="HN3" s="59"/>
      <c r="HO3" s="59"/>
      <c r="HP3" s="59"/>
      <c r="HQ3" s="59"/>
      <c r="HR3" s="59"/>
      <c r="HS3" s="59"/>
      <c r="HT3" s="59"/>
      <c r="HU3" s="59"/>
      <c r="HV3" s="59"/>
      <c r="HW3" s="59"/>
      <c r="HX3" s="59"/>
      <c r="HY3" s="59"/>
      <c r="HZ3" s="59"/>
      <c r="IA3" s="59"/>
      <c r="IB3" s="59"/>
      <c r="IC3" s="59"/>
      <c r="ID3" s="59"/>
      <c r="IE3" s="59"/>
      <c r="IF3" s="59"/>
      <c r="IG3" s="59"/>
      <c r="IH3" s="59"/>
      <c r="II3" s="59"/>
      <c r="IJ3" s="59"/>
      <c r="IK3" s="59"/>
      <c r="IL3" s="59"/>
      <c r="IM3" s="59"/>
      <c r="IN3" s="59"/>
      <c r="IO3" s="59"/>
      <c r="IP3" s="59"/>
      <c r="IQ3" s="59"/>
      <c r="IR3" s="59"/>
      <c r="IS3" s="59"/>
      <c r="IT3" s="59"/>
      <c r="IU3" s="59"/>
      <c r="IV3" s="59"/>
      <c r="IW3" s="59"/>
      <c r="IX3" s="59"/>
      <c r="IY3" s="59"/>
      <c r="IZ3" s="59"/>
      <c r="JA3" s="59"/>
      <c r="JB3" s="59"/>
      <c r="JC3" s="59"/>
      <c r="JD3" s="59"/>
      <c r="JE3" s="59"/>
      <c r="JF3" s="59"/>
      <c r="JG3" s="59"/>
      <c r="JH3" s="59"/>
      <c r="JI3" s="59"/>
      <c r="JJ3" s="59"/>
      <c r="JK3" s="59"/>
      <c r="JL3" s="59"/>
      <c r="JM3" s="59"/>
      <c r="JN3" s="59"/>
      <c r="JO3" s="59"/>
      <c r="JP3" s="59"/>
      <c r="JQ3" s="59"/>
      <c r="JR3" s="59"/>
      <c r="JS3" s="59"/>
      <c r="JT3" s="59"/>
      <c r="JU3" s="59"/>
      <c r="JV3" s="59"/>
      <c r="JW3" s="59"/>
      <c r="JX3" s="59"/>
      <c r="JY3" s="59"/>
      <c r="JZ3" s="59"/>
      <c r="KA3" s="59"/>
      <c r="KB3" s="59"/>
      <c r="KC3" s="59"/>
      <c r="KD3" s="59"/>
      <c r="KE3" s="59"/>
      <c r="KF3" s="59"/>
      <c r="KG3" s="59"/>
      <c r="KH3" s="59"/>
      <c r="KI3" s="59"/>
      <c r="KJ3" s="59"/>
      <c r="KK3" s="59"/>
      <c r="KL3" s="59"/>
      <c r="KM3" s="59"/>
      <c r="KN3" s="59"/>
      <c r="KO3" s="59"/>
      <c r="KP3" s="59"/>
      <c r="KQ3" s="59"/>
      <c r="KR3" s="59"/>
      <c r="KS3" s="59"/>
      <c r="KT3" s="59"/>
      <c r="KU3" s="59"/>
      <c r="KV3" s="59"/>
      <c r="KW3" s="59"/>
      <c r="KX3" s="59"/>
      <c r="KY3" s="59"/>
      <c r="KZ3" s="59"/>
      <c r="LA3" s="59"/>
      <c r="LB3" s="59"/>
      <c r="LC3" s="59"/>
      <c r="LD3" s="59"/>
      <c r="LE3" s="59"/>
      <c r="LF3" s="59"/>
      <c r="LG3" s="59"/>
      <c r="LH3" s="59"/>
      <c r="LI3" s="59"/>
      <c r="LJ3" s="59"/>
      <c r="LK3" s="59"/>
      <c r="LL3" s="59"/>
      <c r="LM3" s="59"/>
      <c r="LN3" s="59"/>
      <c r="LO3" s="59"/>
      <c r="LP3" s="59"/>
      <c r="LQ3" s="59"/>
      <c r="LR3" s="59"/>
      <c r="LS3" s="59"/>
      <c r="LT3" s="59"/>
      <c r="LU3" s="59"/>
      <c r="LV3" s="59"/>
      <c r="LW3" s="59"/>
      <c r="LX3" s="59"/>
      <c r="LY3" s="59"/>
      <c r="LZ3" s="59"/>
      <c r="MA3" s="59"/>
      <c r="MB3" s="59"/>
      <c r="MC3" s="59"/>
      <c r="MD3" s="59"/>
      <c r="ME3" s="59"/>
      <c r="MF3" s="59"/>
      <c r="MG3" s="59"/>
      <c r="MH3" s="59"/>
      <c r="MI3" s="59"/>
      <c r="MJ3" s="59"/>
      <c r="MK3" s="59"/>
      <c r="ML3" s="59"/>
      <c r="MM3" s="59"/>
      <c r="MN3" s="59"/>
      <c r="MO3" s="59"/>
      <c r="MP3" s="59"/>
      <c r="MQ3" s="59"/>
      <c r="MR3" s="59"/>
      <c r="MS3" s="59"/>
      <c r="MT3" s="59"/>
      <c r="MU3" s="59"/>
      <c r="MV3" s="59"/>
      <c r="MW3" s="59"/>
      <c r="MX3" s="59"/>
      <c r="MY3" s="59"/>
      <c r="MZ3" s="59"/>
      <c r="NA3" s="59"/>
      <c r="NB3" s="59"/>
      <c r="NC3" s="59"/>
      <c r="ND3" s="59"/>
      <c r="NE3" s="59"/>
      <c r="NF3" s="59"/>
      <c r="NG3" s="59"/>
      <c r="NH3" s="59"/>
      <c r="NI3" s="59"/>
      <c r="NJ3" s="59"/>
      <c r="NK3" s="59"/>
      <c r="NL3" s="59"/>
      <c r="NM3" s="59"/>
      <c r="NN3" s="59"/>
      <c r="NO3" s="59"/>
      <c r="NP3" s="59"/>
      <c r="NQ3" s="59"/>
      <c r="NR3" s="59"/>
      <c r="NS3" s="59"/>
      <c r="NT3" s="59"/>
      <c r="NU3" s="59"/>
      <c r="NV3" s="59"/>
      <c r="NW3" s="59"/>
      <c r="NX3" s="59"/>
      <c r="NY3" s="59"/>
      <c r="NZ3" s="59"/>
      <c r="OA3" s="59"/>
      <c r="OB3" s="59"/>
      <c r="OC3" s="59"/>
      <c r="OD3" s="59"/>
      <c r="OE3" s="59"/>
      <c r="OF3" s="59"/>
      <c r="OG3" s="59"/>
      <c r="OH3" s="59"/>
      <c r="OI3" s="59"/>
      <c r="OJ3" s="59"/>
      <c r="OK3" s="59"/>
      <c r="OL3" s="59"/>
      <c r="OM3" s="59"/>
      <c r="ON3" s="59"/>
      <c r="OO3" s="59"/>
      <c r="OP3" s="59"/>
      <c r="OQ3" s="59"/>
      <c r="OR3" s="59"/>
      <c r="OS3" s="59"/>
      <c r="OT3" s="59"/>
      <c r="OU3" s="59"/>
      <c r="OV3" s="59"/>
      <c r="OW3" s="59"/>
      <c r="OX3" s="59"/>
      <c r="OY3" s="59"/>
      <c r="OZ3" s="59"/>
      <c r="PA3" s="59"/>
      <c r="PB3" s="59"/>
      <c r="PC3" s="59"/>
      <c r="PD3" s="59"/>
      <c r="PE3" s="59"/>
      <c r="PF3" s="59"/>
      <c r="PG3" s="59"/>
      <c r="PH3" s="59"/>
      <c r="PI3" s="59"/>
      <c r="PJ3" s="59"/>
      <c r="PK3" s="59"/>
      <c r="PL3" s="59"/>
      <c r="PM3" s="59"/>
      <c r="PN3" s="59"/>
      <c r="PO3" s="59"/>
      <c r="PP3" s="59"/>
      <c r="PQ3" s="59"/>
      <c r="PR3" s="59"/>
      <c r="PS3" s="59"/>
      <c r="PT3" s="59"/>
      <c r="PU3" s="59"/>
      <c r="PV3" s="59"/>
      <c r="PW3" s="59"/>
      <c r="PX3" s="59"/>
      <c r="PY3" s="59"/>
      <c r="PZ3" s="59"/>
      <c r="QA3" s="59"/>
      <c r="QB3" s="59"/>
      <c r="QC3" s="59"/>
      <c r="QD3" s="59"/>
      <c r="QE3" s="59"/>
      <c r="QF3" s="59"/>
      <c r="QG3" s="59"/>
      <c r="QH3" s="59"/>
      <c r="QI3" s="59"/>
      <c r="QJ3" s="59"/>
      <c r="QK3" s="59"/>
      <c r="QL3" s="59"/>
      <c r="QM3" s="59"/>
      <c r="QN3" s="59"/>
      <c r="QO3" s="59"/>
      <c r="QP3" s="59"/>
      <c r="QQ3" s="59"/>
      <c r="QR3" s="59"/>
      <c r="QS3" s="59"/>
      <c r="QT3" s="59"/>
      <c r="QU3" s="59"/>
      <c r="QV3" s="59"/>
      <c r="QW3" s="59"/>
      <c r="QX3" s="59"/>
      <c r="QY3" s="59"/>
      <c r="QZ3" s="59"/>
      <c r="RA3" s="59"/>
      <c r="RB3" s="59"/>
      <c r="RC3" s="59"/>
      <c r="RD3" s="59"/>
      <c r="RE3" s="59"/>
      <c r="RF3" s="59"/>
      <c r="RG3" s="59"/>
      <c r="RH3" s="59"/>
      <c r="RI3" s="59"/>
      <c r="RJ3" s="59"/>
      <c r="RK3" s="59"/>
      <c r="RL3" s="59"/>
      <c r="RM3" s="59"/>
      <c r="RN3" s="59"/>
      <c r="RO3" s="59"/>
      <c r="RP3" s="59"/>
      <c r="RQ3" s="59"/>
      <c r="RR3" s="59"/>
      <c r="RS3" s="59"/>
      <c r="RT3" s="59"/>
      <c r="RU3" s="59"/>
      <c r="RV3" s="59"/>
      <c r="RW3" s="59"/>
      <c r="RX3" s="59"/>
      <c r="RY3" s="59"/>
      <c r="RZ3" s="59"/>
      <c r="SA3" s="59"/>
      <c r="SB3" s="59"/>
      <c r="SC3" s="59"/>
      <c r="SD3" s="59"/>
      <c r="SE3" s="59"/>
      <c r="SF3" s="59"/>
      <c r="SG3" s="59"/>
      <c r="SH3" s="59"/>
      <c r="SI3" s="59"/>
      <c r="SJ3" s="59"/>
      <c r="SK3" s="59"/>
      <c r="SL3" s="59"/>
      <c r="SM3" s="59"/>
      <c r="SN3" s="59"/>
      <c r="SO3" s="59"/>
      <c r="SP3" s="59"/>
      <c r="SQ3" s="59"/>
      <c r="SR3" s="59"/>
      <c r="SS3" s="59"/>
      <c r="ST3" s="59"/>
      <c r="SU3" s="59"/>
      <c r="SV3" s="59"/>
      <c r="SW3" s="59"/>
      <c r="SX3" s="59"/>
      <c r="SY3" s="59"/>
      <c r="SZ3" s="59"/>
      <c r="TA3" s="59"/>
      <c r="TB3" s="59"/>
      <c r="TC3" s="59"/>
      <c r="TD3" s="59"/>
      <c r="TE3" s="59"/>
      <c r="TF3" s="59"/>
      <c r="TG3" s="59"/>
      <c r="TH3" s="59"/>
      <c r="TI3" s="59"/>
      <c r="TJ3" s="59"/>
      <c r="TK3" s="59"/>
      <c r="TL3" s="59"/>
      <c r="TM3" s="59"/>
      <c r="TN3" s="59"/>
      <c r="TO3" s="59"/>
      <c r="TP3" s="59"/>
      <c r="TQ3" s="59"/>
      <c r="TR3" s="59"/>
      <c r="TS3" s="59"/>
      <c r="TT3" s="59"/>
      <c r="TU3" s="59"/>
      <c r="TV3" s="59"/>
      <c r="TW3" s="59"/>
      <c r="TX3" s="59"/>
      <c r="TY3" s="59"/>
      <c r="TZ3" s="59"/>
      <c r="UA3" s="59"/>
      <c r="UB3" s="59"/>
      <c r="UC3" s="59"/>
      <c r="UD3" s="59"/>
      <c r="UE3" s="59"/>
      <c r="UF3" s="59"/>
      <c r="UG3" s="59"/>
      <c r="UH3" s="59"/>
      <c r="UI3" s="59"/>
      <c r="UJ3" s="59"/>
      <c r="UK3" s="59"/>
      <c r="UL3" s="59"/>
      <c r="UM3" s="59"/>
      <c r="UN3" s="59"/>
      <c r="UO3" s="59"/>
      <c r="UP3" s="59"/>
      <c r="UQ3" s="59"/>
      <c r="UR3" s="59"/>
      <c r="US3" s="59"/>
      <c r="UT3" s="59"/>
      <c r="UU3" s="59"/>
      <c r="UV3" s="59"/>
      <c r="UW3" s="59"/>
      <c r="UX3" s="59"/>
      <c r="UY3" s="59"/>
      <c r="UZ3" s="59"/>
      <c r="VA3" s="59"/>
      <c r="VB3" s="59"/>
      <c r="VC3" s="59"/>
      <c r="VD3" s="59"/>
      <c r="VE3" s="59"/>
      <c r="VF3" s="59"/>
      <c r="VG3" s="59"/>
      <c r="VH3" s="59"/>
      <c r="VI3" s="59"/>
      <c r="VJ3" s="59"/>
      <c r="VK3" s="59"/>
      <c r="VL3" s="59"/>
      <c r="VM3" s="59"/>
      <c r="VN3" s="59"/>
      <c r="VO3" s="59"/>
      <c r="VP3" s="59"/>
      <c r="VQ3" s="59"/>
      <c r="VR3" s="59"/>
      <c r="VS3" s="59"/>
      <c r="VT3" s="59"/>
      <c r="VU3" s="59"/>
      <c r="VV3" s="59"/>
      <c r="VW3" s="59"/>
      <c r="VX3" s="59"/>
      <c r="VY3" s="59"/>
      <c r="VZ3" s="59"/>
      <c r="WA3" s="59"/>
      <c r="WB3" s="59"/>
      <c r="WC3" s="59"/>
      <c r="WD3" s="59"/>
      <c r="WE3" s="59"/>
      <c r="WF3" s="59"/>
      <c r="WG3" s="59"/>
      <c r="WH3" s="59"/>
      <c r="WI3" s="59"/>
      <c r="WJ3" s="59"/>
      <c r="WK3" s="59"/>
      <c r="WL3" s="59"/>
      <c r="WM3" s="59"/>
      <c r="WN3" s="59"/>
      <c r="WO3" s="59"/>
      <c r="WP3" s="59"/>
      <c r="WQ3" s="59"/>
      <c r="WR3" s="59"/>
      <c r="WS3" s="59"/>
      <c r="WT3" s="59"/>
      <c r="WU3" s="59"/>
      <c r="WV3" s="59"/>
      <c r="WW3" s="59"/>
      <c r="WX3" s="59"/>
      <c r="WY3" s="59"/>
      <c r="WZ3" s="59"/>
      <c r="XA3" s="59"/>
      <c r="XB3" s="59"/>
      <c r="XC3" s="59"/>
      <c r="XD3" s="59"/>
      <c r="XE3" s="59"/>
      <c r="XF3" s="59"/>
      <c r="XG3" s="59"/>
      <c r="XH3" s="59"/>
      <c r="XI3" s="59"/>
      <c r="XJ3" s="59"/>
      <c r="XK3" s="59"/>
      <c r="XL3" s="59"/>
      <c r="XM3" s="59"/>
      <c r="XN3" s="59"/>
      <c r="XO3" s="59"/>
      <c r="XP3" s="59"/>
      <c r="XQ3" s="59"/>
      <c r="XR3" s="59"/>
      <c r="XS3" s="59"/>
      <c r="XT3" s="59"/>
      <c r="XU3" s="59"/>
      <c r="XV3" s="59"/>
      <c r="XW3" s="59"/>
      <c r="XX3" s="59"/>
      <c r="XY3" s="59"/>
      <c r="XZ3" s="59"/>
      <c r="YA3" s="59"/>
      <c r="YB3" s="59"/>
      <c r="YC3" s="59"/>
      <c r="YD3" s="59"/>
      <c r="YE3" s="59"/>
      <c r="YF3" s="59"/>
      <c r="YG3" s="59"/>
      <c r="YH3" s="59"/>
      <c r="YI3" s="59"/>
      <c r="YJ3" s="59"/>
      <c r="YK3" s="59"/>
      <c r="YL3" s="59"/>
      <c r="YM3" s="59"/>
      <c r="YN3" s="59"/>
      <c r="YO3" s="59"/>
      <c r="YP3" s="59"/>
      <c r="YQ3" s="59"/>
      <c r="YR3" s="59"/>
      <c r="YS3" s="59"/>
      <c r="YT3" s="59"/>
      <c r="YU3" s="59"/>
      <c r="YV3" s="59"/>
      <c r="YW3" s="59"/>
      <c r="YX3" s="59"/>
      <c r="YY3" s="59"/>
      <c r="YZ3" s="59"/>
      <c r="ZA3" s="59"/>
      <c r="ZB3" s="59"/>
      <c r="ZC3" s="59"/>
      <c r="ZD3" s="59"/>
      <c r="ZE3" s="59"/>
      <c r="ZF3" s="59"/>
      <c r="ZG3" s="59"/>
      <c r="ZH3" s="59"/>
      <c r="ZI3" s="59"/>
      <c r="ZJ3" s="59"/>
      <c r="ZK3" s="59"/>
      <c r="ZL3" s="59"/>
      <c r="ZM3" s="59"/>
      <c r="ZN3" s="59"/>
      <c r="ZO3" s="59"/>
      <c r="ZP3" s="59"/>
      <c r="ZQ3" s="59"/>
      <c r="ZR3" s="59"/>
      <c r="ZS3" s="59"/>
      <c r="ZT3" s="59"/>
      <c r="ZU3" s="59"/>
      <c r="ZV3" s="59"/>
      <c r="ZW3" s="59"/>
      <c r="ZX3" s="59"/>
      <c r="ZY3" s="59"/>
      <c r="ZZ3" s="59"/>
      <c r="AAA3" s="59"/>
      <c r="AAB3" s="59"/>
      <c r="AAC3" s="59"/>
      <c r="AAD3" s="59"/>
      <c r="AAE3" s="59"/>
      <c r="AAF3" s="59"/>
      <c r="AAG3" s="59"/>
      <c r="AAH3" s="59"/>
      <c r="AAI3" s="59"/>
      <c r="AAJ3" s="59"/>
      <c r="AAK3" s="59"/>
      <c r="AAL3" s="59"/>
      <c r="AAM3" s="59"/>
      <c r="AAN3" s="59"/>
      <c r="AAO3" s="59"/>
      <c r="AAP3" s="59"/>
      <c r="AAQ3" s="59"/>
      <c r="AAR3" s="59"/>
      <c r="AAS3" s="59"/>
      <c r="AAT3" s="59"/>
      <c r="AAU3" s="59"/>
      <c r="AAV3" s="59"/>
      <c r="AAW3" s="59"/>
      <c r="AAX3" s="59"/>
      <c r="AAY3" s="59"/>
      <c r="AAZ3" s="59"/>
      <c r="ABA3" s="59"/>
      <c r="ABB3" s="59"/>
      <c r="ABC3" s="59"/>
      <c r="ABD3" s="59"/>
      <c r="ABE3" s="59"/>
      <c r="ABF3" s="59"/>
      <c r="ABG3" s="59"/>
      <c r="ABH3" s="59"/>
      <c r="ABI3" s="59"/>
      <c r="ABJ3" s="59"/>
      <c r="ABK3" s="59"/>
      <c r="ABL3" s="59"/>
      <c r="ABM3" s="59"/>
      <c r="ABN3" s="59"/>
      <c r="ABO3" s="59"/>
      <c r="ABP3" s="59"/>
      <c r="ABQ3" s="59"/>
      <c r="ABR3" s="59"/>
      <c r="ABS3" s="59"/>
      <c r="ABT3" s="59"/>
      <c r="ABU3" s="59"/>
      <c r="ABV3" s="59"/>
      <c r="ABW3" s="59"/>
      <c r="ABX3" s="59"/>
      <c r="ABY3" s="59"/>
      <c r="ABZ3" s="59"/>
      <c r="ACA3" s="59"/>
      <c r="ACB3" s="59"/>
      <c r="ACC3" s="59"/>
      <c r="ACD3" s="59"/>
      <c r="ACE3" s="59"/>
      <c r="ACF3" s="59"/>
      <c r="ACG3" s="59"/>
      <c r="ACH3" s="59"/>
      <c r="ACI3" s="59"/>
      <c r="ACJ3" s="59"/>
      <c r="ACK3" s="59"/>
      <c r="ACL3" s="59"/>
      <c r="ACM3" s="59"/>
      <c r="ACN3" s="59"/>
      <c r="ACO3" s="59"/>
      <c r="ACP3" s="59"/>
      <c r="ACQ3" s="59"/>
      <c r="ACR3" s="59"/>
      <c r="ACS3" s="59"/>
      <c r="ACT3" s="59"/>
      <c r="ACU3" s="59"/>
      <c r="ACV3" s="59"/>
      <c r="ACW3" s="59"/>
      <c r="ACX3" s="59"/>
      <c r="ACY3" s="59"/>
      <c r="ACZ3" s="59"/>
      <c r="ADA3" s="59"/>
      <c r="ADB3" s="59"/>
      <c r="ADC3" s="59"/>
      <c r="ADD3" s="59"/>
      <c r="ADE3" s="59"/>
      <c r="ADF3" s="59"/>
      <c r="ADG3" s="59"/>
      <c r="ADH3" s="59"/>
      <c r="ADI3" s="59"/>
      <c r="ADJ3" s="59"/>
      <c r="ADK3" s="59"/>
      <c r="ADL3" s="59"/>
      <c r="ADM3" s="59"/>
      <c r="ADN3" s="59"/>
      <c r="ADO3" s="59"/>
      <c r="ADP3" s="59"/>
      <c r="ADQ3" s="59"/>
      <c r="ADR3" s="59"/>
      <c r="ADS3" s="59"/>
      <c r="ADT3" s="59"/>
      <c r="ADU3" s="59"/>
      <c r="ADV3" s="59"/>
      <c r="ADW3" s="59"/>
      <c r="ADX3" s="59"/>
      <c r="ADY3" s="59"/>
      <c r="ADZ3" s="59"/>
      <c r="AEA3" s="59"/>
      <c r="AEB3" s="59"/>
      <c r="AEC3" s="59"/>
      <c r="AED3" s="59"/>
      <c r="AEE3" s="59"/>
      <c r="AEF3" s="59"/>
      <c r="AEG3" s="59"/>
      <c r="AEH3" s="59"/>
      <c r="AEI3" s="59"/>
      <c r="AEJ3" s="59"/>
      <c r="AEK3" s="59"/>
      <c r="AEL3" s="59"/>
      <c r="AEM3" s="59"/>
      <c r="AEN3" s="59"/>
      <c r="AEO3" s="59"/>
      <c r="AEP3" s="59"/>
      <c r="AEQ3" s="59"/>
      <c r="AER3" s="59"/>
      <c r="AES3" s="59"/>
      <c r="AET3" s="59"/>
      <c r="AEU3" s="59"/>
      <c r="AEV3" s="59"/>
      <c r="AEW3" s="59"/>
      <c r="AEX3" s="59"/>
      <c r="AEY3" s="59"/>
      <c r="AEZ3" s="59"/>
      <c r="AFA3" s="59"/>
      <c r="AFB3" s="59"/>
      <c r="AFC3" s="59"/>
      <c r="AFD3" s="59"/>
      <c r="AFE3" s="59"/>
      <c r="AFF3" s="59"/>
      <c r="AFG3" s="59"/>
      <c r="AFH3" s="59"/>
      <c r="AFI3" s="59"/>
      <c r="AFJ3" s="59"/>
      <c r="AFK3" s="59"/>
      <c r="AFL3" s="59"/>
      <c r="AFM3" s="59"/>
      <c r="AFN3" s="59"/>
      <c r="AFO3" s="59"/>
      <c r="AFP3" s="59"/>
      <c r="AFQ3" s="59"/>
      <c r="AFR3" s="59"/>
      <c r="AFS3" s="59"/>
      <c r="AFT3" s="59"/>
      <c r="AFU3" s="59"/>
      <c r="AFV3" s="59"/>
      <c r="AFW3" s="59"/>
      <c r="AFX3" s="59"/>
      <c r="AFY3" s="59"/>
      <c r="AFZ3" s="59"/>
      <c r="AGA3" s="59"/>
      <c r="AGB3" s="59"/>
      <c r="AGC3" s="59"/>
      <c r="AGD3" s="59"/>
      <c r="AGE3" s="59"/>
      <c r="AGF3" s="59"/>
      <c r="AGG3" s="59"/>
      <c r="AGH3" s="59"/>
      <c r="AGI3" s="59"/>
      <c r="AGJ3" s="59"/>
      <c r="AGK3" s="59"/>
      <c r="AGL3" s="59"/>
      <c r="AGM3" s="59"/>
      <c r="AGN3" s="59"/>
      <c r="AGO3" s="59"/>
      <c r="AGP3" s="59"/>
      <c r="AGQ3" s="59"/>
      <c r="AGR3" s="59"/>
      <c r="AGS3" s="59"/>
      <c r="AGT3" s="59"/>
      <c r="AGU3" s="59"/>
      <c r="AGV3" s="59"/>
      <c r="AGW3" s="59"/>
      <c r="AGX3" s="59"/>
      <c r="AGY3" s="59"/>
      <c r="AGZ3" s="59"/>
      <c r="AHA3" s="59"/>
      <c r="AHB3" s="59"/>
      <c r="AHC3" s="59"/>
      <c r="AHD3" s="59"/>
      <c r="AHE3" s="59"/>
      <c r="AHF3" s="59"/>
      <c r="AHG3" s="59"/>
      <c r="AHH3" s="59"/>
      <c r="AHI3" s="59"/>
      <c r="AHJ3" s="59"/>
      <c r="AHK3" s="59"/>
      <c r="AHL3" s="59"/>
      <c r="AHM3" s="59"/>
      <c r="AHN3" s="59"/>
      <c r="AHO3" s="59"/>
      <c r="AHP3" s="59"/>
      <c r="AHQ3" s="59"/>
      <c r="AHR3" s="59"/>
      <c r="AHS3" s="59"/>
      <c r="AHT3" s="59"/>
      <c r="AHU3" s="59"/>
      <c r="AHV3" s="59"/>
      <c r="AHW3" s="59"/>
      <c r="AHX3" s="59"/>
      <c r="AHY3" s="59"/>
      <c r="AHZ3" s="59"/>
      <c r="AIA3" s="59"/>
      <c r="AIB3" s="59"/>
      <c r="AIC3" s="59"/>
      <c r="AID3" s="59"/>
      <c r="AIE3" s="59"/>
      <c r="AIF3" s="59"/>
      <c r="AIG3" s="59"/>
      <c r="AIH3" s="59"/>
      <c r="AII3" s="59"/>
      <c r="AIJ3" s="59"/>
      <c r="AIK3" s="59"/>
      <c r="AIL3" s="59"/>
      <c r="AIM3" s="59"/>
      <c r="AIN3" s="59"/>
      <c r="AIO3" s="59"/>
      <c r="AIP3" s="59"/>
      <c r="AIQ3" s="59"/>
      <c r="AIR3" s="59"/>
      <c r="AIS3" s="59"/>
      <c r="AIT3" s="59"/>
      <c r="AIU3" s="59"/>
      <c r="AIV3" s="59"/>
      <c r="AIW3" s="59"/>
      <c r="AIX3" s="59"/>
      <c r="AIY3" s="59"/>
      <c r="AIZ3" s="59"/>
      <c r="AJA3" s="59"/>
      <c r="AJB3" s="59"/>
      <c r="AJC3" s="59"/>
      <c r="AJD3" s="59"/>
      <c r="AJE3" s="59"/>
      <c r="AJF3" s="59"/>
      <c r="AJG3" s="59"/>
      <c r="AJH3" s="59"/>
      <c r="AJI3" s="59"/>
      <c r="AJJ3" s="59"/>
      <c r="AJK3" s="59"/>
      <c r="AJL3" s="59"/>
      <c r="AJM3" s="59"/>
      <c r="AJN3" s="59"/>
      <c r="AJO3" s="59"/>
      <c r="AJP3" s="59"/>
      <c r="AJQ3" s="59"/>
      <c r="AJR3" s="59"/>
      <c r="AJS3" s="59"/>
      <c r="AJT3" s="59"/>
      <c r="AJU3" s="59"/>
      <c r="AJV3" s="59"/>
      <c r="AJW3" s="59"/>
      <c r="AJX3" s="59"/>
      <c r="AJY3" s="59"/>
      <c r="AJZ3" s="59"/>
      <c r="AKA3" s="59"/>
      <c r="AKB3" s="59"/>
      <c r="AKC3" s="59"/>
      <c r="AKD3" s="59"/>
      <c r="AKE3" s="59"/>
      <c r="AKF3" s="59"/>
      <c r="AKG3" s="59"/>
      <c r="AKH3" s="59"/>
      <c r="AKI3" s="59"/>
      <c r="AKJ3" s="59"/>
      <c r="AKK3" s="59"/>
      <c r="AKL3" s="59"/>
      <c r="AKM3" s="59"/>
      <c r="AKN3" s="59"/>
      <c r="AKO3" s="59"/>
      <c r="AKP3" s="59"/>
      <c r="AKQ3" s="59"/>
      <c r="AKR3" s="59"/>
      <c r="AKS3" s="59"/>
      <c r="AKT3" s="59"/>
      <c r="AKU3" s="59"/>
      <c r="AKV3" s="59"/>
      <c r="AKW3" s="59"/>
      <c r="AKX3" s="59"/>
      <c r="AKY3" s="59"/>
      <c r="AKZ3" s="59"/>
      <c r="ALA3" s="59"/>
      <c r="ALB3" s="59"/>
      <c r="ALC3" s="59"/>
      <c r="ALD3" s="59"/>
      <c r="ALE3" s="59"/>
      <c r="ALF3" s="59"/>
      <c r="ALG3" s="59"/>
      <c r="ALH3" s="59"/>
      <c r="ALI3" s="59"/>
      <c r="ALJ3" s="59"/>
      <c r="ALK3" s="59"/>
      <c r="ALL3" s="59"/>
      <c r="ALM3" s="59"/>
      <c r="ALN3" s="59"/>
      <c r="ALO3" s="59"/>
      <c r="ALP3" s="59"/>
      <c r="ALQ3" s="59"/>
      <c r="ALR3" s="59"/>
      <c r="ALS3" s="59"/>
      <c r="ALT3" s="59"/>
      <c r="ALU3" s="59"/>
      <c r="ALV3" s="59"/>
      <c r="ALW3" s="59"/>
      <c r="ALX3" s="59"/>
      <c r="ALY3" s="59"/>
      <c r="ALZ3" s="59"/>
      <c r="AMA3" s="59"/>
      <c r="AMB3" s="59"/>
      <c r="AMC3" s="59"/>
      <c r="AMD3" s="59"/>
      <c r="AME3" s="59"/>
      <c r="AMF3" s="59"/>
      <c r="AMG3" s="59"/>
      <c r="AMH3" s="59"/>
      <c r="AMI3" s="59"/>
      <c r="AMJ3" s="59"/>
      <c r="AMK3" s="59"/>
      <c r="AML3" s="59"/>
      <c r="AMM3" s="59"/>
      <c r="AMN3" s="59"/>
      <c r="AMO3" s="59"/>
      <c r="AMP3" s="59"/>
      <c r="AMQ3" s="59"/>
      <c r="AMR3" s="59"/>
      <c r="AMS3" s="59"/>
      <c r="AMT3" s="59"/>
      <c r="AMU3" s="59"/>
      <c r="AMV3" s="59"/>
      <c r="AMW3" s="59"/>
      <c r="AMX3" s="59"/>
      <c r="AMY3" s="59"/>
      <c r="AMZ3" s="59"/>
      <c r="ANA3" s="59"/>
      <c r="ANB3" s="59"/>
      <c r="ANC3" s="59"/>
      <c r="AND3" s="59"/>
      <c r="ANE3" s="59"/>
      <c r="ANF3" s="59"/>
      <c r="ANG3" s="59"/>
      <c r="ANH3" s="59"/>
      <c r="ANI3" s="59"/>
      <c r="ANJ3" s="59"/>
      <c r="ANK3" s="59"/>
      <c r="ANL3" s="59"/>
      <c r="ANM3" s="59"/>
      <c r="ANN3" s="59"/>
      <c r="ANO3" s="59"/>
      <c r="ANP3" s="59"/>
      <c r="ANQ3" s="59"/>
      <c r="ANR3" s="59"/>
      <c r="ANS3" s="59"/>
      <c r="ANT3" s="59"/>
      <c r="ANU3" s="59"/>
      <c r="ANV3" s="59"/>
      <c r="ANW3" s="59"/>
      <c r="ANX3" s="59"/>
      <c r="ANY3" s="59"/>
      <c r="ANZ3" s="59"/>
      <c r="AOA3" s="59"/>
      <c r="AOB3" s="59"/>
      <c r="AOC3" s="59"/>
      <c r="AOD3" s="59"/>
      <c r="AOE3" s="59"/>
      <c r="AOF3" s="59"/>
      <c r="AOG3" s="59"/>
      <c r="AOH3" s="59"/>
      <c r="AOI3" s="59"/>
      <c r="AOJ3" s="59"/>
      <c r="AOK3" s="59"/>
      <c r="AOL3" s="59"/>
      <c r="AOM3" s="59"/>
      <c r="AON3" s="59"/>
      <c r="AOO3" s="59"/>
      <c r="AOP3" s="59"/>
      <c r="AOQ3" s="59"/>
      <c r="AOR3" s="59"/>
      <c r="AOS3" s="59"/>
      <c r="AOT3" s="59"/>
      <c r="AOU3" s="59"/>
      <c r="AOV3" s="59"/>
      <c r="AOW3" s="59"/>
      <c r="AOX3" s="59"/>
      <c r="AOY3" s="59"/>
      <c r="AOZ3" s="59"/>
      <c r="APA3" s="59"/>
      <c r="APB3" s="59"/>
      <c r="APC3" s="59"/>
      <c r="APD3" s="59"/>
      <c r="APE3" s="59"/>
      <c r="APF3" s="59"/>
      <c r="APG3" s="59"/>
      <c r="APH3" s="59"/>
      <c r="API3" s="59"/>
      <c r="APJ3" s="59"/>
      <c r="APK3" s="59"/>
      <c r="APL3" s="59"/>
      <c r="APM3" s="59"/>
      <c r="APN3" s="59"/>
      <c r="APO3" s="59"/>
      <c r="APP3" s="59"/>
      <c r="APQ3" s="59"/>
      <c r="APR3" s="59"/>
      <c r="APS3" s="59"/>
      <c r="APT3" s="59"/>
      <c r="APU3" s="59"/>
      <c r="APV3" s="59"/>
      <c r="APW3" s="59"/>
      <c r="APX3" s="59"/>
      <c r="APY3" s="59"/>
      <c r="APZ3" s="59"/>
      <c r="AQA3" s="59"/>
      <c r="AQB3" s="59"/>
      <c r="AQC3" s="59"/>
      <c r="AQD3" s="59"/>
      <c r="AQE3" s="59"/>
      <c r="AQF3" s="59"/>
      <c r="AQG3" s="59"/>
      <c r="AQH3" s="59"/>
      <c r="AQI3" s="59"/>
      <c r="AQJ3" s="59"/>
      <c r="AQK3" s="59"/>
      <c r="AQL3" s="59"/>
      <c r="AQM3" s="59"/>
      <c r="AQN3" s="59"/>
      <c r="AQO3" s="59"/>
      <c r="AQP3" s="59"/>
      <c r="AQQ3" s="59"/>
      <c r="AQR3" s="59"/>
      <c r="AQS3" s="59"/>
      <c r="AQT3" s="59"/>
      <c r="AQU3" s="59"/>
      <c r="AQV3" s="59"/>
      <c r="AQW3" s="59"/>
      <c r="AQX3" s="59"/>
      <c r="AQY3" s="59"/>
      <c r="AQZ3" s="59"/>
      <c r="ARA3" s="59"/>
      <c r="ARB3" s="59"/>
      <c r="ARC3" s="59"/>
      <c r="ARD3" s="59"/>
      <c r="ARE3" s="59"/>
      <c r="ARF3" s="59"/>
      <c r="ARG3" s="59"/>
      <c r="ARH3" s="59"/>
      <c r="ARI3" s="59"/>
      <c r="ARJ3" s="59"/>
      <c r="ARK3" s="59"/>
      <c r="ARL3" s="59"/>
      <c r="ARM3" s="59"/>
      <c r="ARN3" s="59"/>
      <c r="ARO3" s="59"/>
      <c r="ARP3" s="59"/>
      <c r="ARQ3" s="59"/>
      <c r="ARR3" s="59"/>
      <c r="ARS3" s="59"/>
      <c r="ART3" s="59"/>
      <c r="ARU3" s="59"/>
      <c r="ARV3" s="59"/>
      <c r="ARW3" s="59"/>
      <c r="ARX3" s="59"/>
      <c r="ARY3" s="59"/>
      <c r="ARZ3" s="59"/>
      <c r="ASA3" s="59"/>
      <c r="ASB3" s="59"/>
      <c r="ASC3" s="59"/>
      <c r="ASD3" s="59"/>
      <c r="ASE3" s="59"/>
      <c r="ASF3" s="59"/>
      <c r="ASG3" s="59"/>
      <c r="ASH3" s="59"/>
      <c r="ASI3" s="59"/>
      <c r="ASJ3" s="59"/>
      <c r="ASK3" s="59"/>
      <c r="ASL3" s="59"/>
      <c r="ASM3" s="59"/>
      <c r="ASN3" s="59"/>
      <c r="ASO3" s="59"/>
      <c r="ASP3" s="59"/>
      <c r="ASQ3" s="59"/>
      <c r="ASR3" s="59"/>
      <c r="ASS3" s="59"/>
      <c r="AST3" s="59"/>
      <c r="ASU3" s="59"/>
      <c r="ASV3" s="59"/>
      <c r="ASW3" s="59"/>
      <c r="ASX3" s="59"/>
      <c r="ASY3" s="59"/>
      <c r="ASZ3" s="59"/>
      <c r="ATA3" s="59"/>
      <c r="ATB3" s="59"/>
      <c r="ATC3" s="59"/>
      <c r="ATD3" s="59"/>
      <c r="ATE3" s="59"/>
      <c r="ATF3" s="59"/>
      <c r="ATG3" s="59"/>
      <c r="ATH3" s="59"/>
      <c r="ATI3" s="59"/>
      <c r="ATJ3" s="59"/>
      <c r="ATK3" s="59"/>
      <c r="ATL3" s="59"/>
      <c r="ATM3" s="59"/>
      <c r="ATN3" s="59"/>
      <c r="ATO3" s="59"/>
      <c r="ATP3" s="59"/>
      <c r="ATQ3" s="59"/>
      <c r="ATR3" s="59"/>
      <c r="ATS3" s="59"/>
      <c r="ATT3" s="59"/>
      <c r="ATU3" s="59"/>
      <c r="ATV3" s="59"/>
      <c r="ATW3" s="59"/>
      <c r="ATX3" s="59"/>
      <c r="ATY3" s="59"/>
      <c r="ATZ3" s="59"/>
      <c r="AUA3" s="59"/>
      <c r="AUB3" s="59"/>
      <c r="AUC3" s="59"/>
      <c r="AUD3" s="59"/>
      <c r="AUE3" s="59"/>
      <c r="AUF3" s="59"/>
      <c r="AUG3" s="59"/>
      <c r="AUH3" s="59"/>
      <c r="AUI3" s="59"/>
      <c r="AUJ3" s="59"/>
      <c r="AUK3" s="59"/>
      <c r="AUL3" s="59"/>
      <c r="AUM3" s="59"/>
      <c r="AUN3" s="59"/>
      <c r="AUO3" s="59"/>
      <c r="AUP3" s="59"/>
      <c r="AUQ3" s="59"/>
      <c r="AUR3" s="59"/>
      <c r="AUS3" s="59"/>
      <c r="AUT3" s="59"/>
      <c r="AUU3" s="59"/>
      <c r="AUV3" s="59"/>
      <c r="AUW3" s="59"/>
      <c r="AUX3" s="59"/>
      <c r="AUY3" s="59"/>
      <c r="AUZ3" s="59"/>
      <c r="AVA3" s="59"/>
      <c r="AVB3" s="59"/>
      <c r="AVC3" s="59"/>
      <c r="AVD3" s="59"/>
      <c r="AVE3" s="59"/>
      <c r="AVF3" s="59"/>
      <c r="AVG3" s="59"/>
      <c r="AVH3" s="59"/>
      <c r="AVI3" s="59"/>
      <c r="AVJ3" s="59"/>
      <c r="AVK3" s="59"/>
      <c r="AVL3" s="59"/>
      <c r="AVM3" s="59"/>
      <c r="AVN3" s="59"/>
      <c r="AVO3" s="59"/>
      <c r="AVP3" s="59"/>
      <c r="AVQ3" s="59"/>
      <c r="AVR3" s="59"/>
      <c r="AVS3" s="59"/>
      <c r="AVT3" s="59"/>
      <c r="AVU3" s="59"/>
      <c r="AVV3" s="59"/>
      <c r="AVW3" s="59"/>
      <c r="AVX3" s="59"/>
      <c r="AVY3" s="59"/>
      <c r="AVZ3" s="59"/>
      <c r="AWA3" s="59"/>
      <c r="AWB3" s="59"/>
      <c r="AWC3" s="59"/>
      <c r="AWD3" s="59"/>
      <c r="AWE3" s="59"/>
      <c r="AWF3" s="59"/>
      <c r="AWG3" s="59"/>
      <c r="AWH3" s="59"/>
      <c r="AWI3" s="59"/>
      <c r="AWJ3" s="59"/>
      <c r="AWK3" s="59"/>
      <c r="AWL3" s="59"/>
      <c r="AWM3" s="59"/>
      <c r="AWN3" s="59"/>
      <c r="AWO3" s="59"/>
      <c r="AWP3" s="59"/>
      <c r="AWQ3" s="59"/>
      <c r="AWR3" s="59"/>
      <c r="AWS3" s="59"/>
      <c r="AWT3" s="59"/>
      <c r="AWU3" s="59"/>
      <c r="AWV3" s="59"/>
      <c r="AWW3" s="59"/>
      <c r="AWX3" s="59"/>
      <c r="AWY3" s="59"/>
      <c r="AWZ3" s="59"/>
      <c r="AXA3" s="59"/>
      <c r="AXB3" s="59"/>
      <c r="AXC3" s="59"/>
      <c r="AXD3" s="59"/>
      <c r="AXE3" s="59"/>
      <c r="AXF3" s="59"/>
      <c r="AXG3" s="59"/>
      <c r="AXH3" s="59"/>
      <c r="AXI3" s="59"/>
      <c r="AXJ3" s="59"/>
      <c r="AXK3" s="59"/>
      <c r="AXL3" s="59"/>
      <c r="AXM3" s="59"/>
      <c r="AXN3" s="59"/>
      <c r="AXO3" s="59"/>
      <c r="AXP3" s="59"/>
      <c r="AXQ3" s="59"/>
      <c r="AXR3" s="59"/>
      <c r="AXS3" s="59"/>
      <c r="AXT3" s="59"/>
      <c r="AXU3" s="59"/>
      <c r="AXV3" s="59"/>
      <c r="AXW3" s="59"/>
      <c r="AXX3" s="59"/>
      <c r="AXY3" s="59"/>
      <c r="AXZ3" s="59"/>
      <c r="AYA3" s="59"/>
      <c r="AYB3" s="59"/>
      <c r="AYC3" s="59"/>
      <c r="AYD3" s="59"/>
      <c r="AYE3" s="59"/>
      <c r="AYF3" s="59"/>
      <c r="AYG3" s="59"/>
      <c r="AYH3" s="59"/>
      <c r="AYI3" s="59"/>
      <c r="AYJ3" s="59"/>
      <c r="AYK3" s="59"/>
      <c r="AYL3" s="59"/>
      <c r="AYM3" s="59"/>
      <c r="AYN3" s="59"/>
      <c r="AYO3" s="59"/>
      <c r="AYP3" s="59"/>
      <c r="AYQ3" s="59"/>
      <c r="AYR3" s="59"/>
      <c r="AYS3" s="59"/>
      <c r="AYT3" s="59"/>
      <c r="AYU3" s="59"/>
      <c r="AYV3" s="59"/>
      <c r="AYW3" s="59"/>
      <c r="AYX3" s="59"/>
      <c r="AYY3" s="59"/>
      <c r="AYZ3" s="59"/>
      <c r="AZA3" s="59"/>
      <c r="AZB3" s="59"/>
      <c r="AZC3" s="59"/>
      <c r="AZD3" s="59"/>
      <c r="AZE3" s="59"/>
      <c r="AZF3" s="59"/>
      <c r="AZG3" s="59"/>
      <c r="AZH3" s="59"/>
      <c r="AZI3" s="59"/>
      <c r="AZJ3" s="59"/>
      <c r="AZK3" s="59"/>
      <c r="AZL3" s="59"/>
      <c r="AZM3" s="59"/>
      <c r="AZN3" s="59"/>
      <c r="AZO3" s="59"/>
      <c r="AZP3" s="59"/>
      <c r="AZQ3" s="59"/>
      <c r="AZR3" s="59"/>
      <c r="AZS3" s="59"/>
      <c r="AZT3" s="59"/>
      <c r="AZU3" s="59"/>
      <c r="AZV3" s="59"/>
      <c r="AZW3" s="59"/>
      <c r="AZX3" s="59"/>
      <c r="AZY3" s="59"/>
      <c r="AZZ3" s="59"/>
      <c r="BAA3" s="59"/>
      <c r="BAB3" s="59"/>
      <c r="BAC3" s="59"/>
      <c r="BAD3" s="59"/>
      <c r="BAE3" s="59"/>
      <c r="BAF3" s="59"/>
      <c r="BAG3" s="59"/>
      <c r="BAH3" s="59"/>
      <c r="BAI3" s="59"/>
      <c r="BAJ3" s="59"/>
      <c r="BAK3" s="59"/>
      <c r="BAL3" s="59"/>
      <c r="BAM3" s="59"/>
      <c r="BAN3" s="59"/>
      <c r="BAO3" s="59"/>
      <c r="BAP3" s="59"/>
      <c r="BAQ3" s="59"/>
      <c r="BAR3" s="59"/>
      <c r="BAS3" s="59"/>
      <c r="BAT3" s="59"/>
      <c r="BAU3" s="59"/>
      <c r="BAV3" s="59"/>
      <c r="BAW3" s="59"/>
      <c r="BAX3" s="59"/>
      <c r="BAY3" s="59"/>
      <c r="BAZ3" s="59"/>
      <c r="BBA3" s="59"/>
      <c r="BBB3" s="59"/>
      <c r="BBC3" s="59"/>
      <c r="BBD3" s="59"/>
      <c r="BBE3" s="59"/>
      <c r="BBF3" s="59"/>
      <c r="BBG3" s="59"/>
      <c r="BBH3" s="59"/>
      <c r="BBI3" s="59"/>
      <c r="BBJ3" s="59"/>
      <c r="BBK3" s="59"/>
      <c r="BBL3" s="59"/>
      <c r="BBM3" s="59"/>
      <c r="BBN3" s="59"/>
      <c r="BBO3" s="59"/>
      <c r="BBP3" s="59"/>
      <c r="BBQ3" s="59"/>
      <c r="BBR3" s="59"/>
      <c r="BBS3" s="59"/>
      <c r="BBT3" s="59"/>
      <c r="BBU3" s="59"/>
      <c r="BBV3" s="59"/>
      <c r="BBW3" s="59"/>
      <c r="BBX3" s="59"/>
      <c r="BBY3" s="59"/>
      <c r="BBZ3" s="59"/>
      <c r="BCA3" s="59"/>
      <c r="BCB3" s="59"/>
      <c r="BCC3" s="59"/>
      <c r="BCD3" s="59"/>
      <c r="BCE3" s="59"/>
      <c r="BCF3" s="59"/>
      <c r="BCG3" s="59"/>
      <c r="BCH3" s="59"/>
      <c r="BCI3" s="59"/>
      <c r="BCJ3" s="59"/>
      <c r="BCK3" s="59"/>
      <c r="BCL3" s="59"/>
      <c r="BCM3" s="59"/>
      <c r="BCN3" s="59"/>
      <c r="BCO3" s="59"/>
      <c r="BCP3" s="59"/>
      <c r="BCQ3" s="59"/>
      <c r="BCR3" s="59"/>
      <c r="BCS3" s="59"/>
      <c r="BCT3" s="59"/>
      <c r="BCU3" s="59"/>
      <c r="BCV3" s="59"/>
      <c r="BCW3" s="59"/>
      <c r="BCX3" s="59"/>
      <c r="BCY3" s="59"/>
      <c r="BCZ3" s="59"/>
      <c r="BDA3" s="59"/>
      <c r="BDB3" s="59"/>
      <c r="BDC3" s="59"/>
      <c r="BDD3" s="59"/>
      <c r="BDE3" s="59"/>
      <c r="BDF3" s="59"/>
      <c r="BDG3" s="59"/>
      <c r="BDH3" s="59"/>
      <c r="BDI3" s="59"/>
      <c r="BDJ3" s="59"/>
      <c r="BDK3" s="59"/>
      <c r="BDL3" s="59"/>
      <c r="BDM3" s="59"/>
      <c r="BDN3" s="59"/>
      <c r="BDO3" s="59"/>
      <c r="BDP3" s="59"/>
      <c r="BDQ3" s="59"/>
      <c r="BDR3" s="59"/>
      <c r="BDS3" s="59"/>
      <c r="BDT3" s="59"/>
      <c r="BDU3" s="59"/>
      <c r="BDV3" s="59"/>
      <c r="BDW3" s="59"/>
      <c r="BDX3" s="59"/>
      <c r="BDY3" s="59"/>
      <c r="BDZ3" s="59"/>
      <c r="BEA3" s="59"/>
      <c r="BEB3" s="59"/>
      <c r="BEC3" s="59"/>
      <c r="BED3" s="59"/>
      <c r="BEE3" s="59"/>
      <c r="BEF3" s="59"/>
      <c r="BEG3" s="59"/>
      <c r="BEH3" s="59"/>
      <c r="BEI3" s="59"/>
      <c r="BEJ3" s="59"/>
      <c r="BEK3" s="59"/>
      <c r="BEL3" s="59"/>
      <c r="BEM3" s="59"/>
      <c r="BEN3" s="59"/>
      <c r="BEO3" s="59"/>
      <c r="BEP3" s="59"/>
      <c r="BEQ3" s="59"/>
      <c r="BER3" s="59"/>
      <c r="BES3" s="59"/>
      <c r="BET3" s="59"/>
      <c r="BEU3" s="59"/>
      <c r="BEV3" s="59"/>
      <c r="BEW3" s="59"/>
      <c r="BEX3" s="59"/>
      <c r="BEY3" s="59"/>
      <c r="BEZ3" s="59"/>
      <c r="BFA3" s="59"/>
      <c r="BFB3" s="59"/>
      <c r="BFC3" s="59"/>
      <c r="BFD3" s="59"/>
      <c r="BFE3" s="59"/>
      <c r="BFF3" s="59"/>
      <c r="BFG3" s="59"/>
      <c r="BFH3" s="59"/>
      <c r="BFI3" s="59"/>
      <c r="BFJ3" s="59"/>
      <c r="BFK3" s="59"/>
      <c r="BFL3" s="59"/>
      <c r="BFM3" s="59"/>
      <c r="BFN3" s="59"/>
      <c r="BFO3" s="59"/>
      <c r="BFP3" s="59"/>
      <c r="BFQ3" s="59"/>
      <c r="BFR3" s="59"/>
      <c r="BFS3" s="59"/>
      <c r="BFT3" s="59"/>
      <c r="BFU3" s="59"/>
      <c r="BFV3" s="59"/>
      <c r="BFW3" s="59"/>
      <c r="BFX3" s="59"/>
      <c r="BFY3" s="59"/>
      <c r="BFZ3" s="59"/>
      <c r="BGA3" s="59"/>
      <c r="BGB3" s="59"/>
      <c r="BGC3" s="59"/>
      <c r="BGD3" s="59"/>
      <c r="BGE3" s="59"/>
      <c r="BGF3" s="59"/>
      <c r="BGG3" s="59"/>
      <c r="BGH3" s="59"/>
      <c r="BGI3" s="59"/>
      <c r="BGJ3" s="59"/>
      <c r="BGK3" s="59"/>
      <c r="BGL3" s="59"/>
      <c r="BGM3" s="59"/>
      <c r="BGN3" s="59"/>
      <c r="BGO3" s="59"/>
      <c r="BGP3" s="59"/>
      <c r="BGQ3" s="59"/>
      <c r="BGR3" s="59"/>
      <c r="BGS3" s="59"/>
      <c r="BGT3" s="59"/>
      <c r="BGU3" s="59"/>
      <c r="BGV3" s="59"/>
      <c r="BGW3" s="59"/>
      <c r="BGX3" s="59"/>
      <c r="BGY3" s="59"/>
      <c r="BGZ3" s="59"/>
      <c r="BHA3" s="59"/>
      <c r="BHB3" s="59"/>
      <c r="BHC3" s="59"/>
      <c r="BHD3" s="59"/>
      <c r="BHE3" s="59"/>
      <c r="BHF3" s="59"/>
      <c r="BHG3" s="59"/>
      <c r="BHH3" s="59"/>
      <c r="BHI3" s="59"/>
      <c r="BHJ3" s="59"/>
      <c r="BHK3" s="59"/>
      <c r="BHL3" s="59"/>
      <c r="BHM3" s="59"/>
      <c r="BHN3" s="59"/>
      <c r="BHO3" s="59"/>
      <c r="BHP3" s="59"/>
      <c r="BHQ3" s="59"/>
      <c r="BHR3" s="59"/>
      <c r="BHS3" s="59"/>
      <c r="BHT3" s="59"/>
      <c r="BHU3" s="59"/>
      <c r="BHV3" s="59"/>
      <c r="BHW3" s="59"/>
      <c r="BHX3" s="59"/>
      <c r="BHY3" s="59"/>
      <c r="BHZ3" s="59"/>
      <c r="BIA3" s="59"/>
      <c r="BIB3" s="59"/>
      <c r="BIC3" s="59"/>
      <c r="BID3" s="59"/>
      <c r="BIE3" s="59"/>
      <c r="BIF3" s="59"/>
      <c r="BIG3" s="59"/>
      <c r="BIH3" s="59"/>
      <c r="BII3" s="59"/>
      <c r="BIJ3" s="59"/>
      <c r="BIK3" s="59"/>
      <c r="BIL3" s="59"/>
      <c r="BIM3" s="59"/>
      <c r="BIN3" s="59"/>
      <c r="BIO3" s="59"/>
      <c r="BIP3" s="59"/>
      <c r="BIQ3" s="59"/>
      <c r="BIR3" s="59"/>
      <c r="BIS3" s="59"/>
      <c r="BIT3" s="59"/>
      <c r="BIU3" s="59"/>
      <c r="BIV3" s="59"/>
      <c r="BIW3" s="59"/>
      <c r="BIX3" s="59"/>
      <c r="BIY3" s="59"/>
      <c r="BIZ3" s="59"/>
      <c r="BJA3" s="59"/>
      <c r="BJB3" s="59"/>
      <c r="BJC3" s="59"/>
      <c r="BJD3" s="59"/>
      <c r="BJE3" s="59"/>
      <c r="BJF3" s="59"/>
      <c r="BJG3" s="59"/>
      <c r="BJH3" s="59"/>
      <c r="BJI3" s="59"/>
      <c r="BJJ3" s="59"/>
      <c r="BJK3" s="59"/>
      <c r="BJL3" s="59"/>
      <c r="BJM3" s="59"/>
      <c r="BJN3" s="59"/>
      <c r="BJO3" s="59"/>
      <c r="BJP3" s="59"/>
      <c r="BJQ3" s="59"/>
      <c r="BJR3" s="59"/>
      <c r="BJS3" s="59"/>
      <c r="BJT3" s="59"/>
      <c r="BJU3" s="59"/>
      <c r="BJV3" s="59"/>
      <c r="BJW3" s="59"/>
      <c r="BJX3" s="59"/>
      <c r="BJY3" s="59"/>
      <c r="BJZ3" s="59"/>
      <c r="BKA3" s="59"/>
      <c r="BKB3" s="59"/>
      <c r="BKC3" s="59"/>
      <c r="BKD3" s="59"/>
      <c r="BKE3" s="59"/>
      <c r="BKF3" s="59"/>
      <c r="BKG3" s="59"/>
      <c r="BKH3" s="59"/>
      <c r="BKI3" s="59"/>
      <c r="BKJ3" s="59"/>
      <c r="BKK3" s="59"/>
      <c r="BKL3" s="59"/>
      <c r="BKM3" s="59"/>
      <c r="BKN3" s="59"/>
      <c r="BKO3" s="59"/>
      <c r="BKP3" s="59"/>
      <c r="BKQ3" s="59"/>
      <c r="BKR3" s="59"/>
      <c r="BKS3" s="59"/>
      <c r="BKT3" s="59"/>
      <c r="BKU3" s="59"/>
      <c r="BKV3" s="59"/>
      <c r="BKW3" s="59"/>
      <c r="BKX3" s="59"/>
      <c r="BKY3" s="59"/>
      <c r="BKZ3" s="59"/>
      <c r="BLA3" s="59"/>
      <c r="BLB3" s="59"/>
      <c r="BLC3" s="59"/>
      <c r="BLD3" s="59"/>
      <c r="BLE3" s="59"/>
      <c r="BLF3" s="59"/>
      <c r="BLG3" s="59"/>
      <c r="BLH3" s="59"/>
      <c r="BLI3" s="59"/>
      <c r="BLJ3" s="59"/>
      <c r="BLK3" s="59"/>
      <c r="BLL3" s="59"/>
      <c r="BLM3" s="59"/>
      <c r="BLN3" s="59"/>
      <c r="BLO3" s="59"/>
      <c r="BLP3" s="59"/>
      <c r="BLQ3" s="59"/>
      <c r="BLR3" s="59"/>
      <c r="BLS3" s="59"/>
      <c r="BLT3" s="59"/>
      <c r="BLU3" s="59"/>
      <c r="BLV3" s="59"/>
      <c r="BLW3" s="59"/>
      <c r="BLX3" s="59"/>
      <c r="BLY3" s="59"/>
      <c r="BLZ3" s="59"/>
      <c r="BMA3" s="59"/>
      <c r="BMB3" s="59"/>
      <c r="BMC3" s="59"/>
      <c r="BMD3" s="59"/>
      <c r="BME3" s="59"/>
      <c r="BMF3" s="59"/>
      <c r="BMG3" s="59"/>
      <c r="BMH3" s="59"/>
      <c r="BMI3" s="59"/>
      <c r="BMJ3" s="59"/>
      <c r="BMK3" s="59"/>
      <c r="BML3" s="59"/>
      <c r="BMM3" s="59"/>
      <c r="BMN3" s="59"/>
      <c r="BMO3" s="59"/>
      <c r="BMP3" s="59"/>
      <c r="BMQ3" s="59"/>
      <c r="BMR3" s="59"/>
      <c r="BMS3" s="59"/>
      <c r="BMT3" s="59"/>
      <c r="BMU3" s="59"/>
      <c r="BMV3" s="59"/>
      <c r="BMW3" s="59"/>
      <c r="BMX3" s="59"/>
      <c r="BMY3" s="59"/>
      <c r="BMZ3" s="59"/>
      <c r="BNA3" s="59"/>
      <c r="BNB3" s="59"/>
      <c r="BNC3" s="59"/>
      <c r="BND3" s="59"/>
      <c r="BNE3" s="59"/>
      <c r="BNF3" s="59"/>
      <c r="BNG3" s="59"/>
      <c r="BNH3" s="59"/>
      <c r="BNI3" s="59"/>
      <c r="BNJ3" s="59"/>
      <c r="BNK3" s="59"/>
      <c r="BNL3" s="59"/>
      <c r="BNM3" s="59"/>
      <c r="BNN3" s="59"/>
      <c r="BNO3" s="59"/>
      <c r="BNP3" s="59"/>
      <c r="BNQ3" s="59"/>
      <c r="BNR3" s="59"/>
      <c r="BNS3" s="59"/>
      <c r="BNT3" s="59"/>
      <c r="BNU3" s="59"/>
      <c r="BNV3" s="59"/>
      <c r="BNW3" s="59"/>
      <c r="BNX3" s="59"/>
      <c r="BNY3" s="59"/>
      <c r="BNZ3" s="59"/>
      <c r="BOA3" s="59"/>
      <c r="BOB3" s="59"/>
      <c r="BOC3" s="59"/>
      <c r="BOD3" s="59"/>
      <c r="BOE3" s="59"/>
      <c r="BOF3" s="59"/>
      <c r="BOG3" s="59"/>
      <c r="BOH3" s="59"/>
      <c r="BOI3" s="59"/>
      <c r="BOJ3" s="59"/>
      <c r="BOK3" s="59"/>
      <c r="BOL3" s="59"/>
      <c r="BOM3" s="59"/>
      <c r="BON3" s="59"/>
      <c r="BOO3" s="59"/>
      <c r="BOP3" s="59"/>
      <c r="BOQ3" s="59"/>
      <c r="BOR3" s="59"/>
      <c r="BOS3" s="59"/>
      <c r="BOT3" s="59"/>
      <c r="BOU3" s="59"/>
      <c r="BOV3" s="59"/>
      <c r="BOW3" s="59"/>
      <c r="BOX3" s="59"/>
      <c r="BOY3" s="59"/>
      <c r="BOZ3" s="59"/>
      <c r="BPA3" s="59"/>
      <c r="BPB3" s="59"/>
      <c r="BPC3" s="59"/>
      <c r="BPD3" s="59"/>
      <c r="BPE3" s="59"/>
      <c r="BPF3" s="59"/>
      <c r="BPG3" s="59"/>
      <c r="BPH3" s="59"/>
      <c r="BPI3" s="59"/>
      <c r="BPJ3" s="59"/>
      <c r="BPK3" s="59"/>
      <c r="BPL3" s="59"/>
      <c r="BPM3" s="59"/>
      <c r="BPN3" s="59"/>
      <c r="BPO3" s="59"/>
      <c r="BPP3" s="59"/>
      <c r="BPQ3" s="59"/>
      <c r="BPR3" s="59"/>
      <c r="BPS3" s="59"/>
      <c r="BPT3" s="59"/>
      <c r="BPU3" s="59"/>
      <c r="BPV3" s="59"/>
      <c r="BPW3" s="59"/>
      <c r="BPX3" s="59"/>
      <c r="BPY3" s="59"/>
      <c r="BPZ3" s="59"/>
      <c r="BQA3" s="59"/>
      <c r="BQB3" s="59"/>
      <c r="BQC3" s="59"/>
      <c r="BQD3" s="59"/>
      <c r="BQE3" s="59"/>
      <c r="BQF3" s="59"/>
      <c r="BQG3" s="59"/>
      <c r="BQH3" s="59"/>
      <c r="BQI3" s="59"/>
      <c r="BQJ3" s="59"/>
      <c r="BQK3" s="59"/>
      <c r="BQL3" s="59"/>
      <c r="BQM3" s="59"/>
      <c r="BQN3" s="59"/>
      <c r="BQO3" s="59"/>
      <c r="BQP3" s="59"/>
      <c r="BQQ3" s="59"/>
      <c r="BQR3" s="59"/>
      <c r="BQS3" s="59"/>
      <c r="BQT3" s="59"/>
      <c r="BQU3" s="59"/>
      <c r="BQV3" s="59"/>
      <c r="BQW3" s="59"/>
      <c r="BQX3" s="59"/>
      <c r="BQY3" s="59"/>
      <c r="BQZ3" s="59"/>
      <c r="BRA3" s="59"/>
      <c r="BRB3" s="59"/>
      <c r="BRC3" s="59"/>
      <c r="BRD3" s="59"/>
      <c r="BRE3" s="59"/>
      <c r="BRF3" s="59"/>
      <c r="BRG3" s="59"/>
      <c r="BRH3" s="59"/>
      <c r="BRI3" s="59"/>
      <c r="BRJ3" s="59"/>
      <c r="BRK3" s="59"/>
      <c r="BRL3" s="59"/>
      <c r="BRM3" s="59"/>
      <c r="BRN3" s="59"/>
      <c r="BRO3" s="59"/>
      <c r="BRP3" s="59"/>
      <c r="BRQ3" s="59"/>
      <c r="BRR3" s="59"/>
      <c r="BRS3" s="59"/>
      <c r="BRT3" s="59"/>
      <c r="BRU3" s="59"/>
      <c r="BRV3" s="59"/>
      <c r="BRW3" s="59"/>
      <c r="BRX3" s="59"/>
      <c r="BRY3" s="59"/>
      <c r="BRZ3" s="59"/>
      <c r="BSA3" s="59"/>
      <c r="BSB3" s="59"/>
      <c r="BSC3" s="59"/>
      <c r="BSD3" s="59"/>
      <c r="BSE3" s="59"/>
      <c r="BSF3" s="59"/>
      <c r="BSG3" s="59"/>
      <c r="BSH3" s="59"/>
      <c r="BSI3" s="59"/>
      <c r="BSJ3" s="59"/>
      <c r="BSK3" s="59"/>
      <c r="BSL3" s="59"/>
      <c r="BSM3" s="59"/>
      <c r="BSN3" s="59"/>
      <c r="BSO3" s="59"/>
      <c r="BSP3" s="59"/>
      <c r="BSQ3" s="59"/>
      <c r="BSR3" s="59"/>
      <c r="BSS3" s="59"/>
      <c r="BST3" s="59"/>
      <c r="BSU3" s="59"/>
      <c r="BSV3" s="59"/>
      <c r="BSW3" s="59"/>
      <c r="BSX3" s="59"/>
      <c r="BSY3" s="59"/>
      <c r="BSZ3" s="59"/>
      <c r="BTA3" s="59"/>
      <c r="BTB3" s="59"/>
      <c r="BTC3" s="59"/>
      <c r="BTD3" s="59"/>
      <c r="BTE3" s="59"/>
      <c r="BTF3" s="59"/>
      <c r="BTG3" s="59"/>
      <c r="BTH3" s="59"/>
      <c r="BTI3" s="59"/>
      <c r="BTJ3" s="59"/>
      <c r="BTK3" s="59"/>
      <c r="BTL3" s="59"/>
      <c r="BTM3" s="59"/>
      <c r="BTN3" s="59"/>
      <c r="BTO3" s="59"/>
      <c r="BTP3" s="59"/>
      <c r="BTQ3" s="59"/>
      <c r="BTR3" s="59"/>
      <c r="BTS3" s="59"/>
      <c r="BTT3" s="59"/>
      <c r="BTU3" s="59"/>
      <c r="BTV3" s="59"/>
      <c r="BTW3" s="59"/>
      <c r="BTX3" s="59"/>
      <c r="BTY3" s="59"/>
      <c r="BTZ3" s="59"/>
      <c r="BUA3" s="59"/>
      <c r="BUB3" s="59"/>
      <c r="BUC3" s="59"/>
      <c r="BUD3" s="59"/>
      <c r="BUE3" s="59"/>
      <c r="BUF3" s="59"/>
      <c r="BUG3" s="59"/>
      <c r="BUH3" s="59"/>
      <c r="BUI3" s="59"/>
      <c r="BUJ3" s="59"/>
      <c r="BUK3" s="59"/>
      <c r="BUL3" s="59"/>
      <c r="BUM3" s="59"/>
      <c r="BUN3" s="59"/>
      <c r="BUO3" s="59"/>
      <c r="BUP3" s="59"/>
      <c r="BUQ3" s="59"/>
      <c r="BUR3" s="59"/>
      <c r="BUS3" s="59"/>
      <c r="BUT3" s="59"/>
      <c r="BUU3" s="59"/>
      <c r="BUV3" s="59"/>
      <c r="BUW3" s="59"/>
      <c r="BUX3" s="59"/>
      <c r="BUY3" s="59"/>
      <c r="BUZ3" s="59"/>
      <c r="BVA3" s="59"/>
      <c r="BVB3" s="59"/>
      <c r="BVC3" s="59"/>
      <c r="BVD3" s="59"/>
      <c r="BVE3" s="59"/>
      <c r="BVF3" s="59"/>
      <c r="BVG3" s="59"/>
      <c r="BVH3" s="59"/>
      <c r="BVI3" s="59"/>
      <c r="BVJ3" s="59"/>
      <c r="BVK3" s="59"/>
      <c r="BVL3" s="59"/>
      <c r="BVM3" s="59"/>
      <c r="BVN3" s="59"/>
      <c r="BVO3" s="59"/>
      <c r="BVP3" s="59"/>
      <c r="BVQ3" s="59"/>
      <c r="BVR3" s="59"/>
      <c r="BVS3" s="59"/>
      <c r="BVT3" s="59"/>
      <c r="BVU3" s="59"/>
      <c r="BVV3" s="59"/>
      <c r="BVW3" s="59"/>
      <c r="BVX3" s="59"/>
      <c r="BVY3" s="59"/>
      <c r="BVZ3" s="59"/>
      <c r="BWA3" s="59"/>
      <c r="BWB3" s="59"/>
      <c r="BWC3" s="59"/>
      <c r="BWD3" s="59"/>
      <c r="BWE3" s="59"/>
      <c r="BWF3" s="59"/>
      <c r="BWG3" s="59"/>
      <c r="BWH3" s="59"/>
      <c r="BWI3" s="59"/>
      <c r="BWJ3" s="59"/>
      <c r="BWK3" s="59"/>
      <c r="BWL3" s="59"/>
      <c r="BWM3" s="59"/>
      <c r="BWN3" s="59"/>
      <c r="BWO3" s="59"/>
      <c r="BWP3" s="59"/>
      <c r="BWQ3" s="59"/>
      <c r="BWR3" s="59"/>
      <c r="BWS3" s="59"/>
      <c r="BWT3" s="59"/>
      <c r="BWU3" s="59"/>
      <c r="BWV3" s="59"/>
      <c r="BWW3" s="59"/>
      <c r="BWX3" s="59"/>
      <c r="BWY3" s="59"/>
      <c r="BWZ3" s="59"/>
      <c r="BXA3" s="59"/>
      <c r="BXB3" s="59"/>
      <c r="BXC3" s="59"/>
      <c r="BXD3" s="59"/>
      <c r="BXE3" s="59"/>
      <c r="BXF3" s="59"/>
      <c r="BXG3" s="59"/>
      <c r="BXH3" s="59"/>
      <c r="BXI3" s="59"/>
      <c r="BXJ3" s="59"/>
      <c r="BXK3" s="59"/>
      <c r="BXL3" s="59"/>
      <c r="BXM3" s="59"/>
      <c r="BXN3" s="59"/>
      <c r="BXO3" s="59"/>
      <c r="BXP3" s="59"/>
      <c r="BXQ3" s="59"/>
      <c r="BXR3" s="59"/>
      <c r="BXS3" s="59"/>
      <c r="BXT3" s="59"/>
      <c r="BXU3" s="59"/>
      <c r="BXV3" s="59"/>
      <c r="BXW3" s="59"/>
      <c r="BXX3" s="59"/>
      <c r="BXY3" s="59"/>
      <c r="BXZ3" s="59"/>
      <c r="BYA3" s="59"/>
      <c r="BYB3" s="59"/>
      <c r="BYC3" s="59"/>
      <c r="BYD3" s="59"/>
      <c r="BYE3" s="59"/>
      <c r="BYF3" s="59"/>
      <c r="BYG3" s="59"/>
      <c r="BYH3" s="59"/>
      <c r="BYI3" s="59"/>
      <c r="BYJ3" s="59"/>
      <c r="BYK3" s="59"/>
      <c r="BYL3" s="59"/>
      <c r="BYM3" s="59"/>
      <c r="BYN3" s="59"/>
      <c r="BYO3" s="59"/>
      <c r="BYP3" s="59"/>
      <c r="BYQ3" s="59"/>
      <c r="BYR3" s="59"/>
      <c r="BYS3" s="59"/>
      <c r="BYT3" s="59"/>
      <c r="BYU3" s="59"/>
      <c r="BYV3" s="59"/>
      <c r="BYW3" s="59"/>
      <c r="BYX3" s="59"/>
      <c r="BYY3" s="59"/>
      <c r="BYZ3" s="59"/>
      <c r="BZA3" s="59"/>
      <c r="BZB3" s="59"/>
      <c r="BZC3" s="59"/>
      <c r="BZD3" s="59"/>
      <c r="BZE3" s="59"/>
      <c r="BZF3" s="59"/>
      <c r="BZG3" s="59"/>
      <c r="BZH3" s="59"/>
      <c r="BZI3" s="59"/>
      <c r="BZJ3" s="59"/>
      <c r="BZK3" s="59"/>
      <c r="BZL3" s="59"/>
      <c r="BZM3" s="59"/>
      <c r="BZN3" s="59"/>
      <c r="BZO3" s="59"/>
      <c r="BZP3" s="59"/>
      <c r="BZQ3" s="59"/>
      <c r="BZR3" s="59"/>
      <c r="BZS3" s="59"/>
      <c r="BZT3" s="59"/>
      <c r="BZU3" s="59"/>
      <c r="BZV3" s="59"/>
      <c r="BZW3" s="59"/>
      <c r="BZX3" s="59"/>
      <c r="BZY3" s="59"/>
      <c r="BZZ3" s="59"/>
      <c r="CAA3" s="59"/>
      <c r="CAB3" s="59"/>
      <c r="CAC3" s="59"/>
      <c r="CAD3" s="59"/>
      <c r="CAE3" s="59"/>
      <c r="CAF3" s="59"/>
      <c r="CAG3" s="59"/>
      <c r="CAH3" s="59"/>
      <c r="CAI3" s="59"/>
      <c r="CAJ3" s="59"/>
      <c r="CAK3" s="59"/>
      <c r="CAL3" s="59"/>
      <c r="CAM3" s="59"/>
      <c r="CAN3" s="59"/>
      <c r="CAO3" s="59"/>
      <c r="CAP3" s="59"/>
      <c r="CAQ3" s="59"/>
      <c r="CAR3" s="59"/>
      <c r="CAS3" s="59"/>
      <c r="CAT3" s="59"/>
      <c r="CAU3" s="59"/>
      <c r="CAV3" s="59"/>
      <c r="CAW3" s="59"/>
      <c r="CAX3" s="59"/>
      <c r="CAY3" s="59"/>
      <c r="CAZ3" s="59"/>
      <c r="CBA3" s="59"/>
      <c r="CBB3" s="59"/>
      <c r="CBC3" s="59"/>
      <c r="CBD3" s="59"/>
      <c r="CBE3" s="59"/>
      <c r="CBF3" s="59"/>
      <c r="CBG3" s="59"/>
      <c r="CBH3" s="59"/>
      <c r="CBI3" s="59"/>
      <c r="CBJ3" s="59"/>
      <c r="CBK3" s="59"/>
      <c r="CBL3" s="59"/>
      <c r="CBM3" s="59"/>
      <c r="CBN3" s="59"/>
      <c r="CBO3" s="59"/>
      <c r="CBP3" s="59"/>
      <c r="CBQ3" s="59"/>
      <c r="CBR3" s="59"/>
      <c r="CBS3" s="59"/>
      <c r="CBT3" s="59"/>
      <c r="CBU3" s="59"/>
      <c r="CBV3" s="59"/>
      <c r="CBW3" s="59"/>
      <c r="CBX3" s="59"/>
      <c r="CBY3" s="59"/>
      <c r="CBZ3" s="59"/>
      <c r="CCA3" s="59"/>
      <c r="CCB3" s="59"/>
      <c r="CCC3" s="59"/>
      <c r="CCD3" s="59"/>
      <c r="CCE3" s="59"/>
      <c r="CCF3" s="59"/>
      <c r="CCG3" s="59"/>
      <c r="CCH3" s="59"/>
      <c r="CCI3" s="59"/>
      <c r="CCJ3" s="59"/>
      <c r="CCK3" s="59"/>
      <c r="CCL3" s="59"/>
      <c r="CCM3" s="59"/>
      <c r="CCN3" s="59"/>
      <c r="CCO3" s="59"/>
      <c r="CCP3" s="59"/>
      <c r="CCQ3" s="59"/>
      <c r="CCR3" s="59"/>
      <c r="CCS3" s="59"/>
      <c r="CCT3" s="59"/>
      <c r="CCU3" s="59"/>
      <c r="CCV3" s="59"/>
      <c r="CCW3" s="59"/>
      <c r="CCX3" s="59"/>
      <c r="CCY3" s="59"/>
      <c r="CCZ3" s="59"/>
      <c r="CDA3" s="59"/>
      <c r="CDB3" s="59"/>
      <c r="CDC3" s="59"/>
      <c r="CDD3" s="59"/>
      <c r="CDE3" s="59"/>
      <c r="CDF3" s="59"/>
      <c r="CDG3" s="59"/>
      <c r="CDH3" s="59"/>
      <c r="CDI3" s="59"/>
      <c r="CDJ3" s="59"/>
      <c r="CDK3" s="59"/>
      <c r="CDL3" s="59"/>
      <c r="CDM3" s="59"/>
      <c r="CDN3" s="59"/>
      <c r="CDO3" s="59"/>
      <c r="CDP3" s="59"/>
      <c r="CDQ3" s="59"/>
      <c r="CDR3" s="59"/>
      <c r="CDS3" s="59"/>
      <c r="CDT3" s="59"/>
      <c r="CDU3" s="59"/>
      <c r="CDV3" s="59"/>
      <c r="CDW3" s="59"/>
      <c r="CDX3" s="59"/>
      <c r="CDY3" s="59"/>
      <c r="CDZ3" s="59"/>
      <c r="CEA3" s="59"/>
      <c r="CEB3" s="59"/>
      <c r="CEC3" s="59"/>
      <c r="CED3" s="59"/>
      <c r="CEE3" s="59"/>
      <c r="CEF3" s="59"/>
      <c r="CEG3" s="59"/>
      <c r="CEH3" s="59"/>
      <c r="CEI3" s="59"/>
      <c r="CEJ3" s="59"/>
      <c r="CEK3" s="59"/>
      <c r="CEL3" s="59"/>
      <c r="CEM3" s="59"/>
      <c r="CEN3" s="59"/>
      <c r="CEO3" s="59"/>
      <c r="CEP3" s="59"/>
      <c r="CEQ3" s="59"/>
      <c r="CER3" s="59"/>
      <c r="CES3" s="59"/>
      <c r="CET3" s="59"/>
      <c r="CEU3" s="59"/>
      <c r="CEV3" s="59"/>
      <c r="CEW3" s="59"/>
      <c r="CEX3" s="59"/>
      <c r="CEY3" s="59"/>
      <c r="CEZ3" s="59"/>
      <c r="CFA3" s="59"/>
      <c r="CFB3" s="59"/>
      <c r="CFC3" s="59"/>
      <c r="CFD3" s="59"/>
      <c r="CFE3" s="59"/>
      <c r="CFF3" s="59"/>
      <c r="CFG3" s="59"/>
      <c r="CFH3" s="59"/>
      <c r="CFI3" s="59"/>
      <c r="CFJ3" s="59"/>
      <c r="CFK3" s="59"/>
      <c r="CFL3" s="59"/>
      <c r="CFM3" s="59"/>
      <c r="CFN3" s="59"/>
      <c r="CFO3" s="59"/>
      <c r="CFP3" s="59"/>
      <c r="CFQ3" s="59"/>
      <c r="CFR3" s="59"/>
      <c r="CFS3" s="59"/>
      <c r="CFT3" s="59"/>
      <c r="CFU3" s="59"/>
      <c r="CFV3" s="59"/>
      <c r="CFW3" s="59"/>
      <c r="CFX3" s="59"/>
      <c r="CFY3" s="59"/>
      <c r="CFZ3" s="59"/>
      <c r="CGA3" s="59"/>
      <c r="CGB3" s="59"/>
      <c r="CGC3" s="59"/>
      <c r="CGD3" s="59"/>
      <c r="CGE3" s="59"/>
      <c r="CGF3" s="59"/>
      <c r="CGG3" s="59"/>
      <c r="CGH3" s="59"/>
      <c r="CGI3" s="59"/>
      <c r="CGJ3" s="59"/>
      <c r="CGK3" s="59"/>
      <c r="CGL3" s="59"/>
      <c r="CGM3" s="59"/>
      <c r="CGN3" s="59"/>
      <c r="CGO3" s="59"/>
      <c r="CGP3" s="59"/>
      <c r="CGQ3" s="59"/>
      <c r="CGR3" s="59"/>
      <c r="CGS3" s="59"/>
      <c r="CGT3" s="59"/>
      <c r="CGU3" s="59"/>
      <c r="CGV3" s="59"/>
      <c r="CGW3" s="59"/>
      <c r="CGX3" s="59"/>
      <c r="CGY3" s="59"/>
      <c r="CGZ3" s="59"/>
      <c r="CHA3" s="59"/>
      <c r="CHB3" s="59"/>
      <c r="CHC3" s="59"/>
      <c r="CHD3" s="59"/>
      <c r="CHE3" s="59"/>
      <c r="CHF3" s="59"/>
      <c r="CHG3" s="59"/>
      <c r="CHH3" s="59"/>
      <c r="CHI3" s="59"/>
      <c r="CHJ3" s="59"/>
      <c r="CHK3" s="59"/>
      <c r="CHL3" s="59"/>
      <c r="CHM3" s="59"/>
      <c r="CHN3" s="59"/>
      <c r="CHO3" s="59"/>
      <c r="CHP3" s="59"/>
      <c r="CHQ3" s="59"/>
      <c r="CHR3" s="59"/>
      <c r="CHS3" s="59"/>
      <c r="CHT3" s="59"/>
      <c r="CHU3" s="59"/>
      <c r="CHV3" s="59"/>
      <c r="CHW3" s="59"/>
      <c r="CHX3" s="59"/>
      <c r="CHY3" s="59"/>
      <c r="CHZ3" s="59"/>
      <c r="CIA3" s="59"/>
      <c r="CIB3" s="59"/>
      <c r="CIC3" s="59"/>
      <c r="CID3" s="59"/>
      <c r="CIE3" s="59"/>
      <c r="CIF3" s="59"/>
      <c r="CIG3" s="59"/>
      <c r="CIH3" s="59"/>
      <c r="CII3" s="59"/>
      <c r="CIJ3" s="59"/>
      <c r="CIK3" s="59"/>
      <c r="CIL3" s="59"/>
      <c r="CIM3" s="59"/>
      <c r="CIN3" s="59"/>
      <c r="CIO3" s="59"/>
      <c r="CIP3" s="59"/>
      <c r="CIQ3" s="59"/>
      <c r="CIR3" s="59"/>
      <c r="CIS3" s="59"/>
      <c r="CIT3" s="59"/>
      <c r="CIU3" s="59"/>
      <c r="CIV3" s="59"/>
      <c r="CIW3" s="59"/>
      <c r="CIX3" s="59"/>
      <c r="CIY3" s="59"/>
      <c r="CIZ3" s="59"/>
      <c r="CJA3" s="59"/>
      <c r="CJB3" s="59"/>
      <c r="CJC3" s="59"/>
      <c r="CJD3" s="59"/>
      <c r="CJE3" s="59"/>
      <c r="CJF3" s="59"/>
      <c r="CJG3" s="59"/>
      <c r="CJH3" s="59"/>
      <c r="CJI3" s="59"/>
      <c r="CJJ3" s="59"/>
      <c r="CJK3" s="59"/>
      <c r="CJL3" s="59"/>
      <c r="CJM3" s="59"/>
      <c r="CJN3" s="59"/>
      <c r="CJO3" s="59"/>
      <c r="CJP3" s="59"/>
      <c r="CJQ3" s="59"/>
      <c r="CJR3" s="59"/>
      <c r="CJS3" s="59"/>
      <c r="CJT3" s="59"/>
      <c r="CJU3" s="59"/>
      <c r="CJV3" s="59"/>
      <c r="CJW3" s="59"/>
      <c r="CJX3" s="59"/>
      <c r="CJY3" s="59"/>
      <c r="CJZ3" s="59"/>
      <c r="CKA3" s="59"/>
      <c r="CKB3" s="59"/>
      <c r="CKC3" s="59"/>
      <c r="CKD3" s="59"/>
      <c r="CKE3" s="59"/>
      <c r="CKF3" s="59"/>
      <c r="CKG3" s="59"/>
      <c r="CKH3" s="59"/>
      <c r="CKI3" s="59"/>
      <c r="CKJ3" s="59"/>
      <c r="CKK3" s="59"/>
      <c r="CKL3" s="59"/>
      <c r="CKM3" s="59"/>
      <c r="CKN3" s="59"/>
      <c r="CKO3" s="59"/>
      <c r="CKP3" s="59"/>
      <c r="CKQ3" s="59"/>
      <c r="CKR3" s="59"/>
      <c r="CKS3" s="59"/>
      <c r="CKT3" s="59"/>
      <c r="CKU3" s="59"/>
      <c r="CKV3" s="59"/>
      <c r="CKW3" s="59"/>
      <c r="CKX3" s="59"/>
      <c r="CKY3" s="59"/>
      <c r="CKZ3" s="59"/>
      <c r="CLA3" s="59"/>
      <c r="CLB3" s="59"/>
      <c r="CLC3" s="59"/>
      <c r="CLD3" s="59"/>
      <c r="CLE3" s="59"/>
      <c r="CLF3" s="59"/>
      <c r="CLG3" s="59"/>
      <c r="CLH3" s="59"/>
      <c r="CLI3" s="59"/>
      <c r="CLJ3" s="59"/>
      <c r="CLK3" s="59"/>
      <c r="CLL3" s="59"/>
      <c r="CLM3" s="59"/>
      <c r="CLN3" s="59"/>
      <c r="CLO3" s="59"/>
      <c r="CLP3" s="59"/>
      <c r="CLQ3" s="59"/>
      <c r="CLR3" s="59"/>
      <c r="CLS3" s="59"/>
      <c r="CLT3" s="59"/>
      <c r="CLU3" s="59"/>
      <c r="CLV3" s="59"/>
      <c r="CLW3" s="59"/>
      <c r="CLX3" s="59"/>
      <c r="CLY3" s="59"/>
      <c r="CLZ3" s="59"/>
      <c r="CMA3" s="59"/>
      <c r="CMB3" s="59"/>
      <c r="CMC3" s="59"/>
      <c r="CMD3" s="59"/>
      <c r="CME3" s="59"/>
      <c r="CMF3" s="59"/>
      <c r="CMG3" s="59"/>
      <c r="CMH3" s="59"/>
      <c r="CMI3" s="59"/>
      <c r="CMJ3" s="59"/>
      <c r="CMK3" s="59"/>
      <c r="CML3" s="59"/>
      <c r="CMM3" s="59"/>
      <c r="CMN3" s="59"/>
      <c r="CMO3" s="59"/>
      <c r="CMP3" s="59"/>
      <c r="CMQ3" s="59"/>
      <c r="CMR3" s="59"/>
      <c r="CMS3" s="59"/>
      <c r="CMT3" s="59"/>
      <c r="CMU3" s="59"/>
      <c r="CMV3" s="59"/>
      <c r="CMW3" s="59"/>
      <c r="CMX3" s="59"/>
      <c r="CMY3" s="59"/>
      <c r="CMZ3" s="59"/>
      <c r="CNA3" s="59"/>
      <c r="CNB3" s="59"/>
      <c r="CNC3" s="59"/>
      <c r="CND3" s="59"/>
      <c r="CNE3" s="59"/>
      <c r="CNF3" s="59"/>
      <c r="CNG3" s="59"/>
      <c r="CNH3" s="59"/>
      <c r="CNI3" s="59"/>
      <c r="CNJ3" s="59"/>
      <c r="CNK3" s="59"/>
      <c r="CNL3" s="59"/>
      <c r="CNM3" s="59"/>
      <c r="CNN3" s="59"/>
      <c r="CNO3" s="59"/>
      <c r="CNP3" s="59"/>
      <c r="CNQ3" s="59"/>
      <c r="CNR3" s="59"/>
      <c r="CNS3" s="59"/>
      <c r="CNT3" s="59"/>
      <c r="CNU3" s="59"/>
      <c r="CNV3" s="59"/>
      <c r="CNW3" s="59"/>
      <c r="CNX3" s="59"/>
      <c r="CNY3" s="59"/>
      <c r="CNZ3" s="59"/>
      <c r="COA3" s="59"/>
      <c r="COB3" s="59"/>
      <c r="COC3" s="59"/>
      <c r="COD3" s="59"/>
      <c r="COE3" s="59"/>
      <c r="COF3" s="59"/>
      <c r="COG3" s="59"/>
      <c r="COH3" s="59"/>
      <c r="COI3" s="59"/>
      <c r="COJ3" s="59"/>
      <c r="COK3" s="59"/>
      <c r="COL3" s="59"/>
      <c r="COM3" s="59"/>
      <c r="CON3" s="59"/>
      <c r="COO3" s="59"/>
      <c r="COP3" s="59"/>
      <c r="COQ3" s="59"/>
      <c r="COR3" s="59"/>
      <c r="COS3" s="59"/>
      <c r="COT3" s="59"/>
      <c r="COU3" s="59"/>
      <c r="COV3" s="59"/>
      <c r="COW3" s="59"/>
      <c r="COX3" s="59"/>
      <c r="COY3" s="59"/>
      <c r="COZ3" s="59"/>
      <c r="CPA3" s="59"/>
      <c r="CPB3" s="59"/>
      <c r="CPC3" s="59"/>
      <c r="CPD3" s="59"/>
      <c r="CPE3" s="59"/>
      <c r="CPF3" s="59"/>
      <c r="CPG3" s="59"/>
      <c r="CPH3" s="59"/>
      <c r="CPI3" s="59"/>
      <c r="CPJ3" s="59"/>
      <c r="CPK3" s="59"/>
      <c r="CPL3" s="59"/>
      <c r="CPM3" s="59"/>
      <c r="CPN3" s="59"/>
      <c r="CPO3" s="59"/>
      <c r="CPP3" s="59"/>
      <c r="CPQ3" s="59"/>
      <c r="CPR3" s="59"/>
      <c r="CPS3" s="59"/>
      <c r="CPT3" s="59"/>
      <c r="CPU3" s="59"/>
      <c r="CPV3" s="59"/>
      <c r="CPW3" s="59"/>
      <c r="CPX3" s="59"/>
      <c r="CPY3" s="59"/>
      <c r="CPZ3" s="59"/>
      <c r="CQA3" s="59"/>
      <c r="CQB3" s="59"/>
      <c r="CQC3" s="59"/>
      <c r="CQD3" s="59"/>
      <c r="CQE3" s="59"/>
      <c r="CQF3" s="59"/>
      <c r="CQG3" s="59"/>
      <c r="CQH3" s="59"/>
      <c r="CQI3" s="59"/>
      <c r="CQJ3" s="59"/>
      <c r="CQK3" s="59"/>
      <c r="CQL3" s="59"/>
      <c r="CQM3" s="59"/>
      <c r="CQN3" s="59"/>
      <c r="CQO3" s="59"/>
      <c r="CQP3" s="59"/>
      <c r="CQQ3" s="59"/>
      <c r="CQR3" s="59"/>
      <c r="CQS3" s="59"/>
      <c r="CQT3" s="59"/>
      <c r="CQU3" s="59"/>
      <c r="CQV3" s="59"/>
      <c r="CQW3" s="59"/>
      <c r="CQX3" s="59"/>
      <c r="CQY3" s="59"/>
      <c r="CQZ3" s="59"/>
      <c r="CRA3" s="59"/>
      <c r="CRB3" s="59"/>
      <c r="CRC3" s="59"/>
      <c r="CRD3" s="59"/>
      <c r="CRE3" s="59"/>
      <c r="CRF3" s="59"/>
      <c r="CRG3" s="59"/>
      <c r="CRH3" s="59"/>
      <c r="CRI3" s="59"/>
      <c r="CRJ3" s="59"/>
      <c r="CRK3" s="59"/>
      <c r="CRL3" s="59"/>
      <c r="CRM3" s="59"/>
      <c r="CRN3" s="59"/>
      <c r="CRO3" s="59"/>
      <c r="CRP3" s="59"/>
      <c r="CRQ3" s="59"/>
      <c r="CRR3" s="59"/>
      <c r="CRS3" s="59"/>
      <c r="CRT3" s="59"/>
      <c r="CRU3" s="59"/>
      <c r="CRV3" s="59"/>
      <c r="CRW3" s="59"/>
      <c r="CRX3" s="59"/>
      <c r="CRY3" s="59"/>
      <c r="CRZ3" s="59"/>
      <c r="CSA3" s="59"/>
      <c r="CSB3" s="59"/>
      <c r="CSC3" s="59"/>
      <c r="CSD3" s="59"/>
      <c r="CSE3" s="59"/>
      <c r="CSF3" s="59"/>
      <c r="CSG3" s="59"/>
      <c r="CSH3" s="59"/>
      <c r="CSI3" s="59"/>
      <c r="CSJ3" s="59"/>
      <c r="CSK3" s="59"/>
      <c r="CSL3" s="59"/>
      <c r="CSM3" s="59"/>
      <c r="CSN3" s="59"/>
      <c r="CSO3" s="59"/>
      <c r="CSP3" s="59"/>
      <c r="CSQ3" s="59"/>
      <c r="CSR3" s="59"/>
      <c r="CSS3" s="59"/>
      <c r="CST3" s="59"/>
      <c r="CSU3" s="59"/>
      <c r="CSV3" s="59"/>
      <c r="CSW3" s="59"/>
      <c r="CSX3" s="59"/>
      <c r="CSY3" s="59"/>
      <c r="CSZ3" s="59"/>
      <c r="CTA3" s="59"/>
      <c r="CTB3" s="59"/>
      <c r="CTC3" s="59"/>
      <c r="CTD3" s="59"/>
      <c r="CTE3" s="59"/>
      <c r="CTF3" s="59"/>
      <c r="CTG3" s="59"/>
      <c r="CTH3" s="59"/>
      <c r="CTI3" s="59"/>
      <c r="CTJ3" s="59"/>
      <c r="CTK3" s="59"/>
      <c r="CTL3" s="59"/>
      <c r="CTM3" s="59"/>
      <c r="CTN3" s="59"/>
      <c r="CTO3" s="59"/>
      <c r="CTP3" s="59"/>
      <c r="CTQ3" s="59"/>
      <c r="CTR3" s="59"/>
      <c r="CTS3" s="59"/>
      <c r="CTT3" s="59"/>
      <c r="CTU3" s="59"/>
      <c r="CTV3" s="59"/>
      <c r="CTW3" s="59"/>
      <c r="CTX3" s="59"/>
      <c r="CTY3" s="59"/>
      <c r="CTZ3" s="59"/>
      <c r="CUA3" s="59"/>
      <c r="CUB3" s="59"/>
      <c r="CUC3" s="59"/>
      <c r="CUD3" s="59"/>
      <c r="CUE3" s="59"/>
      <c r="CUF3" s="59"/>
      <c r="CUG3" s="59"/>
      <c r="CUH3" s="59"/>
      <c r="CUI3" s="59"/>
      <c r="CUJ3" s="59"/>
      <c r="CUK3" s="59"/>
      <c r="CUL3" s="59"/>
      <c r="CUM3" s="59"/>
      <c r="CUN3" s="59"/>
      <c r="CUO3" s="59"/>
      <c r="CUP3" s="59"/>
      <c r="CUQ3" s="59"/>
      <c r="CUR3" s="59"/>
      <c r="CUS3" s="59"/>
      <c r="CUT3" s="59"/>
      <c r="CUU3" s="59"/>
      <c r="CUV3" s="59"/>
      <c r="CUW3" s="59"/>
      <c r="CUX3" s="59"/>
      <c r="CUY3" s="59"/>
      <c r="CUZ3" s="59"/>
      <c r="CVA3" s="59"/>
      <c r="CVB3" s="59"/>
      <c r="CVC3" s="59"/>
      <c r="CVD3" s="59"/>
      <c r="CVE3" s="59"/>
      <c r="CVF3" s="59"/>
      <c r="CVG3" s="59"/>
      <c r="CVH3" s="59"/>
      <c r="CVI3" s="59"/>
      <c r="CVJ3" s="59"/>
      <c r="CVK3" s="59"/>
      <c r="CVL3" s="59"/>
      <c r="CVM3" s="59"/>
      <c r="CVN3" s="59"/>
      <c r="CVO3" s="59"/>
      <c r="CVP3" s="59"/>
      <c r="CVQ3" s="59"/>
      <c r="CVR3" s="59"/>
      <c r="CVS3" s="59"/>
      <c r="CVT3" s="59"/>
      <c r="CVU3" s="59"/>
      <c r="CVV3" s="59"/>
      <c r="CVW3" s="59"/>
      <c r="CVX3" s="59"/>
      <c r="CVY3" s="59"/>
      <c r="CVZ3" s="59"/>
      <c r="CWA3" s="59"/>
      <c r="CWB3" s="59"/>
      <c r="CWC3" s="59"/>
      <c r="CWD3" s="59"/>
      <c r="CWE3" s="59"/>
      <c r="CWF3" s="59"/>
      <c r="CWG3" s="59"/>
      <c r="CWH3" s="59"/>
      <c r="CWI3" s="59"/>
      <c r="CWJ3" s="59"/>
      <c r="CWK3" s="59"/>
      <c r="CWL3" s="59"/>
      <c r="CWM3" s="59"/>
      <c r="CWN3" s="59"/>
      <c r="CWO3" s="59"/>
      <c r="CWP3" s="59"/>
      <c r="CWQ3" s="59"/>
      <c r="CWR3" s="59"/>
      <c r="CWS3" s="59"/>
      <c r="CWT3" s="59"/>
      <c r="CWU3" s="59"/>
      <c r="CWV3" s="59"/>
      <c r="CWW3" s="59"/>
      <c r="CWX3" s="59"/>
      <c r="CWY3" s="59"/>
      <c r="CWZ3" s="59"/>
      <c r="CXA3" s="59"/>
      <c r="CXB3" s="59"/>
      <c r="CXC3" s="59"/>
      <c r="CXD3" s="59"/>
      <c r="CXE3" s="59"/>
      <c r="CXF3" s="59"/>
      <c r="CXG3" s="59"/>
      <c r="CXH3" s="59"/>
      <c r="CXI3" s="59"/>
      <c r="CXJ3" s="59"/>
      <c r="CXK3" s="59"/>
      <c r="CXL3" s="59"/>
      <c r="CXM3" s="59"/>
      <c r="CXN3" s="59"/>
      <c r="CXO3" s="59"/>
      <c r="CXP3" s="59"/>
      <c r="CXQ3" s="59"/>
      <c r="CXR3" s="59"/>
      <c r="CXS3" s="59"/>
      <c r="CXT3" s="59"/>
      <c r="CXU3" s="59"/>
      <c r="CXV3" s="59"/>
      <c r="CXW3" s="59"/>
      <c r="CXX3" s="59"/>
      <c r="CXY3" s="59"/>
      <c r="CXZ3" s="59"/>
      <c r="CYA3" s="59"/>
      <c r="CYB3" s="59"/>
      <c r="CYC3" s="59"/>
      <c r="CYD3" s="59"/>
      <c r="CYE3" s="59"/>
      <c r="CYF3" s="59"/>
      <c r="CYG3" s="59"/>
      <c r="CYH3" s="59"/>
      <c r="CYI3" s="59"/>
      <c r="CYJ3" s="59"/>
      <c r="CYK3" s="59"/>
      <c r="CYL3" s="59"/>
      <c r="CYM3" s="59"/>
      <c r="CYN3" s="59"/>
      <c r="CYO3" s="59"/>
      <c r="CYP3" s="59"/>
      <c r="CYQ3" s="59"/>
      <c r="CYR3" s="59"/>
      <c r="CYS3" s="59"/>
      <c r="CYT3" s="59"/>
      <c r="CYU3" s="59"/>
      <c r="CYV3" s="59"/>
      <c r="CYW3" s="59"/>
      <c r="CYX3" s="59"/>
      <c r="CYY3" s="59"/>
      <c r="CYZ3" s="59"/>
      <c r="CZA3" s="59"/>
      <c r="CZB3" s="59"/>
      <c r="CZC3" s="59"/>
      <c r="CZD3" s="59"/>
      <c r="CZE3" s="59"/>
      <c r="CZF3" s="59"/>
      <c r="CZG3" s="59"/>
      <c r="CZH3" s="59"/>
      <c r="CZI3" s="59"/>
      <c r="CZJ3" s="59"/>
      <c r="CZK3" s="59"/>
      <c r="CZL3" s="59"/>
      <c r="CZM3" s="59"/>
      <c r="CZN3" s="59"/>
      <c r="CZO3" s="59"/>
      <c r="CZP3" s="59"/>
      <c r="CZQ3" s="59"/>
      <c r="CZR3" s="59"/>
      <c r="CZS3" s="59"/>
      <c r="CZT3" s="59"/>
      <c r="CZU3" s="59"/>
      <c r="CZV3" s="59"/>
      <c r="CZW3" s="59"/>
      <c r="CZX3" s="59"/>
      <c r="CZY3" s="59"/>
      <c r="CZZ3" s="59"/>
      <c r="DAA3" s="59"/>
      <c r="DAB3" s="59"/>
      <c r="DAC3" s="59"/>
      <c r="DAD3" s="59"/>
      <c r="DAE3" s="59"/>
      <c r="DAF3" s="59"/>
      <c r="DAG3" s="59"/>
      <c r="DAH3" s="59"/>
      <c r="DAI3" s="59"/>
      <c r="DAJ3" s="59"/>
      <c r="DAK3" s="59"/>
      <c r="DAL3" s="59"/>
      <c r="DAM3" s="59"/>
      <c r="DAN3" s="59"/>
      <c r="DAO3" s="59"/>
      <c r="DAP3" s="59"/>
      <c r="DAQ3" s="59"/>
      <c r="DAR3" s="59"/>
      <c r="DAS3" s="59"/>
      <c r="DAT3" s="59"/>
      <c r="DAU3" s="59"/>
      <c r="DAV3" s="59"/>
      <c r="DAW3" s="59"/>
      <c r="DAX3" s="59"/>
      <c r="DAY3" s="59"/>
      <c r="DAZ3" s="59"/>
      <c r="DBA3" s="59"/>
      <c r="DBB3" s="59"/>
      <c r="DBC3" s="59"/>
      <c r="DBD3" s="59"/>
      <c r="DBE3" s="59"/>
      <c r="DBF3" s="59"/>
      <c r="DBG3" s="59"/>
      <c r="DBH3" s="59"/>
      <c r="DBI3" s="59"/>
      <c r="DBJ3" s="59"/>
      <c r="DBK3" s="59"/>
      <c r="DBL3" s="59"/>
      <c r="DBM3" s="59"/>
      <c r="DBN3" s="59"/>
      <c r="DBO3" s="59"/>
      <c r="DBP3" s="59"/>
      <c r="DBQ3" s="59"/>
      <c r="DBR3" s="59"/>
      <c r="DBS3" s="59"/>
      <c r="DBT3" s="59"/>
      <c r="DBU3" s="59"/>
      <c r="DBV3" s="59"/>
      <c r="DBW3" s="59"/>
      <c r="DBX3" s="59"/>
      <c r="DBY3" s="59"/>
      <c r="DBZ3" s="59"/>
      <c r="DCA3" s="59"/>
      <c r="DCB3" s="59"/>
      <c r="DCC3" s="59"/>
      <c r="DCD3" s="59"/>
      <c r="DCE3" s="59"/>
      <c r="DCF3" s="59"/>
      <c r="DCG3" s="59"/>
      <c r="DCH3" s="59"/>
      <c r="DCI3" s="59"/>
      <c r="DCJ3" s="59"/>
      <c r="DCK3" s="59"/>
      <c r="DCL3" s="59"/>
      <c r="DCM3" s="59"/>
      <c r="DCN3" s="59"/>
      <c r="DCO3" s="59"/>
      <c r="DCP3" s="59"/>
      <c r="DCQ3" s="59"/>
      <c r="DCR3" s="59"/>
      <c r="DCS3" s="59"/>
      <c r="DCT3" s="59"/>
      <c r="DCU3" s="59"/>
      <c r="DCV3" s="59"/>
      <c r="DCW3" s="59"/>
      <c r="DCX3" s="59"/>
      <c r="DCY3" s="59"/>
      <c r="DCZ3" s="59"/>
      <c r="DDA3" s="59"/>
      <c r="DDB3" s="59"/>
      <c r="DDC3" s="59"/>
      <c r="DDD3" s="59"/>
      <c r="DDE3" s="59"/>
      <c r="DDF3" s="59"/>
      <c r="DDG3" s="59"/>
      <c r="DDH3" s="59"/>
      <c r="DDI3" s="59"/>
      <c r="DDJ3" s="59"/>
      <c r="DDK3" s="59"/>
      <c r="DDL3" s="59"/>
      <c r="DDM3" s="59"/>
      <c r="DDN3" s="59"/>
      <c r="DDO3" s="59"/>
      <c r="DDP3" s="59"/>
      <c r="DDQ3" s="59"/>
      <c r="DDR3" s="59"/>
      <c r="DDS3" s="59"/>
      <c r="DDT3" s="59"/>
      <c r="DDU3" s="59"/>
      <c r="DDV3" s="59"/>
      <c r="DDW3" s="59"/>
      <c r="DDX3" s="59"/>
      <c r="DDY3" s="59"/>
      <c r="DDZ3" s="59"/>
      <c r="DEA3" s="59"/>
      <c r="DEB3" s="59"/>
      <c r="DEC3" s="59"/>
      <c r="DED3" s="59"/>
      <c r="DEE3" s="59"/>
      <c r="DEF3" s="59"/>
      <c r="DEG3" s="59"/>
      <c r="DEH3" s="59"/>
      <c r="DEI3" s="59"/>
      <c r="DEJ3" s="59"/>
      <c r="DEK3" s="59"/>
      <c r="DEL3" s="59"/>
      <c r="DEM3" s="59"/>
      <c r="DEN3" s="59"/>
      <c r="DEO3" s="59"/>
      <c r="DEP3" s="59"/>
      <c r="DEQ3" s="59"/>
      <c r="DER3" s="59"/>
      <c r="DES3" s="59"/>
      <c r="DET3" s="59"/>
      <c r="DEU3" s="59"/>
      <c r="DEV3" s="59"/>
      <c r="DEW3" s="59"/>
      <c r="DEX3" s="59"/>
      <c r="DEY3" s="59"/>
      <c r="DEZ3" s="59"/>
      <c r="DFA3" s="59"/>
      <c r="DFB3" s="59"/>
      <c r="DFC3" s="59"/>
      <c r="DFD3" s="59"/>
      <c r="DFE3" s="59"/>
      <c r="DFF3" s="59"/>
      <c r="DFG3" s="59"/>
      <c r="DFH3" s="59"/>
      <c r="DFI3" s="59"/>
      <c r="DFJ3" s="59"/>
      <c r="DFK3" s="59"/>
      <c r="DFL3" s="59"/>
      <c r="DFM3" s="59"/>
      <c r="DFN3" s="59"/>
      <c r="DFO3" s="59"/>
      <c r="DFP3" s="59"/>
      <c r="DFQ3" s="59"/>
      <c r="DFR3" s="59"/>
      <c r="DFS3" s="59"/>
      <c r="DFT3" s="59"/>
      <c r="DFU3" s="59"/>
      <c r="DFV3" s="59"/>
      <c r="DFW3" s="59"/>
      <c r="DFX3" s="59"/>
      <c r="DFY3" s="59"/>
      <c r="DFZ3" s="59"/>
      <c r="DGA3" s="59"/>
      <c r="DGB3" s="59"/>
      <c r="DGC3" s="59"/>
      <c r="DGD3" s="59"/>
      <c r="DGE3" s="59"/>
      <c r="DGF3" s="59"/>
      <c r="DGG3" s="59"/>
      <c r="DGH3" s="59"/>
      <c r="DGI3" s="59"/>
      <c r="DGJ3" s="59"/>
      <c r="DGK3" s="59"/>
      <c r="DGL3" s="59"/>
      <c r="DGM3" s="59"/>
      <c r="DGN3" s="59"/>
      <c r="DGO3" s="59"/>
      <c r="DGP3" s="59"/>
      <c r="DGQ3" s="59"/>
      <c r="DGR3" s="59"/>
      <c r="DGS3" s="59"/>
      <c r="DGT3" s="59"/>
      <c r="DGU3" s="59"/>
      <c r="DGV3" s="59"/>
      <c r="DGW3" s="59"/>
      <c r="DGX3" s="59"/>
      <c r="DGY3" s="59"/>
      <c r="DGZ3" s="59"/>
      <c r="DHA3" s="59"/>
      <c r="DHB3" s="59"/>
      <c r="DHC3" s="59"/>
      <c r="DHD3" s="59"/>
      <c r="DHE3" s="59"/>
      <c r="DHF3" s="59"/>
      <c r="DHG3" s="59"/>
      <c r="DHH3" s="59"/>
      <c r="DHI3" s="59"/>
      <c r="DHJ3" s="59"/>
      <c r="DHK3" s="59"/>
      <c r="DHL3" s="59"/>
      <c r="DHM3" s="59"/>
      <c r="DHN3" s="59"/>
      <c r="DHO3" s="59"/>
      <c r="DHP3" s="59"/>
      <c r="DHQ3" s="59"/>
      <c r="DHR3" s="59"/>
      <c r="DHS3" s="59"/>
      <c r="DHT3" s="59"/>
      <c r="DHU3" s="59"/>
      <c r="DHV3" s="59"/>
      <c r="DHW3" s="59"/>
      <c r="DHX3" s="59"/>
      <c r="DHY3" s="59"/>
      <c r="DHZ3" s="59"/>
      <c r="DIA3" s="59"/>
      <c r="DIB3" s="59"/>
      <c r="DIC3" s="59"/>
      <c r="DID3" s="59"/>
      <c r="DIE3" s="59"/>
      <c r="DIF3" s="59"/>
      <c r="DIG3" s="59"/>
      <c r="DIH3" s="59"/>
      <c r="DII3" s="59"/>
      <c r="DIJ3" s="59"/>
      <c r="DIK3" s="59"/>
      <c r="DIL3" s="59"/>
      <c r="DIM3" s="59"/>
      <c r="DIN3" s="59"/>
      <c r="DIO3" s="59"/>
      <c r="DIP3" s="59"/>
      <c r="DIQ3" s="59"/>
      <c r="DIR3" s="59"/>
      <c r="DIS3" s="59"/>
      <c r="DIT3" s="59"/>
      <c r="DIU3" s="59"/>
      <c r="DIV3" s="59"/>
      <c r="DIW3" s="59"/>
      <c r="DIX3" s="59"/>
      <c r="DIY3" s="59"/>
      <c r="DIZ3" s="59"/>
      <c r="DJA3" s="59"/>
      <c r="DJB3" s="59"/>
      <c r="DJC3" s="59"/>
      <c r="DJD3" s="59"/>
      <c r="DJE3" s="59"/>
      <c r="DJF3" s="59"/>
      <c r="DJG3" s="59"/>
      <c r="DJH3" s="59"/>
      <c r="DJI3" s="59"/>
      <c r="DJJ3" s="59"/>
      <c r="DJK3" s="59"/>
      <c r="DJL3" s="59"/>
      <c r="DJM3" s="59"/>
      <c r="DJN3" s="59"/>
      <c r="DJO3" s="59"/>
      <c r="DJP3" s="59"/>
      <c r="DJQ3" s="59"/>
      <c r="DJR3" s="59"/>
      <c r="DJS3" s="59"/>
      <c r="DJT3" s="59"/>
      <c r="DJU3" s="59"/>
      <c r="DJV3" s="59"/>
      <c r="DJW3" s="59"/>
      <c r="DJX3" s="59"/>
      <c r="DJY3" s="59"/>
      <c r="DJZ3" s="59"/>
      <c r="DKA3" s="59"/>
      <c r="DKB3" s="59"/>
      <c r="DKC3" s="59"/>
      <c r="DKD3" s="59"/>
      <c r="DKE3" s="59"/>
      <c r="DKF3" s="59"/>
      <c r="DKG3" s="59"/>
      <c r="DKH3" s="59"/>
      <c r="DKI3" s="59"/>
      <c r="DKJ3" s="59"/>
      <c r="DKK3" s="59"/>
      <c r="DKL3" s="59"/>
      <c r="DKM3" s="59"/>
      <c r="DKN3" s="59"/>
      <c r="DKO3" s="59"/>
      <c r="DKP3" s="59"/>
      <c r="DKQ3" s="59"/>
      <c r="DKR3" s="59"/>
      <c r="DKS3" s="59"/>
      <c r="DKT3" s="59"/>
      <c r="DKU3" s="59"/>
      <c r="DKV3" s="59"/>
      <c r="DKW3" s="59"/>
      <c r="DKX3" s="59"/>
      <c r="DKY3" s="59"/>
      <c r="DKZ3" s="59"/>
      <c r="DLA3" s="59"/>
      <c r="DLB3" s="59"/>
      <c r="DLC3" s="59"/>
      <c r="DLD3" s="59"/>
      <c r="DLE3" s="59"/>
      <c r="DLF3" s="59"/>
      <c r="DLG3" s="59"/>
      <c r="DLH3" s="59"/>
      <c r="DLI3" s="59"/>
      <c r="DLJ3" s="59"/>
      <c r="DLK3" s="59"/>
      <c r="DLL3" s="59"/>
      <c r="DLM3" s="59"/>
      <c r="DLN3" s="59"/>
      <c r="DLO3" s="59"/>
      <c r="DLP3" s="59"/>
      <c r="DLQ3" s="59"/>
      <c r="DLR3" s="59"/>
      <c r="DLS3" s="59"/>
      <c r="DLT3" s="59"/>
      <c r="DLU3" s="59"/>
      <c r="DLV3" s="59"/>
      <c r="DLW3" s="59"/>
      <c r="DLX3" s="59"/>
      <c r="DLY3" s="59"/>
      <c r="DLZ3" s="59"/>
      <c r="DMA3" s="59"/>
      <c r="DMB3" s="59"/>
      <c r="DMC3" s="59"/>
      <c r="DMD3" s="59"/>
      <c r="DME3" s="59"/>
      <c r="DMF3" s="59"/>
      <c r="DMG3" s="59"/>
      <c r="DMH3" s="59"/>
      <c r="DMI3" s="59"/>
      <c r="DMJ3" s="59"/>
      <c r="DMK3" s="59"/>
      <c r="DML3" s="59"/>
      <c r="DMM3" s="59"/>
      <c r="DMN3" s="59"/>
      <c r="DMO3" s="59"/>
      <c r="DMP3" s="59"/>
      <c r="DMQ3" s="59"/>
      <c r="DMR3" s="59"/>
      <c r="DMS3" s="59"/>
      <c r="DMT3" s="59"/>
      <c r="DMU3" s="59"/>
      <c r="DMV3" s="59"/>
      <c r="DMW3" s="59"/>
      <c r="DMX3" s="59"/>
      <c r="DMY3" s="59"/>
      <c r="DMZ3" s="59"/>
      <c r="DNA3" s="59"/>
      <c r="DNB3" s="59"/>
      <c r="DNC3" s="59"/>
      <c r="DND3" s="59"/>
      <c r="DNE3" s="59"/>
      <c r="DNF3" s="59"/>
      <c r="DNG3" s="59"/>
      <c r="DNH3" s="59"/>
      <c r="DNI3" s="59"/>
      <c r="DNJ3" s="59"/>
      <c r="DNK3" s="59"/>
      <c r="DNL3" s="59"/>
      <c r="DNM3" s="59"/>
      <c r="DNN3" s="59"/>
      <c r="DNO3" s="59"/>
      <c r="DNP3" s="59"/>
      <c r="DNQ3" s="59"/>
      <c r="DNR3" s="59"/>
      <c r="DNS3" s="59"/>
      <c r="DNT3" s="59"/>
      <c r="DNU3" s="59"/>
      <c r="DNV3" s="59"/>
      <c r="DNW3" s="59"/>
      <c r="DNX3" s="59"/>
      <c r="DNY3" s="59"/>
      <c r="DNZ3" s="59"/>
      <c r="DOA3" s="59"/>
      <c r="DOB3" s="59"/>
      <c r="DOC3" s="59"/>
      <c r="DOD3" s="59"/>
      <c r="DOE3" s="59"/>
      <c r="DOF3" s="59"/>
      <c r="DOG3" s="59"/>
      <c r="DOH3" s="59"/>
      <c r="DOI3" s="59"/>
      <c r="DOJ3" s="59"/>
      <c r="DOK3" s="59"/>
      <c r="DOL3" s="59"/>
      <c r="DOM3" s="59"/>
      <c r="DON3" s="59"/>
      <c r="DOO3" s="59"/>
      <c r="DOP3" s="59"/>
      <c r="DOQ3" s="59"/>
      <c r="DOR3" s="59"/>
      <c r="DOS3" s="59"/>
      <c r="DOT3" s="59"/>
      <c r="DOU3" s="59"/>
      <c r="DOV3" s="59"/>
      <c r="DOW3" s="59"/>
      <c r="DOX3" s="59"/>
      <c r="DOY3" s="59"/>
      <c r="DOZ3" s="59"/>
      <c r="DPA3" s="59"/>
      <c r="DPB3" s="59"/>
      <c r="DPC3" s="59"/>
      <c r="DPD3" s="59"/>
      <c r="DPE3" s="59"/>
      <c r="DPF3" s="59"/>
      <c r="DPG3" s="59"/>
      <c r="DPH3" s="59"/>
      <c r="DPI3" s="59"/>
      <c r="DPJ3" s="59"/>
      <c r="DPK3" s="59"/>
      <c r="DPL3" s="59"/>
      <c r="DPM3" s="59"/>
      <c r="DPN3" s="59"/>
      <c r="DPO3" s="59"/>
      <c r="DPP3" s="59"/>
      <c r="DPQ3" s="59"/>
      <c r="DPR3" s="59"/>
      <c r="DPS3" s="59"/>
      <c r="DPT3" s="59"/>
      <c r="DPU3" s="59"/>
      <c r="DPV3" s="59"/>
      <c r="DPW3" s="59"/>
      <c r="DPX3" s="59"/>
      <c r="DPY3" s="59"/>
      <c r="DPZ3" s="59"/>
      <c r="DQA3" s="59"/>
      <c r="DQB3" s="59"/>
      <c r="DQC3" s="59"/>
      <c r="DQD3" s="59"/>
      <c r="DQE3" s="59"/>
      <c r="DQF3" s="59"/>
      <c r="DQG3" s="59"/>
      <c r="DQH3" s="59"/>
      <c r="DQI3" s="59"/>
      <c r="DQJ3" s="59"/>
      <c r="DQK3" s="59"/>
      <c r="DQL3" s="59"/>
      <c r="DQM3" s="59"/>
      <c r="DQN3" s="59"/>
      <c r="DQO3" s="59"/>
      <c r="DQP3" s="59"/>
      <c r="DQQ3" s="59"/>
      <c r="DQR3" s="59"/>
      <c r="DQS3" s="59"/>
      <c r="DQT3" s="59"/>
      <c r="DQU3" s="59"/>
      <c r="DQV3" s="59"/>
      <c r="DQW3" s="59"/>
      <c r="DQX3" s="59"/>
      <c r="DQY3" s="59"/>
      <c r="DQZ3" s="59"/>
      <c r="DRA3" s="59"/>
      <c r="DRB3" s="59"/>
      <c r="DRC3" s="59"/>
      <c r="DRD3" s="59"/>
      <c r="DRE3" s="59"/>
      <c r="DRF3" s="59"/>
      <c r="DRG3" s="59"/>
      <c r="DRH3" s="59"/>
      <c r="DRI3" s="59"/>
      <c r="DRJ3" s="59"/>
      <c r="DRK3" s="59"/>
      <c r="DRL3" s="59"/>
      <c r="DRM3" s="59"/>
      <c r="DRN3" s="59"/>
      <c r="DRO3" s="59"/>
      <c r="DRP3" s="59"/>
      <c r="DRQ3" s="59"/>
      <c r="DRR3" s="59"/>
      <c r="DRS3" s="59"/>
      <c r="DRT3" s="59"/>
      <c r="DRU3" s="59"/>
      <c r="DRV3" s="59"/>
      <c r="DRW3" s="59"/>
      <c r="DRX3" s="59"/>
      <c r="DRY3" s="59"/>
      <c r="DRZ3" s="59"/>
      <c r="DSA3" s="59"/>
      <c r="DSB3" s="59"/>
      <c r="DSC3" s="59"/>
      <c r="DSD3" s="59"/>
      <c r="DSE3" s="59"/>
      <c r="DSF3" s="59"/>
      <c r="DSG3" s="59"/>
      <c r="DSH3" s="59"/>
      <c r="DSI3" s="59"/>
      <c r="DSJ3" s="59"/>
      <c r="DSK3" s="59"/>
      <c r="DSL3" s="59"/>
      <c r="DSM3" s="59"/>
      <c r="DSN3" s="59"/>
      <c r="DSO3" s="59"/>
      <c r="DSP3" s="59"/>
      <c r="DSQ3" s="59"/>
      <c r="DSR3" s="59"/>
      <c r="DSS3" s="59"/>
      <c r="DST3" s="59"/>
      <c r="DSU3" s="59"/>
      <c r="DSV3" s="59"/>
      <c r="DSW3" s="59"/>
      <c r="DSX3" s="59"/>
      <c r="DSY3" s="59"/>
      <c r="DSZ3" s="59"/>
      <c r="DTA3" s="59"/>
      <c r="DTB3" s="59"/>
      <c r="DTC3" s="59"/>
      <c r="DTD3" s="59"/>
      <c r="DTE3" s="59"/>
      <c r="DTF3" s="59"/>
      <c r="DTG3" s="59"/>
      <c r="DTH3" s="59"/>
      <c r="DTI3" s="59"/>
      <c r="DTJ3" s="59"/>
      <c r="DTK3" s="59"/>
      <c r="DTL3" s="59"/>
      <c r="DTM3" s="59"/>
      <c r="DTN3" s="59"/>
      <c r="DTO3" s="59"/>
      <c r="DTP3" s="59"/>
      <c r="DTQ3" s="59"/>
      <c r="DTR3" s="59"/>
      <c r="DTS3" s="59"/>
      <c r="DTT3" s="59"/>
      <c r="DTU3" s="59"/>
      <c r="DTV3" s="59"/>
      <c r="DTW3" s="59"/>
      <c r="DTX3" s="59"/>
      <c r="DTY3" s="59"/>
      <c r="DTZ3" s="59"/>
      <c r="DUA3" s="59"/>
      <c r="DUB3" s="59"/>
      <c r="DUC3" s="59"/>
      <c r="DUD3" s="59"/>
      <c r="DUE3" s="59"/>
      <c r="DUF3" s="59"/>
      <c r="DUG3" s="59"/>
      <c r="DUH3" s="59"/>
      <c r="DUI3" s="59"/>
      <c r="DUJ3" s="59"/>
      <c r="DUK3" s="59"/>
      <c r="DUL3" s="59"/>
      <c r="DUM3" s="59"/>
      <c r="DUN3" s="59"/>
      <c r="DUO3" s="59"/>
      <c r="DUP3" s="59"/>
      <c r="DUQ3" s="59"/>
      <c r="DUR3" s="59"/>
      <c r="DUS3" s="59"/>
      <c r="DUT3" s="59"/>
      <c r="DUU3" s="59"/>
      <c r="DUV3" s="59"/>
      <c r="DUW3" s="59"/>
      <c r="DUX3" s="59"/>
      <c r="DUY3" s="59"/>
      <c r="DUZ3" s="59"/>
      <c r="DVA3" s="59"/>
      <c r="DVB3" s="59"/>
      <c r="DVC3" s="59"/>
      <c r="DVD3" s="59"/>
      <c r="DVE3" s="59"/>
      <c r="DVF3" s="59"/>
      <c r="DVG3" s="59"/>
      <c r="DVH3" s="59"/>
      <c r="DVI3" s="59"/>
      <c r="DVJ3" s="59"/>
      <c r="DVK3" s="59"/>
      <c r="DVL3" s="59"/>
      <c r="DVM3" s="59"/>
      <c r="DVN3" s="59"/>
      <c r="DVO3" s="59"/>
      <c r="DVP3" s="59"/>
      <c r="DVQ3" s="59"/>
      <c r="DVR3" s="59"/>
      <c r="DVS3" s="59"/>
      <c r="DVT3" s="59"/>
      <c r="DVU3" s="59"/>
      <c r="DVV3" s="59"/>
      <c r="DVW3" s="59"/>
      <c r="DVX3" s="59"/>
      <c r="DVY3" s="59"/>
      <c r="DVZ3" s="59"/>
      <c r="DWA3" s="59"/>
      <c r="DWB3" s="59"/>
      <c r="DWC3" s="59"/>
      <c r="DWD3" s="59"/>
      <c r="DWE3" s="59"/>
      <c r="DWF3" s="59"/>
      <c r="DWG3" s="59"/>
      <c r="DWH3" s="59"/>
      <c r="DWI3" s="59"/>
      <c r="DWJ3" s="59"/>
      <c r="DWK3" s="59"/>
      <c r="DWL3" s="59"/>
      <c r="DWM3" s="59"/>
      <c r="DWN3" s="59"/>
      <c r="DWO3" s="59"/>
      <c r="DWP3" s="59"/>
      <c r="DWQ3" s="59"/>
      <c r="DWR3" s="59"/>
      <c r="DWS3" s="59"/>
      <c r="DWT3" s="59"/>
      <c r="DWU3" s="59"/>
      <c r="DWV3" s="59"/>
      <c r="DWW3" s="59"/>
      <c r="DWX3" s="59"/>
      <c r="DWY3" s="59"/>
      <c r="DWZ3" s="59"/>
      <c r="DXA3" s="59"/>
      <c r="DXB3" s="59"/>
      <c r="DXC3" s="59"/>
      <c r="DXD3" s="59"/>
      <c r="DXE3" s="59"/>
      <c r="DXF3" s="59"/>
      <c r="DXG3" s="59"/>
      <c r="DXH3" s="59"/>
      <c r="DXI3" s="59"/>
      <c r="DXJ3" s="59"/>
      <c r="DXK3" s="59"/>
      <c r="DXL3" s="59"/>
      <c r="DXM3" s="59"/>
      <c r="DXN3" s="59"/>
      <c r="DXO3" s="59"/>
      <c r="DXP3" s="59"/>
      <c r="DXQ3" s="59"/>
      <c r="DXR3" s="59"/>
      <c r="DXS3" s="59"/>
      <c r="DXT3" s="59"/>
      <c r="DXU3" s="59"/>
      <c r="DXV3" s="59"/>
      <c r="DXW3" s="59"/>
      <c r="DXX3" s="59"/>
      <c r="DXY3" s="59"/>
      <c r="DXZ3" s="59"/>
      <c r="DYA3" s="59"/>
      <c r="DYB3" s="59"/>
      <c r="DYC3" s="59"/>
      <c r="DYD3" s="59"/>
      <c r="DYE3" s="59"/>
      <c r="DYF3" s="59"/>
      <c r="DYG3" s="59"/>
      <c r="DYH3" s="59"/>
      <c r="DYI3" s="59"/>
      <c r="DYJ3" s="59"/>
      <c r="DYK3" s="59"/>
      <c r="DYL3" s="59"/>
      <c r="DYM3" s="59"/>
      <c r="DYN3" s="59"/>
      <c r="DYO3" s="59"/>
      <c r="DYP3" s="59"/>
      <c r="DYQ3" s="59"/>
      <c r="DYR3" s="59"/>
      <c r="DYS3" s="59"/>
      <c r="DYT3" s="59"/>
      <c r="DYU3" s="59"/>
      <c r="DYV3" s="59"/>
      <c r="DYW3" s="59"/>
      <c r="DYX3" s="59"/>
      <c r="DYY3" s="59"/>
      <c r="DYZ3" s="59"/>
      <c r="DZA3" s="59"/>
      <c r="DZB3" s="59"/>
      <c r="DZC3" s="59"/>
      <c r="DZD3" s="59"/>
      <c r="DZE3" s="59"/>
      <c r="DZF3" s="59"/>
      <c r="DZG3" s="59"/>
      <c r="DZH3" s="59"/>
      <c r="DZI3" s="59"/>
      <c r="DZJ3" s="59"/>
      <c r="DZK3" s="59"/>
      <c r="DZL3" s="59"/>
      <c r="DZM3" s="59"/>
      <c r="DZN3" s="59"/>
      <c r="DZO3" s="59"/>
      <c r="DZP3" s="59"/>
      <c r="DZQ3" s="59"/>
      <c r="DZR3" s="59"/>
      <c r="DZS3" s="59"/>
      <c r="DZT3" s="59"/>
      <c r="DZU3" s="59"/>
      <c r="DZV3" s="59"/>
      <c r="DZW3" s="59"/>
      <c r="DZX3" s="59"/>
      <c r="DZY3" s="59"/>
      <c r="DZZ3" s="59"/>
      <c r="EAA3" s="59"/>
      <c r="EAB3" s="59"/>
      <c r="EAC3" s="59"/>
      <c r="EAD3" s="59"/>
      <c r="EAE3" s="59"/>
      <c r="EAF3" s="59"/>
      <c r="EAG3" s="59"/>
      <c r="EAH3" s="59"/>
      <c r="EAI3" s="59"/>
      <c r="EAJ3" s="59"/>
      <c r="EAK3" s="59"/>
      <c r="EAL3" s="59"/>
      <c r="EAM3" s="59"/>
      <c r="EAN3" s="59"/>
      <c r="EAO3" s="59"/>
      <c r="EAP3" s="59"/>
      <c r="EAQ3" s="59"/>
      <c r="EAR3" s="59"/>
      <c r="EAS3" s="59"/>
      <c r="EAT3" s="59"/>
      <c r="EAU3" s="59"/>
      <c r="EAV3" s="59"/>
      <c r="EAW3" s="59"/>
      <c r="EAX3" s="59"/>
      <c r="EAY3" s="59"/>
      <c r="EAZ3" s="59"/>
      <c r="EBA3" s="59"/>
      <c r="EBB3" s="59"/>
      <c r="EBC3" s="59"/>
      <c r="EBD3" s="59"/>
      <c r="EBE3" s="59"/>
      <c r="EBF3" s="59"/>
      <c r="EBG3" s="59"/>
      <c r="EBH3" s="59"/>
      <c r="EBI3" s="59"/>
      <c r="EBJ3" s="59"/>
      <c r="EBK3" s="59"/>
      <c r="EBL3" s="59"/>
      <c r="EBM3" s="59"/>
      <c r="EBN3" s="59"/>
      <c r="EBO3" s="59"/>
      <c r="EBP3" s="59"/>
      <c r="EBQ3" s="59"/>
      <c r="EBR3" s="59"/>
      <c r="EBS3" s="59"/>
      <c r="EBT3" s="59"/>
      <c r="EBU3" s="59"/>
      <c r="EBV3" s="59"/>
      <c r="EBW3" s="59"/>
      <c r="EBX3" s="59"/>
      <c r="EBY3" s="59"/>
      <c r="EBZ3" s="59"/>
      <c r="ECA3" s="59"/>
      <c r="ECB3" s="59"/>
      <c r="ECC3" s="59"/>
      <c r="ECD3" s="59"/>
      <c r="ECE3" s="59"/>
      <c r="ECF3" s="59"/>
      <c r="ECG3" s="59"/>
      <c r="ECH3" s="59"/>
      <c r="ECI3" s="59"/>
      <c r="ECJ3" s="59"/>
      <c r="ECK3" s="59"/>
      <c r="ECL3" s="59"/>
      <c r="ECM3" s="59"/>
      <c r="ECN3" s="59"/>
      <c r="ECO3" s="59"/>
      <c r="ECP3" s="59"/>
      <c r="ECQ3" s="59"/>
      <c r="ECR3" s="59"/>
      <c r="ECS3" s="59"/>
      <c r="ECT3" s="59"/>
      <c r="ECU3" s="59"/>
      <c r="ECV3" s="59"/>
      <c r="ECW3" s="59"/>
      <c r="ECX3" s="59"/>
      <c r="ECY3" s="59"/>
      <c r="ECZ3" s="59"/>
      <c r="EDA3" s="59"/>
      <c r="EDB3" s="59"/>
      <c r="EDC3" s="59"/>
      <c r="EDD3" s="59"/>
      <c r="EDE3" s="59"/>
      <c r="EDF3" s="59"/>
      <c r="EDG3" s="59"/>
      <c r="EDH3" s="59"/>
      <c r="EDI3" s="59"/>
      <c r="EDJ3" s="59"/>
      <c r="EDK3" s="59"/>
      <c r="EDL3" s="59"/>
      <c r="EDM3" s="59"/>
      <c r="EDN3" s="59"/>
      <c r="EDO3" s="59"/>
      <c r="EDP3" s="59"/>
      <c r="EDQ3" s="59"/>
      <c r="EDR3" s="59"/>
      <c r="EDS3" s="59"/>
      <c r="EDT3" s="59"/>
      <c r="EDU3" s="59"/>
      <c r="EDV3" s="59"/>
      <c r="EDW3" s="59"/>
      <c r="EDX3" s="59"/>
      <c r="EDY3" s="59"/>
      <c r="EDZ3" s="59"/>
      <c r="EEA3" s="59"/>
      <c r="EEB3" s="59"/>
      <c r="EEC3" s="59"/>
      <c r="EED3" s="59"/>
      <c r="EEE3" s="59"/>
      <c r="EEF3" s="59"/>
      <c r="EEG3" s="59"/>
      <c r="EEH3" s="59"/>
      <c r="EEI3" s="59"/>
      <c r="EEJ3" s="59"/>
      <c r="EEK3" s="59"/>
      <c r="EEL3" s="59"/>
      <c r="EEM3" s="59"/>
      <c r="EEN3" s="59"/>
      <c r="EEO3" s="59"/>
      <c r="EEP3" s="59"/>
      <c r="EEQ3" s="59"/>
      <c r="EER3" s="59"/>
      <c r="EES3" s="59"/>
      <c r="EET3" s="59"/>
      <c r="EEU3" s="59"/>
      <c r="EEV3" s="59"/>
      <c r="EEW3" s="59"/>
      <c r="EEX3" s="59"/>
      <c r="EEY3" s="59"/>
      <c r="EEZ3" s="59"/>
      <c r="EFA3" s="59"/>
      <c r="EFB3" s="59"/>
      <c r="EFC3" s="59"/>
      <c r="EFD3" s="59"/>
      <c r="EFE3" s="59"/>
      <c r="EFF3" s="59"/>
      <c r="EFG3" s="59"/>
      <c r="EFH3" s="59"/>
      <c r="EFI3" s="59"/>
      <c r="EFJ3" s="59"/>
      <c r="EFK3" s="59"/>
      <c r="EFL3" s="59"/>
      <c r="EFM3" s="59"/>
      <c r="EFN3" s="59"/>
      <c r="EFO3" s="59"/>
      <c r="EFP3" s="59"/>
      <c r="EFQ3" s="59"/>
      <c r="EFR3" s="59"/>
      <c r="EFS3" s="59"/>
      <c r="EFT3" s="59"/>
      <c r="EFU3" s="59"/>
      <c r="EFV3" s="59"/>
      <c r="EFW3" s="59"/>
      <c r="EFX3" s="59"/>
      <c r="EFY3" s="59"/>
      <c r="EFZ3" s="59"/>
      <c r="EGA3" s="59"/>
      <c r="EGB3" s="59"/>
      <c r="EGC3" s="59"/>
      <c r="EGD3" s="59"/>
      <c r="EGE3" s="59"/>
      <c r="EGF3" s="59"/>
      <c r="EGG3" s="59"/>
      <c r="EGH3" s="59"/>
      <c r="EGI3" s="59"/>
      <c r="EGJ3" s="59"/>
      <c r="EGK3" s="59"/>
      <c r="EGL3" s="59"/>
      <c r="EGM3" s="59"/>
      <c r="EGN3" s="59"/>
      <c r="EGO3" s="59"/>
      <c r="EGP3" s="59"/>
      <c r="EGQ3" s="59"/>
      <c r="EGR3" s="59"/>
      <c r="EGS3" s="59"/>
      <c r="EGT3" s="59"/>
      <c r="EGU3" s="59"/>
      <c r="EGV3" s="59"/>
      <c r="EGW3" s="59"/>
      <c r="EGX3" s="59"/>
      <c r="EGY3" s="59"/>
      <c r="EGZ3" s="59"/>
      <c r="EHA3" s="59"/>
      <c r="EHB3" s="59"/>
      <c r="EHC3" s="59"/>
      <c r="EHD3" s="59"/>
      <c r="EHE3" s="59"/>
      <c r="EHF3" s="59"/>
      <c r="EHG3" s="59"/>
      <c r="EHH3" s="59"/>
      <c r="EHI3" s="59"/>
      <c r="EHJ3" s="59"/>
      <c r="EHK3" s="59"/>
      <c r="EHL3" s="59"/>
      <c r="EHM3" s="59"/>
      <c r="EHN3" s="59"/>
      <c r="EHO3" s="59"/>
      <c r="EHP3" s="59"/>
      <c r="EHQ3" s="59"/>
      <c r="EHR3" s="59"/>
      <c r="EHS3" s="59"/>
      <c r="EHT3" s="59"/>
      <c r="EHU3" s="59"/>
      <c r="EHV3" s="59"/>
      <c r="EHW3" s="59"/>
      <c r="EHX3" s="59"/>
      <c r="EHY3" s="59"/>
      <c r="EHZ3" s="59"/>
      <c r="EIA3" s="59"/>
      <c r="EIB3" s="59"/>
      <c r="EIC3" s="59"/>
      <c r="EID3" s="59"/>
      <c r="EIE3" s="59"/>
      <c r="EIF3" s="59"/>
      <c r="EIG3" s="59"/>
      <c r="EIH3" s="59"/>
      <c r="EII3" s="59"/>
      <c r="EIJ3" s="59"/>
      <c r="EIK3" s="59"/>
      <c r="EIL3" s="59"/>
      <c r="EIM3" s="59"/>
      <c r="EIN3" s="59"/>
      <c r="EIO3" s="59"/>
      <c r="EIP3" s="59"/>
      <c r="EIQ3" s="59"/>
      <c r="EIR3" s="59"/>
      <c r="EIS3" s="59"/>
      <c r="EIT3" s="59"/>
      <c r="EIU3" s="59"/>
      <c r="EIV3" s="59"/>
      <c r="EIW3" s="59"/>
      <c r="EIX3" s="59"/>
      <c r="EIY3" s="59"/>
      <c r="EIZ3" s="59"/>
      <c r="EJA3" s="59"/>
      <c r="EJB3" s="59"/>
      <c r="EJC3" s="59"/>
      <c r="EJD3" s="59"/>
      <c r="EJE3" s="59"/>
      <c r="EJF3" s="59"/>
      <c r="EJG3" s="59"/>
      <c r="EJH3" s="59"/>
      <c r="EJI3" s="59"/>
      <c r="EJJ3" s="59"/>
      <c r="EJK3" s="59"/>
      <c r="EJL3" s="59"/>
      <c r="EJM3" s="59"/>
      <c r="EJN3" s="59"/>
      <c r="EJO3" s="59"/>
      <c r="EJP3" s="59"/>
      <c r="EJQ3" s="59"/>
      <c r="EJR3" s="59"/>
      <c r="EJS3" s="59"/>
      <c r="EJT3" s="59"/>
      <c r="EJU3" s="59"/>
      <c r="EJV3" s="59"/>
      <c r="EJW3" s="59"/>
      <c r="EJX3" s="59"/>
      <c r="EJY3" s="59"/>
      <c r="EJZ3" s="59"/>
      <c r="EKA3" s="59"/>
      <c r="EKB3" s="59"/>
      <c r="EKC3" s="59"/>
      <c r="EKD3" s="59"/>
      <c r="EKE3" s="59"/>
      <c r="EKF3" s="59"/>
      <c r="EKG3" s="59"/>
      <c r="EKH3" s="59"/>
      <c r="EKI3" s="59"/>
      <c r="EKJ3" s="59"/>
      <c r="EKK3" s="59"/>
      <c r="EKL3" s="59"/>
      <c r="EKM3" s="59"/>
      <c r="EKN3" s="59"/>
      <c r="EKO3" s="59"/>
      <c r="EKP3" s="59"/>
      <c r="EKQ3" s="59"/>
      <c r="EKR3" s="59"/>
      <c r="EKS3" s="59"/>
      <c r="EKT3" s="59"/>
      <c r="EKU3" s="59"/>
      <c r="EKV3" s="59"/>
      <c r="EKW3" s="59"/>
      <c r="EKX3" s="59"/>
      <c r="EKY3" s="59"/>
      <c r="EKZ3" s="59"/>
      <c r="ELA3" s="59"/>
      <c r="ELB3" s="59"/>
      <c r="ELC3" s="59"/>
      <c r="ELD3" s="59"/>
      <c r="ELE3" s="59"/>
      <c r="ELF3" s="59"/>
      <c r="ELG3" s="59"/>
      <c r="ELH3" s="59"/>
      <c r="ELI3" s="59"/>
      <c r="ELJ3" s="59"/>
      <c r="ELK3" s="59"/>
      <c r="ELL3" s="59"/>
      <c r="ELM3" s="59"/>
      <c r="ELN3" s="59"/>
      <c r="ELO3" s="59"/>
      <c r="ELP3" s="59"/>
      <c r="ELQ3" s="59"/>
      <c r="ELR3" s="59"/>
      <c r="ELS3" s="59"/>
      <c r="ELT3" s="59"/>
      <c r="ELU3" s="59"/>
      <c r="ELV3" s="59"/>
      <c r="ELW3" s="59"/>
      <c r="ELX3" s="59"/>
      <c r="ELY3" s="59"/>
      <c r="ELZ3" s="59"/>
      <c r="EMA3" s="59"/>
      <c r="EMB3" s="59"/>
      <c r="EMC3" s="59"/>
      <c r="EMD3" s="59"/>
      <c r="EME3" s="59"/>
      <c r="EMF3" s="59"/>
      <c r="EMG3" s="59"/>
      <c r="EMH3" s="59"/>
      <c r="EMI3" s="59"/>
      <c r="EMJ3" s="59"/>
      <c r="EMK3" s="59"/>
      <c r="EML3" s="59"/>
      <c r="EMM3" s="59"/>
      <c r="EMN3" s="59"/>
      <c r="EMO3" s="59"/>
      <c r="EMP3" s="59"/>
      <c r="EMQ3" s="59"/>
      <c r="EMR3" s="59"/>
      <c r="EMS3" s="59"/>
      <c r="EMT3" s="59"/>
      <c r="EMU3" s="59"/>
      <c r="EMV3" s="59"/>
      <c r="EMW3" s="59"/>
      <c r="EMX3" s="59"/>
      <c r="EMY3" s="59"/>
      <c r="EMZ3" s="59"/>
      <c r="ENA3" s="59"/>
      <c r="ENB3" s="59"/>
      <c r="ENC3" s="59"/>
      <c r="END3" s="59"/>
      <c r="ENE3" s="59"/>
      <c r="ENF3" s="59"/>
      <c r="ENG3" s="59"/>
      <c r="ENH3" s="59"/>
      <c r="ENI3" s="59"/>
      <c r="ENJ3" s="59"/>
      <c r="ENK3" s="59"/>
      <c r="ENL3" s="59"/>
      <c r="ENM3" s="59"/>
      <c r="ENN3" s="59"/>
      <c r="ENO3" s="59"/>
      <c r="ENP3" s="59"/>
      <c r="ENQ3" s="59"/>
      <c r="ENR3" s="59"/>
      <c r="ENS3" s="59"/>
      <c r="ENT3" s="59"/>
      <c r="ENU3" s="59"/>
      <c r="ENV3" s="59"/>
      <c r="ENW3" s="59"/>
      <c r="ENX3" s="59"/>
      <c r="ENY3" s="59"/>
      <c r="ENZ3" s="59"/>
      <c r="EOA3" s="59"/>
      <c r="EOB3" s="59"/>
      <c r="EOC3" s="59"/>
      <c r="EOD3" s="59"/>
      <c r="EOE3" s="59"/>
      <c r="EOF3" s="59"/>
      <c r="EOG3" s="59"/>
      <c r="EOH3" s="59"/>
      <c r="EOI3" s="59"/>
      <c r="EOJ3" s="59"/>
      <c r="EOK3" s="59"/>
      <c r="EOL3" s="59"/>
      <c r="EOM3" s="59"/>
      <c r="EON3" s="59"/>
      <c r="EOO3" s="59"/>
      <c r="EOP3" s="59"/>
      <c r="EOQ3" s="59"/>
      <c r="EOR3" s="59"/>
      <c r="EOS3" s="59"/>
      <c r="EOT3" s="59"/>
      <c r="EOU3" s="59"/>
      <c r="EOV3" s="59"/>
      <c r="EOW3" s="59"/>
      <c r="EOX3" s="59"/>
      <c r="EOY3" s="59"/>
      <c r="EOZ3" s="59"/>
      <c r="EPA3" s="59"/>
      <c r="EPB3" s="59"/>
      <c r="EPC3" s="59"/>
      <c r="EPD3" s="59"/>
      <c r="EPE3" s="59"/>
      <c r="EPF3" s="59"/>
      <c r="EPG3" s="59"/>
      <c r="EPH3" s="59"/>
      <c r="EPI3" s="59"/>
      <c r="EPJ3" s="59"/>
      <c r="EPK3" s="59"/>
      <c r="EPL3" s="59"/>
      <c r="EPM3" s="59"/>
      <c r="EPN3" s="59"/>
      <c r="EPO3" s="59"/>
      <c r="EPP3" s="59"/>
      <c r="EPQ3" s="59"/>
      <c r="EPR3" s="59"/>
      <c r="EPS3" s="59"/>
      <c r="EPT3" s="59"/>
      <c r="EPU3" s="59"/>
      <c r="EPV3" s="59"/>
      <c r="EPW3" s="59"/>
      <c r="EPX3" s="59"/>
      <c r="EPY3" s="59"/>
      <c r="EPZ3" s="59"/>
      <c r="EQA3" s="59"/>
      <c r="EQB3" s="59"/>
      <c r="EQC3" s="59"/>
      <c r="EQD3" s="59"/>
      <c r="EQE3" s="59"/>
      <c r="EQF3" s="59"/>
      <c r="EQG3" s="59"/>
      <c r="EQH3" s="59"/>
      <c r="EQI3" s="59"/>
      <c r="EQJ3" s="59"/>
      <c r="EQK3" s="59"/>
      <c r="EQL3" s="59"/>
      <c r="EQM3" s="59"/>
      <c r="EQN3" s="59"/>
      <c r="EQO3" s="59"/>
      <c r="EQP3" s="59"/>
      <c r="EQQ3" s="59"/>
      <c r="EQR3" s="59"/>
      <c r="EQS3" s="59"/>
      <c r="EQT3" s="59"/>
      <c r="EQU3" s="59"/>
      <c r="EQV3" s="59"/>
      <c r="EQW3" s="59"/>
      <c r="EQX3" s="59"/>
      <c r="EQY3" s="59"/>
      <c r="EQZ3" s="59"/>
      <c r="ERA3" s="59"/>
      <c r="ERB3" s="59"/>
      <c r="ERC3" s="59"/>
      <c r="ERD3" s="59"/>
      <c r="ERE3" s="59"/>
      <c r="ERF3" s="59"/>
      <c r="ERG3" s="59"/>
      <c r="ERH3" s="59"/>
      <c r="ERI3" s="59"/>
      <c r="ERJ3" s="59"/>
      <c r="ERK3" s="59"/>
      <c r="ERL3" s="59"/>
      <c r="ERM3" s="59"/>
      <c r="ERN3" s="59"/>
      <c r="ERO3" s="59"/>
      <c r="ERP3" s="59"/>
      <c r="ERQ3" s="59"/>
      <c r="ERR3" s="59"/>
      <c r="ERS3" s="59"/>
      <c r="ERT3" s="59"/>
      <c r="ERU3" s="59"/>
      <c r="ERV3" s="59"/>
      <c r="ERW3" s="59"/>
      <c r="ERX3" s="59"/>
      <c r="ERY3" s="59"/>
      <c r="ERZ3" s="59"/>
      <c r="ESA3" s="59"/>
      <c r="ESB3" s="59"/>
      <c r="ESC3" s="59"/>
      <c r="ESD3" s="59"/>
      <c r="ESE3" s="59"/>
      <c r="ESF3" s="59"/>
      <c r="ESG3" s="59"/>
      <c r="ESH3" s="59"/>
      <c r="ESI3" s="59"/>
      <c r="ESJ3" s="59"/>
      <c r="ESK3" s="59"/>
      <c r="ESL3" s="59"/>
      <c r="ESM3" s="59"/>
      <c r="ESN3" s="59"/>
      <c r="ESO3" s="59"/>
      <c r="ESP3" s="59"/>
      <c r="ESQ3" s="59"/>
      <c r="ESR3" s="59"/>
      <c r="ESS3" s="59"/>
      <c r="EST3" s="59"/>
      <c r="ESU3" s="59"/>
      <c r="ESV3" s="59"/>
      <c r="ESW3" s="59"/>
      <c r="ESX3" s="59"/>
      <c r="ESY3" s="59"/>
      <c r="ESZ3" s="59"/>
      <c r="ETA3" s="59"/>
      <c r="ETB3" s="59"/>
      <c r="ETC3" s="59"/>
      <c r="ETD3" s="59"/>
      <c r="ETE3" s="59"/>
      <c r="ETF3" s="59"/>
      <c r="ETG3" s="59"/>
      <c r="ETH3" s="59"/>
      <c r="ETI3" s="59"/>
      <c r="ETJ3" s="59"/>
      <c r="ETK3" s="59"/>
      <c r="ETL3" s="59"/>
      <c r="ETM3" s="59"/>
      <c r="ETN3" s="59"/>
      <c r="ETO3" s="59"/>
      <c r="ETP3" s="59"/>
      <c r="ETQ3" s="59"/>
      <c r="ETR3" s="59"/>
      <c r="ETS3" s="59"/>
      <c r="ETT3" s="59"/>
      <c r="ETU3" s="59"/>
      <c r="ETV3" s="59"/>
      <c r="ETW3" s="59"/>
      <c r="ETX3" s="59"/>
      <c r="ETY3" s="59"/>
      <c r="ETZ3" s="59"/>
      <c r="EUA3" s="59"/>
      <c r="EUB3" s="59"/>
      <c r="EUC3" s="59"/>
      <c r="EUD3" s="59"/>
      <c r="EUE3" s="59"/>
      <c r="EUF3" s="59"/>
      <c r="EUG3" s="59"/>
      <c r="EUH3" s="59"/>
      <c r="EUI3" s="59"/>
      <c r="EUJ3" s="59"/>
      <c r="EUK3" s="59"/>
      <c r="EUL3" s="59"/>
      <c r="EUM3" s="59"/>
      <c r="EUN3" s="59"/>
      <c r="EUO3" s="59"/>
      <c r="EUP3" s="59"/>
      <c r="EUQ3" s="59"/>
      <c r="EUR3" s="59"/>
      <c r="EUS3" s="59"/>
      <c r="EUT3" s="59"/>
      <c r="EUU3" s="59"/>
      <c r="EUV3" s="59"/>
      <c r="EUW3" s="59"/>
      <c r="EUX3" s="59"/>
      <c r="EUY3" s="59"/>
      <c r="EUZ3" s="59"/>
      <c r="EVA3" s="59"/>
      <c r="EVB3" s="59"/>
      <c r="EVC3" s="59"/>
      <c r="EVD3" s="59"/>
      <c r="EVE3" s="59"/>
      <c r="EVF3" s="59"/>
      <c r="EVG3" s="59"/>
      <c r="EVH3" s="59"/>
      <c r="EVI3" s="59"/>
      <c r="EVJ3" s="59"/>
      <c r="EVK3" s="59"/>
      <c r="EVL3" s="59"/>
      <c r="EVM3" s="59"/>
      <c r="EVN3" s="59"/>
      <c r="EVO3" s="59"/>
      <c r="EVP3" s="59"/>
      <c r="EVQ3" s="59"/>
      <c r="EVR3" s="59"/>
      <c r="EVS3" s="59"/>
      <c r="EVT3" s="59"/>
      <c r="EVU3" s="59"/>
      <c r="EVV3" s="59"/>
      <c r="EVW3" s="59"/>
      <c r="EVX3" s="59"/>
      <c r="EVY3" s="59"/>
      <c r="EVZ3" s="59"/>
      <c r="EWA3" s="59"/>
      <c r="EWB3" s="59"/>
      <c r="EWC3" s="59"/>
      <c r="EWD3" s="59"/>
      <c r="EWE3" s="59"/>
      <c r="EWF3" s="59"/>
      <c r="EWG3" s="59"/>
      <c r="EWH3" s="59"/>
      <c r="EWI3" s="59"/>
      <c r="EWJ3" s="59"/>
      <c r="EWK3" s="59"/>
      <c r="EWL3" s="59"/>
      <c r="EWM3" s="59"/>
      <c r="EWN3" s="59"/>
      <c r="EWO3" s="59"/>
      <c r="EWP3" s="59"/>
      <c r="EWQ3" s="59"/>
      <c r="EWR3" s="59"/>
      <c r="EWS3" s="59"/>
      <c r="EWT3" s="59"/>
      <c r="EWU3" s="59"/>
      <c r="EWV3" s="59"/>
      <c r="EWW3" s="59"/>
      <c r="EWX3" s="59"/>
      <c r="EWY3" s="59"/>
      <c r="EWZ3" s="59"/>
      <c r="EXA3" s="59"/>
      <c r="EXB3" s="59"/>
      <c r="EXC3" s="59"/>
      <c r="EXD3" s="59"/>
      <c r="EXE3" s="59"/>
      <c r="EXF3" s="59"/>
      <c r="EXG3" s="59"/>
      <c r="EXH3" s="59"/>
      <c r="EXI3" s="59"/>
      <c r="EXJ3" s="59"/>
      <c r="EXK3" s="59"/>
      <c r="EXL3" s="59"/>
      <c r="EXM3" s="59"/>
      <c r="EXN3" s="59"/>
      <c r="EXO3" s="59"/>
      <c r="EXP3" s="59"/>
      <c r="EXQ3" s="59"/>
      <c r="EXR3" s="59"/>
      <c r="EXS3" s="59"/>
      <c r="EXT3" s="59"/>
      <c r="EXU3" s="59"/>
      <c r="EXV3" s="59"/>
      <c r="EXW3" s="59"/>
      <c r="EXX3" s="59"/>
      <c r="EXY3" s="59"/>
      <c r="EXZ3" s="59"/>
      <c r="EYA3" s="59"/>
      <c r="EYB3" s="59"/>
      <c r="EYC3" s="59"/>
      <c r="EYD3" s="59"/>
      <c r="EYE3" s="59"/>
      <c r="EYF3" s="59"/>
      <c r="EYG3" s="59"/>
      <c r="EYH3" s="59"/>
      <c r="EYI3" s="59"/>
      <c r="EYJ3" s="59"/>
      <c r="EYK3" s="59"/>
      <c r="EYL3" s="59"/>
      <c r="EYM3" s="59"/>
      <c r="EYN3" s="59"/>
      <c r="EYO3" s="59"/>
      <c r="EYP3" s="59"/>
      <c r="EYQ3" s="59"/>
      <c r="EYR3" s="59"/>
      <c r="EYS3" s="59"/>
      <c r="EYT3" s="59"/>
      <c r="EYU3" s="59"/>
      <c r="EYV3" s="59"/>
      <c r="EYW3" s="59"/>
      <c r="EYX3" s="59"/>
      <c r="EYY3" s="59"/>
      <c r="EYZ3" s="59"/>
      <c r="EZA3" s="59"/>
      <c r="EZB3" s="59"/>
      <c r="EZC3" s="59"/>
      <c r="EZD3" s="59"/>
      <c r="EZE3" s="59"/>
      <c r="EZF3" s="59"/>
      <c r="EZG3" s="59"/>
      <c r="EZH3" s="59"/>
      <c r="EZI3" s="59"/>
      <c r="EZJ3" s="59"/>
      <c r="EZK3" s="59"/>
      <c r="EZL3" s="59"/>
      <c r="EZM3" s="59"/>
      <c r="EZN3" s="59"/>
      <c r="EZO3" s="59"/>
      <c r="EZP3" s="59"/>
      <c r="EZQ3" s="59"/>
      <c r="EZR3" s="59"/>
      <c r="EZS3" s="59"/>
      <c r="EZT3" s="59"/>
      <c r="EZU3" s="59"/>
      <c r="EZV3" s="59"/>
      <c r="EZW3" s="59"/>
      <c r="EZX3" s="59"/>
      <c r="EZY3" s="59"/>
      <c r="EZZ3" s="59"/>
      <c r="FAA3" s="59"/>
      <c r="FAB3" s="59"/>
      <c r="FAC3" s="59"/>
      <c r="FAD3" s="59"/>
      <c r="FAE3" s="59"/>
      <c r="FAF3" s="59"/>
      <c r="FAG3" s="59"/>
      <c r="FAH3" s="59"/>
      <c r="FAI3" s="59"/>
      <c r="FAJ3" s="59"/>
      <c r="FAK3" s="59"/>
      <c r="FAL3" s="59"/>
      <c r="FAM3" s="59"/>
      <c r="FAN3" s="59"/>
      <c r="FAO3" s="59"/>
      <c r="FAP3" s="59"/>
      <c r="FAQ3" s="59"/>
      <c r="FAR3" s="59"/>
      <c r="FAS3" s="59"/>
      <c r="FAT3" s="59"/>
      <c r="FAU3" s="59"/>
      <c r="FAV3" s="59"/>
      <c r="FAW3" s="59"/>
      <c r="FAX3" s="59"/>
      <c r="FAY3" s="59"/>
      <c r="FAZ3" s="59"/>
      <c r="FBA3" s="59"/>
      <c r="FBB3" s="59"/>
      <c r="FBC3" s="59"/>
      <c r="FBD3" s="59"/>
      <c r="FBE3" s="59"/>
      <c r="FBF3" s="59"/>
      <c r="FBG3" s="59"/>
      <c r="FBH3" s="59"/>
      <c r="FBI3" s="59"/>
      <c r="FBJ3" s="59"/>
      <c r="FBK3" s="59"/>
      <c r="FBL3" s="59"/>
      <c r="FBM3" s="59"/>
      <c r="FBN3" s="59"/>
      <c r="FBO3" s="59"/>
      <c r="FBP3" s="59"/>
      <c r="FBQ3" s="59"/>
      <c r="FBR3" s="59"/>
      <c r="FBS3" s="59"/>
      <c r="FBT3" s="59"/>
      <c r="FBU3" s="59"/>
      <c r="FBV3" s="59"/>
      <c r="FBW3" s="59"/>
      <c r="FBX3" s="59"/>
      <c r="FBY3" s="59"/>
      <c r="FBZ3" s="59"/>
      <c r="FCA3" s="59"/>
      <c r="FCB3" s="59"/>
      <c r="FCC3" s="59"/>
      <c r="FCD3" s="59"/>
      <c r="FCE3" s="59"/>
      <c r="FCF3" s="59"/>
      <c r="FCG3" s="59"/>
      <c r="FCH3" s="59"/>
      <c r="FCI3" s="59"/>
      <c r="FCJ3" s="59"/>
      <c r="FCK3" s="59"/>
      <c r="FCL3" s="59"/>
      <c r="FCM3" s="59"/>
      <c r="FCN3" s="59"/>
      <c r="FCO3" s="59"/>
      <c r="FCP3" s="59"/>
      <c r="FCQ3" s="59"/>
      <c r="FCR3" s="59"/>
      <c r="FCS3" s="59"/>
      <c r="FCT3" s="59"/>
      <c r="FCU3" s="59"/>
      <c r="FCV3" s="59"/>
      <c r="FCW3" s="59"/>
      <c r="FCX3" s="59"/>
      <c r="FCY3" s="59"/>
      <c r="FCZ3" s="59"/>
      <c r="FDA3" s="59"/>
      <c r="FDB3" s="59"/>
      <c r="FDC3" s="59"/>
      <c r="FDD3" s="59"/>
      <c r="FDE3" s="59"/>
      <c r="FDF3" s="59"/>
      <c r="FDG3" s="59"/>
      <c r="FDH3" s="59"/>
      <c r="FDI3" s="59"/>
      <c r="FDJ3" s="59"/>
      <c r="FDK3" s="59"/>
      <c r="FDL3" s="59"/>
      <c r="FDM3" s="59"/>
      <c r="FDN3" s="59"/>
      <c r="FDO3" s="59"/>
      <c r="FDP3" s="59"/>
      <c r="FDQ3" s="59"/>
      <c r="FDR3" s="59"/>
      <c r="FDS3" s="59"/>
      <c r="FDT3" s="59"/>
      <c r="FDU3" s="59"/>
      <c r="FDV3" s="59"/>
      <c r="FDW3" s="59"/>
      <c r="FDX3" s="59"/>
      <c r="FDY3" s="59"/>
      <c r="FDZ3" s="59"/>
      <c r="FEA3" s="59"/>
      <c r="FEB3" s="59"/>
      <c r="FEC3" s="59"/>
      <c r="FED3" s="59"/>
      <c r="FEE3" s="59"/>
      <c r="FEF3" s="59"/>
      <c r="FEG3" s="59"/>
      <c r="FEH3" s="59"/>
      <c r="FEI3" s="59"/>
      <c r="FEJ3" s="59"/>
      <c r="FEK3" s="59"/>
      <c r="FEL3" s="59"/>
      <c r="FEM3" s="59"/>
      <c r="FEN3" s="59"/>
      <c r="FEO3" s="59"/>
      <c r="FEP3" s="59"/>
      <c r="FEQ3" s="59"/>
      <c r="FER3" s="59"/>
      <c r="FES3" s="59"/>
      <c r="FET3" s="59"/>
      <c r="FEU3" s="59"/>
      <c r="FEV3" s="59"/>
      <c r="FEW3" s="59"/>
      <c r="FEX3" s="59"/>
      <c r="FEY3" s="59"/>
      <c r="FEZ3" s="59"/>
      <c r="FFA3" s="59"/>
      <c r="FFB3" s="59"/>
      <c r="FFC3" s="59"/>
      <c r="FFD3" s="59"/>
      <c r="FFE3" s="59"/>
      <c r="FFF3" s="59"/>
      <c r="FFG3" s="59"/>
      <c r="FFH3" s="59"/>
      <c r="FFI3" s="59"/>
      <c r="FFJ3" s="59"/>
      <c r="FFK3" s="59"/>
      <c r="FFL3" s="59"/>
      <c r="FFM3" s="59"/>
      <c r="FFN3" s="59"/>
      <c r="FFO3" s="59"/>
      <c r="FFP3" s="59"/>
      <c r="FFQ3" s="59"/>
      <c r="FFR3" s="59"/>
      <c r="FFS3" s="59"/>
      <c r="FFT3" s="59"/>
      <c r="FFU3" s="59"/>
      <c r="FFV3" s="59"/>
      <c r="FFW3" s="59"/>
      <c r="FFX3" s="59"/>
      <c r="FFY3" s="59"/>
      <c r="FFZ3" s="59"/>
      <c r="FGA3" s="59"/>
      <c r="FGB3" s="59"/>
      <c r="FGC3" s="59"/>
      <c r="FGD3" s="59"/>
      <c r="FGE3" s="59"/>
      <c r="FGF3" s="59"/>
      <c r="FGG3" s="59"/>
      <c r="FGH3" s="59"/>
      <c r="FGI3" s="59"/>
      <c r="FGJ3" s="59"/>
      <c r="FGK3" s="59"/>
      <c r="FGL3" s="59"/>
      <c r="FGM3" s="59"/>
      <c r="FGN3" s="59"/>
      <c r="FGO3" s="59"/>
      <c r="FGP3" s="59"/>
      <c r="FGQ3" s="59"/>
      <c r="FGR3" s="59"/>
      <c r="FGS3" s="59"/>
      <c r="FGT3" s="59"/>
      <c r="FGU3" s="59"/>
      <c r="FGV3" s="59"/>
      <c r="FGW3" s="59"/>
      <c r="FGX3" s="59"/>
      <c r="FGY3" s="59"/>
      <c r="FGZ3" s="59"/>
      <c r="FHA3" s="59"/>
      <c r="FHB3" s="59"/>
      <c r="FHC3" s="59"/>
      <c r="FHD3" s="59"/>
      <c r="FHE3" s="59"/>
      <c r="FHF3" s="59"/>
      <c r="FHG3" s="59"/>
      <c r="FHH3" s="59"/>
      <c r="FHI3" s="59"/>
      <c r="FHJ3" s="59"/>
      <c r="FHK3" s="59"/>
      <c r="FHL3" s="59"/>
      <c r="FHM3" s="59"/>
      <c r="FHN3" s="59"/>
      <c r="FHO3" s="59"/>
      <c r="FHP3" s="59"/>
      <c r="FHQ3" s="59"/>
      <c r="FHR3" s="59"/>
      <c r="FHS3" s="59"/>
      <c r="FHT3" s="59"/>
      <c r="FHU3" s="59"/>
      <c r="FHV3" s="59"/>
      <c r="FHW3" s="59"/>
      <c r="FHX3" s="59"/>
      <c r="FHY3" s="59"/>
      <c r="FHZ3" s="59"/>
      <c r="FIA3" s="59"/>
      <c r="FIB3" s="59"/>
      <c r="FIC3" s="59"/>
      <c r="FID3" s="59"/>
      <c r="FIE3" s="59"/>
      <c r="FIF3" s="59"/>
      <c r="FIG3" s="59"/>
      <c r="FIH3" s="59"/>
      <c r="FII3" s="59"/>
      <c r="FIJ3" s="59"/>
      <c r="FIK3" s="59"/>
      <c r="FIL3" s="59"/>
      <c r="FIM3" s="59"/>
      <c r="FIN3" s="59"/>
      <c r="FIO3" s="59"/>
      <c r="FIP3" s="59"/>
      <c r="FIQ3" s="59"/>
      <c r="FIR3" s="59"/>
      <c r="FIS3" s="59"/>
      <c r="FIT3" s="59"/>
      <c r="FIU3" s="59"/>
      <c r="FIV3" s="59"/>
      <c r="FIW3" s="59"/>
      <c r="FIX3" s="59"/>
      <c r="FIY3" s="59"/>
      <c r="FIZ3" s="59"/>
      <c r="FJA3" s="59"/>
      <c r="FJB3" s="59"/>
      <c r="FJC3" s="59"/>
      <c r="FJD3" s="59"/>
      <c r="FJE3" s="59"/>
      <c r="FJF3" s="59"/>
      <c r="FJG3" s="59"/>
      <c r="FJH3" s="59"/>
      <c r="FJI3" s="59"/>
      <c r="FJJ3" s="59"/>
      <c r="FJK3" s="59"/>
      <c r="FJL3" s="59"/>
      <c r="FJM3" s="59"/>
      <c r="FJN3" s="59"/>
      <c r="FJO3" s="59"/>
      <c r="FJP3" s="59"/>
      <c r="FJQ3" s="59"/>
      <c r="FJR3" s="59"/>
      <c r="FJS3" s="59"/>
      <c r="FJT3" s="59"/>
      <c r="FJU3" s="59"/>
      <c r="FJV3" s="59"/>
      <c r="FJW3" s="59"/>
      <c r="FJX3" s="59"/>
      <c r="FJY3" s="59"/>
      <c r="FJZ3" s="59"/>
      <c r="FKA3" s="59"/>
      <c r="FKB3" s="59"/>
      <c r="FKC3" s="59"/>
      <c r="FKD3" s="59"/>
      <c r="FKE3" s="59"/>
      <c r="FKF3" s="59"/>
      <c r="FKG3" s="59"/>
      <c r="FKH3" s="59"/>
      <c r="FKI3" s="59"/>
      <c r="FKJ3" s="59"/>
      <c r="FKK3" s="59"/>
      <c r="FKL3" s="59"/>
      <c r="FKM3" s="59"/>
      <c r="FKN3" s="59"/>
      <c r="FKO3" s="59"/>
      <c r="FKP3" s="59"/>
      <c r="FKQ3" s="59"/>
      <c r="FKR3" s="59"/>
      <c r="FKS3" s="59"/>
      <c r="FKT3" s="59"/>
      <c r="FKU3" s="59"/>
      <c r="FKV3" s="59"/>
      <c r="FKW3" s="59"/>
      <c r="FKX3" s="59"/>
      <c r="FKY3" s="59"/>
      <c r="FKZ3" s="59"/>
      <c r="FLA3" s="59"/>
      <c r="FLB3" s="59"/>
      <c r="FLC3" s="59"/>
      <c r="FLD3" s="59"/>
      <c r="FLE3" s="59"/>
      <c r="FLF3" s="59"/>
      <c r="FLG3" s="59"/>
      <c r="FLH3" s="59"/>
      <c r="FLI3" s="59"/>
      <c r="FLJ3" s="59"/>
      <c r="FLK3" s="59"/>
      <c r="FLL3" s="59"/>
      <c r="FLM3" s="59"/>
      <c r="FLN3" s="59"/>
      <c r="FLO3" s="59"/>
      <c r="FLP3" s="59"/>
      <c r="FLQ3" s="59"/>
      <c r="FLR3" s="59"/>
      <c r="FLS3" s="59"/>
      <c r="FLT3" s="59"/>
      <c r="FLU3" s="59"/>
      <c r="FLV3" s="59"/>
      <c r="FLW3" s="59"/>
      <c r="FLX3" s="59"/>
      <c r="FLY3" s="59"/>
      <c r="FLZ3" s="59"/>
      <c r="FMA3" s="59"/>
      <c r="FMB3" s="59"/>
      <c r="FMC3" s="59"/>
      <c r="FMD3" s="59"/>
      <c r="FME3" s="59"/>
      <c r="FMF3" s="59"/>
      <c r="FMG3" s="59"/>
      <c r="FMH3" s="59"/>
      <c r="FMI3" s="59"/>
      <c r="FMJ3" s="59"/>
      <c r="FMK3" s="59"/>
      <c r="FML3" s="59"/>
      <c r="FMM3" s="59"/>
      <c r="FMN3" s="59"/>
      <c r="FMO3" s="59"/>
      <c r="FMP3" s="59"/>
      <c r="FMQ3" s="59"/>
      <c r="FMR3" s="59"/>
      <c r="FMS3" s="59"/>
      <c r="FMT3" s="59"/>
      <c r="FMU3" s="59"/>
      <c r="FMV3" s="59"/>
      <c r="FMW3" s="59"/>
      <c r="FMX3" s="59"/>
      <c r="FMY3" s="59"/>
      <c r="FMZ3" s="59"/>
      <c r="FNA3" s="59"/>
      <c r="FNB3" s="59"/>
      <c r="FNC3" s="59"/>
      <c r="FND3" s="59"/>
      <c r="FNE3" s="59"/>
      <c r="FNF3" s="59"/>
      <c r="FNG3" s="59"/>
      <c r="FNH3" s="59"/>
      <c r="FNI3" s="59"/>
      <c r="FNJ3" s="59"/>
      <c r="FNK3" s="59"/>
      <c r="FNL3" s="59"/>
      <c r="FNM3" s="59"/>
      <c r="FNN3" s="59"/>
      <c r="FNO3" s="59"/>
      <c r="FNP3" s="59"/>
      <c r="FNQ3" s="59"/>
      <c r="FNR3" s="59"/>
      <c r="FNS3" s="59"/>
      <c r="FNT3" s="59"/>
      <c r="FNU3" s="59"/>
      <c r="FNV3" s="59"/>
      <c r="FNW3" s="59"/>
      <c r="FNX3" s="59"/>
      <c r="FNY3" s="59"/>
      <c r="FNZ3" s="59"/>
      <c r="FOA3" s="59"/>
      <c r="FOB3" s="59"/>
      <c r="FOC3" s="59"/>
      <c r="FOD3" s="59"/>
      <c r="FOE3" s="59"/>
      <c r="FOF3" s="59"/>
      <c r="FOG3" s="59"/>
      <c r="FOH3" s="59"/>
      <c r="FOI3" s="59"/>
      <c r="FOJ3" s="59"/>
      <c r="FOK3" s="59"/>
      <c r="FOL3" s="59"/>
      <c r="FOM3" s="59"/>
      <c r="FON3" s="59"/>
      <c r="FOO3" s="59"/>
      <c r="FOP3" s="59"/>
      <c r="FOQ3" s="59"/>
      <c r="FOR3" s="59"/>
      <c r="FOS3" s="59"/>
      <c r="FOT3" s="59"/>
      <c r="FOU3" s="59"/>
      <c r="FOV3" s="59"/>
      <c r="FOW3" s="59"/>
      <c r="FOX3" s="59"/>
      <c r="FOY3" s="59"/>
      <c r="FOZ3" s="59"/>
      <c r="FPA3" s="59"/>
      <c r="FPB3" s="59"/>
      <c r="FPC3" s="59"/>
      <c r="FPD3" s="59"/>
      <c r="FPE3" s="59"/>
      <c r="FPF3" s="59"/>
      <c r="FPG3" s="59"/>
      <c r="FPH3" s="59"/>
      <c r="FPI3" s="59"/>
      <c r="FPJ3" s="59"/>
      <c r="FPK3" s="59"/>
      <c r="FPL3" s="59"/>
      <c r="FPM3" s="59"/>
      <c r="FPN3" s="59"/>
      <c r="FPO3" s="59"/>
      <c r="FPP3" s="59"/>
      <c r="FPQ3" s="59"/>
      <c r="FPR3" s="59"/>
      <c r="FPS3" s="59"/>
      <c r="FPT3" s="59"/>
      <c r="FPU3" s="59"/>
      <c r="FPV3" s="59"/>
      <c r="FPW3" s="59"/>
      <c r="FPX3" s="59"/>
      <c r="FPY3" s="59"/>
      <c r="FPZ3" s="59"/>
      <c r="FQA3" s="59"/>
      <c r="FQB3" s="59"/>
      <c r="FQC3" s="59"/>
      <c r="FQD3" s="59"/>
      <c r="FQE3" s="59"/>
      <c r="FQF3" s="59"/>
      <c r="FQG3" s="59"/>
      <c r="FQH3" s="59"/>
      <c r="FQI3" s="59"/>
      <c r="FQJ3" s="59"/>
      <c r="FQK3" s="59"/>
      <c r="FQL3" s="59"/>
      <c r="FQM3" s="59"/>
      <c r="FQN3" s="59"/>
      <c r="FQO3" s="59"/>
      <c r="FQP3" s="59"/>
      <c r="FQQ3" s="59"/>
      <c r="FQR3" s="59"/>
      <c r="FQS3" s="59"/>
      <c r="FQT3" s="59"/>
      <c r="FQU3" s="59"/>
      <c r="FQV3" s="59"/>
      <c r="FQW3" s="59"/>
      <c r="FQX3" s="59"/>
      <c r="FQY3" s="59"/>
      <c r="FQZ3" s="59"/>
      <c r="FRA3" s="59"/>
      <c r="FRB3" s="59"/>
      <c r="FRC3" s="59"/>
      <c r="FRD3" s="59"/>
      <c r="FRE3" s="59"/>
      <c r="FRF3" s="59"/>
      <c r="FRG3" s="59"/>
      <c r="FRH3" s="59"/>
      <c r="FRI3" s="59"/>
      <c r="FRJ3" s="59"/>
      <c r="FRK3" s="59"/>
      <c r="FRL3" s="59"/>
      <c r="FRM3" s="59"/>
      <c r="FRN3" s="59"/>
      <c r="FRO3" s="59"/>
      <c r="FRP3" s="59"/>
      <c r="FRQ3" s="59"/>
      <c r="FRR3" s="59"/>
      <c r="FRS3" s="59"/>
      <c r="FRT3" s="59"/>
      <c r="FRU3" s="59"/>
      <c r="FRV3" s="59"/>
      <c r="FRW3" s="59"/>
      <c r="FRX3" s="59"/>
      <c r="FRY3" s="59"/>
      <c r="FRZ3" s="59"/>
      <c r="FSA3" s="59"/>
      <c r="FSB3" s="59"/>
      <c r="FSC3" s="59"/>
      <c r="FSD3" s="59"/>
      <c r="FSE3" s="59"/>
      <c r="FSF3" s="59"/>
      <c r="FSG3" s="59"/>
      <c r="FSH3" s="59"/>
      <c r="FSI3" s="59"/>
      <c r="FSJ3" s="59"/>
      <c r="FSK3" s="59"/>
      <c r="FSL3" s="59"/>
      <c r="FSM3" s="59"/>
      <c r="FSN3" s="59"/>
      <c r="FSO3" s="59"/>
      <c r="FSP3" s="59"/>
      <c r="FSQ3" s="59"/>
      <c r="FSR3" s="59"/>
      <c r="FSS3" s="59"/>
      <c r="FST3" s="59"/>
      <c r="FSU3" s="59"/>
      <c r="FSV3" s="59"/>
      <c r="FSW3" s="59"/>
      <c r="FSX3" s="59"/>
      <c r="FSY3" s="59"/>
      <c r="FSZ3" s="59"/>
      <c r="FTA3" s="59"/>
      <c r="FTB3" s="59"/>
      <c r="FTC3" s="59"/>
      <c r="FTD3" s="59"/>
      <c r="FTE3" s="59"/>
      <c r="FTF3" s="59"/>
      <c r="FTG3" s="59"/>
      <c r="FTH3" s="59"/>
      <c r="FTI3" s="59"/>
      <c r="FTJ3" s="59"/>
      <c r="FTK3" s="59"/>
      <c r="FTL3" s="59"/>
      <c r="FTM3" s="59"/>
      <c r="FTN3" s="59"/>
      <c r="FTO3" s="59"/>
      <c r="FTP3" s="59"/>
      <c r="FTQ3" s="59"/>
      <c r="FTR3" s="59"/>
      <c r="FTS3" s="59"/>
      <c r="FTT3" s="59"/>
      <c r="FTU3" s="59"/>
      <c r="FTV3" s="59"/>
      <c r="FTW3" s="59"/>
      <c r="FTX3" s="59"/>
      <c r="FTY3" s="59"/>
      <c r="FTZ3" s="59"/>
      <c r="FUA3" s="59"/>
      <c r="FUB3" s="59"/>
      <c r="FUC3" s="59"/>
      <c r="FUD3" s="59"/>
      <c r="FUE3" s="59"/>
      <c r="FUF3" s="59"/>
      <c r="FUG3" s="59"/>
      <c r="FUH3" s="59"/>
      <c r="FUI3" s="59"/>
      <c r="FUJ3" s="59"/>
      <c r="FUK3" s="59"/>
      <c r="FUL3" s="59"/>
      <c r="FUM3" s="59"/>
      <c r="FUN3" s="59"/>
      <c r="FUO3" s="59"/>
      <c r="FUP3" s="59"/>
      <c r="FUQ3" s="59"/>
      <c r="FUR3" s="59"/>
      <c r="FUS3" s="59"/>
      <c r="FUT3" s="59"/>
      <c r="FUU3" s="59"/>
      <c r="FUV3" s="59"/>
      <c r="FUW3" s="59"/>
      <c r="FUX3" s="59"/>
      <c r="FUY3" s="59"/>
      <c r="FUZ3" s="59"/>
      <c r="FVA3" s="59"/>
      <c r="FVB3" s="59"/>
      <c r="FVC3" s="59"/>
      <c r="FVD3" s="59"/>
      <c r="FVE3" s="59"/>
      <c r="FVF3" s="59"/>
      <c r="FVG3" s="59"/>
      <c r="FVH3" s="59"/>
      <c r="FVI3" s="59"/>
      <c r="FVJ3" s="59"/>
      <c r="FVK3" s="59"/>
      <c r="FVL3" s="59"/>
      <c r="FVM3" s="59"/>
      <c r="FVN3" s="59"/>
      <c r="FVO3" s="59"/>
      <c r="FVP3" s="59"/>
      <c r="FVQ3" s="59"/>
      <c r="FVR3" s="59"/>
      <c r="FVS3" s="59"/>
      <c r="FVT3" s="59"/>
      <c r="FVU3" s="59"/>
      <c r="FVV3" s="59"/>
      <c r="FVW3" s="59"/>
      <c r="FVX3" s="59"/>
      <c r="FVY3" s="59"/>
      <c r="FVZ3" s="59"/>
      <c r="FWA3" s="59"/>
      <c r="FWB3" s="59"/>
      <c r="FWC3" s="59"/>
      <c r="FWD3" s="59"/>
      <c r="FWE3" s="59"/>
      <c r="FWF3" s="59"/>
      <c r="FWG3" s="59"/>
      <c r="FWH3" s="59"/>
      <c r="FWI3" s="59"/>
      <c r="FWJ3" s="59"/>
      <c r="FWK3" s="59"/>
      <c r="FWL3" s="59"/>
      <c r="FWM3" s="59"/>
      <c r="FWN3" s="59"/>
      <c r="FWO3" s="59"/>
      <c r="FWP3" s="59"/>
      <c r="FWQ3" s="59"/>
      <c r="FWR3" s="59"/>
      <c r="FWS3" s="59"/>
      <c r="FWT3" s="59"/>
      <c r="FWU3" s="59"/>
      <c r="FWV3" s="59"/>
      <c r="FWW3" s="59"/>
      <c r="FWX3" s="59"/>
      <c r="FWY3" s="59"/>
      <c r="FWZ3" s="59"/>
      <c r="FXA3" s="59"/>
      <c r="FXB3" s="59"/>
      <c r="FXC3" s="59"/>
      <c r="FXD3" s="59"/>
      <c r="FXE3" s="59"/>
      <c r="FXF3" s="59"/>
      <c r="FXG3" s="59"/>
      <c r="FXH3" s="59"/>
      <c r="FXI3" s="59"/>
      <c r="FXJ3" s="59"/>
      <c r="FXK3" s="59"/>
      <c r="FXL3" s="59"/>
      <c r="FXM3" s="59"/>
      <c r="FXN3" s="59"/>
      <c r="FXO3" s="59"/>
      <c r="FXP3" s="59"/>
      <c r="FXQ3" s="59"/>
      <c r="FXR3" s="59"/>
      <c r="FXS3" s="59"/>
      <c r="FXT3" s="59"/>
      <c r="FXU3" s="59"/>
      <c r="FXV3" s="59"/>
      <c r="FXW3" s="59"/>
      <c r="FXX3" s="59"/>
      <c r="FXY3" s="59"/>
      <c r="FXZ3" s="59"/>
      <c r="FYA3" s="59"/>
      <c r="FYB3" s="59"/>
      <c r="FYC3" s="59"/>
      <c r="FYD3" s="59"/>
      <c r="FYE3" s="59"/>
      <c r="FYF3" s="59"/>
      <c r="FYG3" s="59"/>
      <c r="FYH3" s="59"/>
      <c r="FYI3" s="59"/>
      <c r="FYJ3" s="59"/>
      <c r="FYK3" s="59"/>
      <c r="FYL3" s="59"/>
      <c r="FYM3" s="59"/>
      <c r="FYN3" s="59"/>
      <c r="FYO3" s="59"/>
      <c r="FYP3" s="59"/>
      <c r="FYQ3" s="59"/>
      <c r="FYR3" s="59"/>
      <c r="FYS3" s="59"/>
      <c r="FYT3" s="59"/>
      <c r="FYU3" s="59"/>
      <c r="FYV3" s="59"/>
      <c r="FYW3" s="59"/>
      <c r="FYX3" s="59"/>
      <c r="FYY3" s="59"/>
      <c r="FYZ3" s="59"/>
      <c r="FZA3" s="59"/>
      <c r="FZB3" s="59"/>
      <c r="FZC3" s="59"/>
      <c r="FZD3" s="59"/>
      <c r="FZE3" s="59"/>
      <c r="FZF3" s="59"/>
      <c r="FZG3" s="59"/>
      <c r="FZH3" s="59"/>
      <c r="FZI3" s="59"/>
      <c r="FZJ3" s="59"/>
      <c r="FZK3" s="59"/>
      <c r="FZL3" s="59"/>
      <c r="FZM3" s="59"/>
      <c r="FZN3" s="59"/>
      <c r="FZO3" s="59"/>
      <c r="FZP3" s="59"/>
      <c r="FZQ3" s="59"/>
      <c r="FZR3" s="59"/>
      <c r="FZS3" s="59"/>
      <c r="FZT3" s="59"/>
      <c r="FZU3" s="59"/>
      <c r="FZV3" s="59"/>
      <c r="FZW3" s="59"/>
      <c r="FZX3" s="59"/>
      <c r="FZY3" s="59"/>
      <c r="FZZ3" s="59"/>
      <c r="GAA3" s="59"/>
      <c r="GAB3" s="59"/>
      <c r="GAC3" s="59"/>
      <c r="GAD3" s="59"/>
      <c r="GAE3" s="59"/>
      <c r="GAF3" s="59"/>
      <c r="GAG3" s="59"/>
      <c r="GAH3" s="59"/>
      <c r="GAI3" s="59"/>
      <c r="GAJ3" s="59"/>
      <c r="GAK3" s="59"/>
      <c r="GAL3" s="59"/>
      <c r="GAM3" s="59"/>
      <c r="GAN3" s="59"/>
      <c r="GAO3" s="59"/>
      <c r="GAP3" s="59"/>
      <c r="GAQ3" s="59"/>
      <c r="GAR3" s="59"/>
      <c r="GAS3" s="59"/>
      <c r="GAT3" s="59"/>
      <c r="GAU3" s="59"/>
      <c r="GAV3" s="59"/>
      <c r="GAW3" s="59"/>
      <c r="GAX3" s="59"/>
      <c r="GAY3" s="59"/>
      <c r="GAZ3" s="59"/>
      <c r="GBA3" s="59"/>
      <c r="GBB3" s="59"/>
      <c r="GBC3" s="59"/>
      <c r="GBD3" s="59"/>
      <c r="GBE3" s="59"/>
      <c r="GBF3" s="59"/>
      <c r="GBG3" s="59"/>
      <c r="GBH3" s="59"/>
      <c r="GBI3" s="59"/>
      <c r="GBJ3" s="59"/>
      <c r="GBK3" s="59"/>
      <c r="GBL3" s="59"/>
      <c r="GBM3" s="59"/>
      <c r="GBN3" s="59"/>
      <c r="GBO3" s="59"/>
      <c r="GBP3" s="59"/>
      <c r="GBQ3" s="59"/>
      <c r="GBR3" s="59"/>
      <c r="GBS3" s="59"/>
      <c r="GBT3" s="59"/>
      <c r="GBU3" s="59"/>
      <c r="GBV3" s="59"/>
      <c r="GBW3" s="59"/>
      <c r="GBX3" s="59"/>
      <c r="GBY3" s="59"/>
      <c r="GBZ3" s="59"/>
      <c r="GCA3" s="59"/>
      <c r="GCB3" s="59"/>
      <c r="GCC3" s="59"/>
      <c r="GCD3" s="59"/>
      <c r="GCE3" s="59"/>
      <c r="GCF3" s="59"/>
      <c r="GCG3" s="59"/>
      <c r="GCH3" s="59"/>
      <c r="GCI3" s="59"/>
      <c r="GCJ3" s="59"/>
      <c r="GCK3" s="59"/>
      <c r="GCL3" s="59"/>
      <c r="GCM3" s="59"/>
      <c r="GCN3" s="59"/>
      <c r="GCO3" s="59"/>
      <c r="GCP3" s="59"/>
      <c r="GCQ3" s="59"/>
      <c r="GCR3" s="59"/>
      <c r="GCS3" s="59"/>
      <c r="GCT3" s="59"/>
      <c r="GCU3" s="59"/>
      <c r="GCV3" s="59"/>
      <c r="GCW3" s="59"/>
      <c r="GCX3" s="59"/>
      <c r="GCY3" s="59"/>
      <c r="GCZ3" s="59"/>
      <c r="GDA3" s="59"/>
      <c r="GDB3" s="59"/>
      <c r="GDC3" s="59"/>
      <c r="GDD3" s="59"/>
      <c r="GDE3" s="59"/>
      <c r="GDF3" s="59"/>
      <c r="GDG3" s="59"/>
      <c r="GDH3" s="59"/>
      <c r="GDI3" s="59"/>
      <c r="GDJ3" s="59"/>
      <c r="GDK3" s="59"/>
      <c r="GDL3" s="59"/>
      <c r="GDM3" s="59"/>
      <c r="GDN3" s="59"/>
      <c r="GDO3" s="59"/>
      <c r="GDP3" s="59"/>
      <c r="GDQ3" s="59"/>
      <c r="GDR3" s="59"/>
      <c r="GDS3" s="59"/>
      <c r="GDT3" s="59"/>
      <c r="GDU3" s="59"/>
      <c r="GDV3" s="59"/>
      <c r="GDW3" s="59"/>
      <c r="GDX3" s="59"/>
      <c r="GDY3" s="59"/>
      <c r="GDZ3" s="59"/>
      <c r="GEA3" s="59"/>
      <c r="GEB3" s="59"/>
      <c r="GEC3" s="59"/>
      <c r="GED3" s="59"/>
      <c r="GEE3" s="59"/>
      <c r="GEF3" s="59"/>
      <c r="GEG3" s="59"/>
      <c r="GEH3" s="59"/>
      <c r="GEI3" s="59"/>
      <c r="GEJ3" s="59"/>
      <c r="GEK3" s="59"/>
      <c r="GEL3" s="59"/>
      <c r="GEM3" s="59"/>
      <c r="GEN3" s="59"/>
      <c r="GEO3" s="59"/>
      <c r="GEP3" s="59"/>
      <c r="GEQ3" s="59"/>
      <c r="GER3" s="59"/>
      <c r="GES3" s="59"/>
      <c r="GET3" s="59"/>
      <c r="GEU3" s="59"/>
      <c r="GEV3" s="59"/>
      <c r="GEW3" s="59"/>
      <c r="GEX3" s="59"/>
      <c r="GEY3" s="59"/>
      <c r="GEZ3" s="59"/>
      <c r="GFA3" s="59"/>
      <c r="GFB3" s="59"/>
      <c r="GFC3" s="59"/>
      <c r="GFD3" s="59"/>
      <c r="GFE3" s="59"/>
      <c r="GFF3" s="59"/>
      <c r="GFG3" s="59"/>
      <c r="GFH3" s="59"/>
      <c r="GFI3" s="59"/>
      <c r="GFJ3" s="59"/>
      <c r="GFK3" s="59"/>
      <c r="GFL3" s="59"/>
      <c r="GFM3" s="59"/>
      <c r="GFN3" s="59"/>
      <c r="GFO3" s="59"/>
      <c r="GFP3" s="59"/>
      <c r="GFQ3" s="59"/>
      <c r="GFR3" s="59"/>
      <c r="GFS3" s="59"/>
      <c r="GFT3" s="59"/>
      <c r="GFU3" s="59"/>
      <c r="GFV3" s="59"/>
      <c r="GFW3" s="59"/>
      <c r="GFX3" s="59"/>
      <c r="GFY3" s="59"/>
      <c r="GFZ3" s="59"/>
      <c r="GGA3" s="59"/>
      <c r="GGB3" s="59"/>
      <c r="GGC3" s="59"/>
      <c r="GGD3" s="59"/>
      <c r="GGE3" s="59"/>
      <c r="GGF3" s="59"/>
      <c r="GGG3" s="59"/>
      <c r="GGH3" s="59"/>
      <c r="GGI3" s="59"/>
      <c r="GGJ3" s="59"/>
      <c r="GGK3" s="59"/>
      <c r="GGL3" s="59"/>
      <c r="GGM3" s="59"/>
      <c r="GGN3" s="59"/>
      <c r="GGO3" s="59"/>
      <c r="GGP3" s="59"/>
      <c r="GGQ3" s="59"/>
      <c r="GGR3" s="59"/>
      <c r="GGS3" s="59"/>
      <c r="GGT3" s="59"/>
      <c r="GGU3" s="59"/>
      <c r="GGV3" s="59"/>
      <c r="GGW3" s="59"/>
      <c r="GGX3" s="59"/>
      <c r="GGY3" s="59"/>
      <c r="GGZ3" s="59"/>
      <c r="GHA3" s="59"/>
      <c r="GHB3" s="59"/>
      <c r="GHC3" s="59"/>
      <c r="GHD3" s="59"/>
      <c r="GHE3" s="59"/>
      <c r="GHF3" s="59"/>
      <c r="GHG3" s="59"/>
      <c r="GHH3" s="59"/>
      <c r="GHI3" s="59"/>
      <c r="GHJ3" s="59"/>
      <c r="GHK3" s="59"/>
      <c r="GHL3" s="59"/>
      <c r="GHM3" s="59"/>
      <c r="GHN3" s="59"/>
      <c r="GHO3" s="59"/>
      <c r="GHP3" s="59"/>
      <c r="GHQ3" s="59"/>
      <c r="GHR3" s="59"/>
      <c r="GHS3" s="59"/>
      <c r="GHT3" s="59"/>
      <c r="GHU3" s="59"/>
      <c r="GHV3" s="59"/>
      <c r="GHW3" s="59"/>
      <c r="GHX3" s="59"/>
      <c r="GHY3" s="59"/>
      <c r="GHZ3" s="59"/>
      <c r="GIA3" s="59"/>
      <c r="GIB3" s="59"/>
      <c r="GIC3" s="59"/>
      <c r="GID3" s="59"/>
      <c r="GIE3" s="59"/>
      <c r="GIF3" s="59"/>
      <c r="GIG3" s="59"/>
      <c r="GIH3" s="59"/>
      <c r="GII3" s="59"/>
      <c r="GIJ3" s="59"/>
      <c r="GIK3" s="59"/>
      <c r="GIL3" s="59"/>
      <c r="GIM3" s="59"/>
      <c r="GIN3" s="59"/>
      <c r="GIO3" s="59"/>
      <c r="GIP3" s="59"/>
      <c r="GIQ3" s="59"/>
      <c r="GIR3" s="59"/>
      <c r="GIS3" s="59"/>
      <c r="GIT3" s="59"/>
      <c r="GIU3" s="59"/>
      <c r="GIV3" s="59"/>
      <c r="GIW3" s="59"/>
      <c r="GIX3" s="59"/>
      <c r="GIY3" s="59"/>
      <c r="GIZ3" s="59"/>
      <c r="GJA3" s="59"/>
      <c r="GJB3" s="59"/>
      <c r="GJC3" s="59"/>
      <c r="GJD3" s="59"/>
      <c r="GJE3" s="59"/>
      <c r="GJF3" s="59"/>
      <c r="GJG3" s="59"/>
      <c r="GJH3" s="59"/>
      <c r="GJI3" s="59"/>
      <c r="GJJ3" s="59"/>
      <c r="GJK3" s="59"/>
      <c r="GJL3" s="59"/>
      <c r="GJM3" s="59"/>
      <c r="GJN3" s="59"/>
      <c r="GJO3" s="59"/>
      <c r="GJP3" s="59"/>
      <c r="GJQ3" s="59"/>
      <c r="GJR3" s="59"/>
      <c r="GJS3" s="59"/>
      <c r="GJT3" s="59"/>
      <c r="GJU3" s="59"/>
      <c r="GJV3" s="59"/>
      <c r="GJW3" s="59"/>
      <c r="GJX3" s="59"/>
      <c r="GJY3" s="59"/>
      <c r="GJZ3" s="59"/>
      <c r="GKA3" s="59"/>
      <c r="GKB3" s="59"/>
      <c r="GKC3" s="59"/>
      <c r="GKD3" s="59"/>
      <c r="GKE3" s="59"/>
      <c r="GKF3" s="59"/>
      <c r="GKG3" s="59"/>
      <c r="GKH3" s="59"/>
      <c r="GKI3" s="59"/>
      <c r="GKJ3" s="59"/>
      <c r="GKK3" s="59"/>
      <c r="GKL3" s="59"/>
      <c r="GKM3" s="59"/>
      <c r="GKN3" s="59"/>
      <c r="GKO3" s="59"/>
      <c r="GKP3" s="59"/>
      <c r="GKQ3" s="59"/>
      <c r="GKR3" s="59"/>
      <c r="GKS3" s="59"/>
      <c r="GKT3" s="59"/>
      <c r="GKU3" s="59"/>
      <c r="GKV3" s="59"/>
      <c r="GKW3" s="59"/>
      <c r="GKX3" s="59"/>
      <c r="GKY3" s="59"/>
      <c r="GKZ3" s="59"/>
      <c r="GLA3" s="59"/>
      <c r="GLB3" s="59"/>
      <c r="GLC3" s="59"/>
      <c r="GLD3" s="59"/>
      <c r="GLE3" s="59"/>
      <c r="GLF3" s="59"/>
      <c r="GLG3" s="59"/>
      <c r="GLH3" s="59"/>
      <c r="GLI3" s="59"/>
      <c r="GLJ3" s="59"/>
      <c r="GLK3" s="59"/>
      <c r="GLL3" s="59"/>
      <c r="GLM3" s="59"/>
      <c r="GLN3" s="59"/>
      <c r="GLO3" s="59"/>
      <c r="GLP3" s="59"/>
      <c r="GLQ3" s="59"/>
      <c r="GLR3" s="59"/>
      <c r="GLS3" s="59"/>
      <c r="GLT3" s="59"/>
      <c r="GLU3" s="59"/>
      <c r="GLV3" s="59"/>
      <c r="GLW3" s="59"/>
      <c r="GLX3" s="59"/>
      <c r="GLY3" s="59"/>
      <c r="GLZ3" s="59"/>
      <c r="GMA3" s="59"/>
      <c r="GMB3" s="59"/>
      <c r="GMC3" s="59"/>
      <c r="GMD3" s="59"/>
      <c r="GME3" s="59"/>
      <c r="GMF3" s="59"/>
      <c r="GMG3" s="59"/>
      <c r="GMH3" s="59"/>
      <c r="GMI3" s="59"/>
      <c r="GMJ3" s="59"/>
      <c r="GMK3" s="59"/>
      <c r="GML3" s="59"/>
      <c r="GMM3" s="59"/>
      <c r="GMN3" s="59"/>
      <c r="GMO3" s="59"/>
      <c r="GMP3" s="59"/>
      <c r="GMQ3" s="59"/>
      <c r="GMR3" s="59"/>
      <c r="GMS3" s="59"/>
      <c r="GMT3" s="59"/>
      <c r="GMU3" s="59"/>
      <c r="GMV3" s="59"/>
      <c r="GMW3" s="59"/>
      <c r="GMX3" s="59"/>
      <c r="GMY3" s="59"/>
      <c r="GMZ3" s="59"/>
      <c r="GNA3" s="59"/>
      <c r="GNB3" s="59"/>
      <c r="GNC3" s="59"/>
      <c r="GND3" s="59"/>
      <c r="GNE3" s="59"/>
      <c r="GNF3" s="59"/>
      <c r="GNG3" s="59"/>
      <c r="GNH3" s="59"/>
      <c r="GNI3" s="59"/>
      <c r="GNJ3" s="59"/>
      <c r="GNK3" s="59"/>
      <c r="GNL3" s="59"/>
      <c r="GNM3" s="59"/>
      <c r="GNN3" s="59"/>
      <c r="GNO3" s="59"/>
      <c r="GNP3" s="59"/>
      <c r="GNQ3" s="59"/>
      <c r="GNR3" s="59"/>
      <c r="GNS3" s="59"/>
      <c r="GNT3" s="59"/>
      <c r="GNU3" s="59"/>
      <c r="GNV3" s="59"/>
      <c r="GNW3" s="59"/>
      <c r="GNX3" s="59"/>
      <c r="GNY3" s="59"/>
      <c r="GNZ3" s="59"/>
      <c r="GOA3" s="59"/>
      <c r="GOB3" s="59"/>
      <c r="GOC3" s="59"/>
      <c r="GOD3" s="59"/>
      <c r="GOE3" s="59"/>
      <c r="GOF3" s="59"/>
      <c r="GOG3" s="59"/>
      <c r="GOH3" s="59"/>
      <c r="GOI3" s="59"/>
      <c r="GOJ3" s="59"/>
      <c r="GOK3" s="59"/>
      <c r="GOL3" s="59"/>
      <c r="GOM3" s="59"/>
      <c r="GON3" s="59"/>
      <c r="GOO3" s="59"/>
      <c r="GOP3" s="59"/>
      <c r="GOQ3" s="59"/>
      <c r="GOR3" s="59"/>
      <c r="GOS3" s="59"/>
      <c r="GOT3" s="59"/>
      <c r="GOU3" s="59"/>
      <c r="GOV3" s="59"/>
      <c r="GOW3" s="59"/>
      <c r="GOX3" s="59"/>
      <c r="GOY3" s="59"/>
      <c r="GOZ3" s="59"/>
      <c r="GPA3" s="59"/>
      <c r="GPB3" s="59"/>
      <c r="GPC3" s="59"/>
      <c r="GPD3" s="59"/>
      <c r="GPE3" s="59"/>
      <c r="GPF3" s="59"/>
      <c r="GPG3" s="59"/>
      <c r="GPH3" s="59"/>
      <c r="GPI3" s="59"/>
      <c r="GPJ3" s="59"/>
      <c r="GPK3" s="59"/>
      <c r="GPL3" s="59"/>
      <c r="GPM3" s="59"/>
      <c r="GPN3" s="59"/>
      <c r="GPO3" s="59"/>
      <c r="GPP3" s="59"/>
      <c r="GPQ3" s="59"/>
      <c r="GPR3" s="59"/>
      <c r="GPS3" s="59"/>
      <c r="GPT3" s="59"/>
      <c r="GPU3" s="59"/>
      <c r="GPV3" s="59"/>
      <c r="GPW3" s="59"/>
      <c r="GPX3" s="59"/>
      <c r="GPY3" s="59"/>
      <c r="GPZ3" s="59"/>
      <c r="GQA3" s="59"/>
      <c r="GQB3" s="59"/>
      <c r="GQC3" s="59"/>
      <c r="GQD3" s="59"/>
      <c r="GQE3" s="59"/>
      <c r="GQF3" s="59"/>
      <c r="GQG3" s="59"/>
      <c r="GQH3" s="59"/>
      <c r="GQI3" s="59"/>
      <c r="GQJ3" s="59"/>
      <c r="GQK3" s="59"/>
      <c r="GQL3" s="59"/>
      <c r="GQM3" s="59"/>
      <c r="GQN3" s="59"/>
      <c r="GQO3" s="59"/>
      <c r="GQP3" s="59"/>
      <c r="GQQ3" s="59"/>
      <c r="GQR3" s="59"/>
      <c r="GQS3" s="59"/>
      <c r="GQT3" s="59"/>
      <c r="GQU3" s="59"/>
      <c r="GQV3" s="59"/>
      <c r="GQW3" s="59"/>
      <c r="GQX3" s="59"/>
      <c r="GQY3" s="59"/>
      <c r="GQZ3" s="59"/>
      <c r="GRA3" s="59"/>
      <c r="GRB3" s="59"/>
      <c r="GRC3" s="59"/>
      <c r="GRD3" s="59"/>
      <c r="GRE3" s="59"/>
      <c r="GRF3" s="59"/>
      <c r="GRG3" s="59"/>
      <c r="GRH3" s="59"/>
      <c r="GRI3" s="59"/>
      <c r="GRJ3" s="59"/>
      <c r="GRK3" s="59"/>
      <c r="GRL3" s="59"/>
      <c r="GRM3" s="59"/>
      <c r="GRN3" s="59"/>
      <c r="GRO3" s="59"/>
      <c r="GRP3" s="59"/>
      <c r="GRQ3" s="59"/>
      <c r="GRR3" s="59"/>
      <c r="GRS3" s="59"/>
      <c r="GRT3" s="59"/>
      <c r="GRU3" s="59"/>
      <c r="GRV3" s="59"/>
      <c r="GRW3" s="59"/>
      <c r="GRX3" s="59"/>
      <c r="GRY3" s="59"/>
      <c r="GRZ3" s="59"/>
      <c r="GSA3" s="59"/>
      <c r="GSB3" s="59"/>
      <c r="GSC3" s="59"/>
      <c r="GSD3" s="59"/>
      <c r="GSE3" s="59"/>
      <c r="GSF3" s="59"/>
      <c r="GSG3" s="59"/>
      <c r="GSH3" s="59"/>
      <c r="GSI3" s="59"/>
      <c r="GSJ3" s="59"/>
      <c r="GSK3" s="59"/>
      <c r="GSL3" s="59"/>
      <c r="GSM3" s="59"/>
      <c r="GSN3" s="59"/>
      <c r="GSO3" s="59"/>
      <c r="GSP3" s="59"/>
      <c r="GSQ3" s="59"/>
      <c r="GSR3" s="59"/>
      <c r="GSS3" s="59"/>
      <c r="GST3" s="59"/>
      <c r="GSU3" s="59"/>
      <c r="GSV3" s="59"/>
      <c r="GSW3" s="59"/>
      <c r="GSX3" s="59"/>
      <c r="GSY3" s="59"/>
      <c r="GSZ3" s="59"/>
      <c r="GTA3" s="59"/>
      <c r="GTB3" s="59"/>
      <c r="GTC3" s="59"/>
      <c r="GTD3" s="59"/>
      <c r="GTE3" s="59"/>
      <c r="GTF3" s="59"/>
      <c r="GTG3" s="59"/>
      <c r="GTH3" s="59"/>
      <c r="GTI3" s="59"/>
      <c r="GTJ3" s="59"/>
      <c r="GTK3" s="59"/>
      <c r="GTL3" s="59"/>
      <c r="GTM3" s="59"/>
      <c r="GTN3" s="59"/>
      <c r="GTO3" s="59"/>
      <c r="GTP3" s="59"/>
      <c r="GTQ3" s="59"/>
      <c r="GTR3" s="59"/>
      <c r="GTS3" s="59"/>
      <c r="GTT3" s="59"/>
      <c r="GTU3" s="59"/>
      <c r="GTV3" s="59"/>
      <c r="GTW3" s="59"/>
      <c r="GTX3" s="59"/>
      <c r="GTY3" s="59"/>
      <c r="GTZ3" s="59"/>
      <c r="GUA3" s="59"/>
      <c r="GUB3" s="59"/>
      <c r="GUC3" s="59"/>
      <c r="GUD3" s="59"/>
      <c r="GUE3" s="59"/>
      <c r="GUF3" s="59"/>
      <c r="GUG3" s="59"/>
      <c r="GUH3" s="59"/>
      <c r="GUI3" s="59"/>
      <c r="GUJ3" s="59"/>
      <c r="GUK3" s="59"/>
      <c r="GUL3" s="59"/>
      <c r="GUM3" s="59"/>
      <c r="GUN3" s="59"/>
      <c r="GUO3" s="59"/>
      <c r="GUP3" s="59"/>
      <c r="GUQ3" s="59"/>
      <c r="GUR3" s="59"/>
      <c r="GUS3" s="59"/>
      <c r="GUT3" s="59"/>
      <c r="GUU3" s="59"/>
      <c r="GUV3" s="59"/>
      <c r="GUW3" s="59"/>
      <c r="GUX3" s="59"/>
      <c r="GUY3" s="59"/>
      <c r="GUZ3" s="59"/>
      <c r="GVA3" s="59"/>
      <c r="GVB3" s="59"/>
      <c r="GVC3" s="59"/>
      <c r="GVD3" s="59"/>
      <c r="GVE3" s="59"/>
      <c r="GVF3" s="59"/>
      <c r="GVG3" s="59"/>
      <c r="GVH3" s="59"/>
      <c r="GVI3" s="59"/>
      <c r="GVJ3" s="59"/>
      <c r="GVK3" s="59"/>
      <c r="GVL3" s="59"/>
      <c r="GVM3" s="59"/>
      <c r="GVN3" s="59"/>
      <c r="GVO3" s="59"/>
      <c r="GVP3" s="59"/>
      <c r="GVQ3" s="59"/>
      <c r="GVR3" s="59"/>
      <c r="GVS3" s="59"/>
      <c r="GVT3" s="59"/>
      <c r="GVU3" s="59"/>
      <c r="GVV3" s="59"/>
      <c r="GVW3" s="59"/>
      <c r="GVX3" s="59"/>
      <c r="GVY3" s="59"/>
      <c r="GVZ3" s="59"/>
      <c r="GWA3" s="59"/>
      <c r="GWB3" s="59"/>
      <c r="GWC3" s="59"/>
      <c r="GWD3" s="59"/>
      <c r="GWE3" s="59"/>
      <c r="GWF3" s="59"/>
      <c r="GWG3" s="59"/>
      <c r="GWH3" s="59"/>
      <c r="GWI3" s="59"/>
      <c r="GWJ3" s="59"/>
      <c r="GWK3" s="59"/>
      <c r="GWL3" s="59"/>
      <c r="GWM3" s="59"/>
      <c r="GWN3" s="59"/>
      <c r="GWO3" s="59"/>
      <c r="GWP3" s="59"/>
      <c r="GWQ3" s="59"/>
      <c r="GWR3" s="59"/>
      <c r="GWS3" s="59"/>
      <c r="GWT3" s="59"/>
      <c r="GWU3" s="59"/>
      <c r="GWV3" s="59"/>
      <c r="GWW3" s="59"/>
      <c r="GWX3" s="59"/>
      <c r="GWY3" s="59"/>
      <c r="GWZ3" s="59"/>
      <c r="GXA3" s="59"/>
      <c r="GXB3" s="59"/>
      <c r="GXC3" s="59"/>
      <c r="GXD3" s="59"/>
      <c r="GXE3" s="59"/>
      <c r="GXF3" s="59"/>
      <c r="GXG3" s="59"/>
      <c r="GXH3" s="59"/>
      <c r="GXI3" s="59"/>
      <c r="GXJ3" s="59"/>
      <c r="GXK3" s="59"/>
      <c r="GXL3" s="59"/>
      <c r="GXM3" s="59"/>
      <c r="GXN3" s="59"/>
      <c r="GXO3" s="59"/>
      <c r="GXP3" s="59"/>
      <c r="GXQ3" s="59"/>
      <c r="GXR3" s="59"/>
      <c r="GXS3" s="59"/>
      <c r="GXT3" s="59"/>
      <c r="GXU3" s="59"/>
      <c r="GXV3" s="59"/>
      <c r="GXW3" s="59"/>
      <c r="GXX3" s="59"/>
      <c r="GXY3" s="59"/>
      <c r="GXZ3" s="59"/>
      <c r="GYA3" s="59"/>
      <c r="GYB3" s="59"/>
      <c r="GYC3" s="59"/>
      <c r="GYD3" s="59"/>
      <c r="GYE3" s="59"/>
      <c r="GYF3" s="59"/>
      <c r="GYG3" s="59"/>
      <c r="GYH3" s="59"/>
      <c r="GYI3" s="59"/>
      <c r="GYJ3" s="59"/>
      <c r="GYK3" s="59"/>
      <c r="GYL3" s="59"/>
      <c r="GYM3" s="59"/>
      <c r="GYN3" s="59"/>
      <c r="GYO3" s="59"/>
      <c r="GYP3" s="59"/>
      <c r="GYQ3" s="59"/>
      <c r="GYR3" s="59"/>
      <c r="GYS3" s="59"/>
      <c r="GYT3" s="59"/>
      <c r="GYU3" s="59"/>
      <c r="GYV3" s="59"/>
      <c r="GYW3" s="59"/>
      <c r="GYX3" s="59"/>
      <c r="GYY3" s="59"/>
      <c r="GYZ3" s="59"/>
      <c r="GZA3" s="59"/>
      <c r="GZB3" s="59"/>
      <c r="GZC3" s="59"/>
      <c r="GZD3" s="59"/>
      <c r="GZE3" s="59"/>
      <c r="GZF3" s="59"/>
      <c r="GZG3" s="59"/>
      <c r="GZH3" s="59"/>
      <c r="GZI3" s="59"/>
      <c r="GZJ3" s="59"/>
      <c r="GZK3" s="59"/>
      <c r="GZL3" s="59"/>
      <c r="GZM3" s="59"/>
      <c r="GZN3" s="59"/>
      <c r="GZO3" s="59"/>
      <c r="GZP3" s="59"/>
      <c r="GZQ3" s="59"/>
      <c r="GZR3" s="59"/>
      <c r="GZS3" s="59"/>
      <c r="GZT3" s="59"/>
      <c r="GZU3" s="59"/>
      <c r="GZV3" s="59"/>
      <c r="GZW3" s="59"/>
      <c r="GZX3" s="59"/>
      <c r="GZY3" s="59"/>
      <c r="GZZ3" s="59"/>
      <c r="HAA3" s="59"/>
      <c r="HAB3" s="59"/>
      <c r="HAC3" s="59"/>
      <c r="HAD3" s="59"/>
      <c r="HAE3" s="59"/>
      <c r="HAF3" s="59"/>
      <c r="HAG3" s="59"/>
      <c r="HAH3" s="59"/>
      <c r="HAI3" s="59"/>
      <c r="HAJ3" s="59"/>
      <c r="HAK3" s="59"/>
      <c r="HAL3" s="59"/>
      <c r="HAM3" s="59"/>
      <c r="HAN3" s="59"/>
      <c r="HAO3" s="59"/>
      <c r="HAP3" s="59"/>
      <c r="HAQ3" s="59"/>
      <c r="HAR3" s="59"/>
      <c r="HAS3" s="59"/>
      <c r="HAT3" s="59"/>
      <c r="HAU3" s="59"/>
      <c r="HAV3" s="59"/>
      <c r="HAW3" s="59"/>
      <c r="HAX3" s="59"/>
      <c r="HAY3" s="59"/>
      <c r="HAZ3" s="59"/>
      <c r="HBA3" s="59"/>
      <c r="HBB3" s="59"/>
      <c r="HBC3" s="59"/>
      <c r="HBD3" s="59"/>
      <c r="HBE3" s="59"/>
      <c r="HBF3" s="59"/>
      <c r="HBG3" s="59"/>
      <c r="HBH3" s="59"/>
      <c r="HBI3" s="59"/>
      <c r="HBJ3" s="59"/>
      <c r="HBK3" s="59"/>
      <c r="HBL3" s="59"/>
      <c r="HBM3" s="59"/>
      <c r="HBN3" s="59"/>
      <c r="HBO3" s="59"/>
      <c r="HBP3" s="59"/>
      <c r="HBQ3" s="59"/>
      <c r="HBR3" s="59"/>
      <c r="HBS3" s="59"/>
      <c r="HBT3" s="59"/>
      <c r="HBU3" s="59"/>
      <c r="HBV3" s="59"/>
      <c r="HBW3" s="59"/>
      <c r="HBX3" s="59"/>
      <c r="HBY3" s="59"/>
      <c r="HBZ3" s="59"/>
      <c r="HCA3" s="59"/>
      <c r="HCB3" s="59"/>
      <c r="HCC3" s="59"/>
      <c r="HCD3" s="59"/>
      <c r="HCE3" s="59"/>
      <c r="HCF3" s="59"/>
      <c r="HCG3" s="59"/>
      <c r="HCH3" s="59"/>
      <c r="HCI3" s="59"/>
      <c r="HCJ3" s="59"/>
      <c r="HCK3" s="59"/>
      <c r="HCL3" s="59"/>
      <c r="HCM3" s="59"/>
      <c r="HCN3" s="59"/>
      <c r="HCO3" s="59"/>
      <c r="HCP3" s="59"/>
      <c r="HCQ3" s="59"/>
      <c r="HCR3" s="59"/>
      <c r="HCS3" s="59"/>
      <c r="HCT3" s="59"/>
      <c r="HCU3" s="59"/>
      <c r="HCV3" s="59"/>
      <c r="HCW3" s="59"/>
      <c r="HCX3" s="59"/>
      <c r="HCY3" s="59"/>
      <c r="HCZ3" s="59"/>
      <c r="HDA3" s="59"/>
      <c r="HDB3" s="59"/>
      <c r="HDC3" s="59"/>
      <c r="HDD3" s="59"/>
      <c r="HDE3" s="59"/>
      <c r="HDF3" s="59"/>
      <c r="HDG3" s="59"/>
      <c r="HDH3" s="59"/>
      <c r="HDI3" s="59"/>
      <c r="HDJ3" s="59"/>
      <c r="HDK3" s="59"/>
      <c r="HDL3" s="59"/>
      <c r="HDM3" s="59"/>
      <c r="HDN3" s="59"/>
      <c r="HDO3" s="59"/>
      <c r="HDP3" s="59"/>
      <c r="HDQ3" s="59"/>
      <c r="HDR3" s="59"/>
      <c r="HDS3" s="59"/>
      <c r="HDT3" s="59"/>
      <c r="HDU3" s="59"/>
      <c r="HDV3" s="59"/>
      <c r="HDW3" s="59"/>
      <c r="HDX3" s="59"/>
      <c r="HDY3" s="59"/>
      <c r="HDZ3" s="59"/>
      <c r="HEA3" s="59"/>
      <c r="HEB3" s="59"/>
      <c r="HEC3" s="59"/>
      <c r="HED3" s="59"/>
      <c r="HEE3" s="59"/>
      <c r="HEF3" s="59"/>
      <c r="HEG3" s="59"/>
      <c r="HEH3" s="59"/>
      <c r="HEI3" s="59"/>
      <c r="HEJ3" s="59"/>
      <c r="HEK3" s="59"/>
      <c r="HEL3" s="59"/>
      <c r="HEM3" s="59"/>
      <c r="HEN3" s="59"/>
      <c r="HEO3" s="59"/>
      <c r="HEP3" s="59"/>
      <c r="HEQ3" s="59"/>
      <c r="HER3" s="59"/>
      <c r="HES3" s="59"/>
      <c r="HET3" s="59"/>
      <c r="HEU3" s="59"/>
      <c r="HEV3" s="59"/>
      <c r="HEW3" s="59"/>
      <c r="HEX3" s="59"/>
      <c r="HEY3" s="59"/>
      <c r="HEZ3" s="59"/>
      <c r="HFA3" s="59"/>
      <c r="HFB3" s="59"/>
      <c r="HFC3" s="59"/>
      <c r="HFD3" s="59"/>
      <c r="HFE3" s="59"/>
      <c r="HFF3" s="59"/>
      <c r="HFG3" s="59"/>
      <c r="HFH3" s="59"/>
      <c r="HFI3" s="59"/>
      <c r="HFJ3" s="59"/>
      <c r="HFK3" s="59"/>
      <c r="HFL3" s="59"/>
      <c r="HFM3" s="59"/>
      <c r="HFN3" s="59"/>
      <c r="HFO3" s="59"/>
      <c r="HFP3" s="59"/>
      <c r="HFQ3" s="59"/>
      <c r="HFR3" s="59"/>
      <c r="HFS3" s="59"/>
      <c r="HFT3" s="59"/>
      <c r="HFU3" s="59"/>
      <c r="HFV3" s="59"/>
      <c r="HFW3" s="59"/>
      <c r="HFX3" s="59"/>
      <c r="HFY3" s="59"/>
      <c r="HFZ3" s="59"/>
      <c r="HGA3" s="59"/>
      <c r="HGB3" s="59"/>
      <c r="HGC3" s="59"/>
      <c r="HGD3" s="59"/>
      <c r="HGE3" s="59"/>
      <c r="HGF3" s="59"/>
      <c r="HGG3" s="59"/>
      <c r="HGH3" s="59"/>
      <c r="HGI3" s="59"/>
      <c r="HGJ3" s="59"/>
      <c r="HGK3" s="59"/>
      <c r="HGL3" s="59"/>
      <c r="HGM3" s="59"/>
      <c r="HGN3" s="59"/>
      <c r="HGO3" s="59"/>
      <c r="HGP3" s="59"/>
      <c r="HGQ3" s="59"/>
      <c r="HGR3" s="59"/>
      <c r="HGS3" s="59"/>
      <c r="HGT3" s="59"/>
      <c r="HGU3" s="59"/>
      <c r="HGV3" s="59"/>
      <c r="HGW3" s="59"/>
      <c r="HGX3" s="59"/>
      <c r="HGY3" s="59"/>
      <c r="HGZ3" s="59"/>
      <c r="HHA3" s="59"/>
      <c r="HHB3" s="59"/>
      <c r="HHC3" s="59"/>
      <c r="HHD3" s="59"/>
      <c r="HHE3" s="59"/>
      <c r="HHF3" s="59"/>
      <c r="HHG3" s="59"/>
      <c r="HHH3" s="59"/>
      <c r="HHI3" s="59"/>
      <c r="HHJ3" s="59"/>
      <c r="HHK3" s="59"/>
      <c r="HHL3" s="59"/>
      <c r="HHM3" s="59"/>
      <c r="HHN3" s="59"/>
      <c r="HHO3" s="59"/>
      <c r="HHP3" s="59"/>
      <c r="HHQ3" s="59"/>
      <c r="HHR3" s="59"/>
      <c r="HHS3" s="59"/>
      <c r="HHT3" s="59"/>
      <c r="HHU3" s="59"/>
      <c r="HHV3" s="59"/>
      <c r="HHW3" s="59"/>
      <c r="HHX3" s="59"/>
      <c r="HHY3" s="59"/>
      <c r="HHZ3" s="59"/>
      <c r="HIA3" s="59"/>
      <c r="HIB3" s="59"/>
      <c r="HIC3" s="59"/>
      <c r="HID3" s="59"/>
      <c r="HIE3" s="59"/>
      <c r="HIF3" s="59"/>
      <c r="HIG3" s="59"/>
      <c r="HIH3" s="59"/>
      <c r="HII3" s="59"/>
      <c r="HIJ3" s="59"/>
      <c r="HIK3" s="59"/>
      <c r="HIL3" s="59"/>
      <c r="HIM3" s="59"/>
      <c r="HIN3" s="59"/>
      <c r="HIO3" s="59"/>
      <c r="HIP3" s="59"/>
      <c r="HIQ3" s="59"/>
      <c r="HIR3" s="59"/>
      <c r="HIS3" s="59"/>
      <c r="HIT3" s="59"/>
      <c r="HIU3" s="59"/>
      <c r="HIV3" s="59"/>
      <c r="HIW3" s="59"/>
      <c r="HIX3" s="59"/>
      <c r="HIY3" s="59"/>
      <c r="HIZ3" s="59"/>
      <c r="HJA3" s="59"/>
      <c r="HJB3" s="59"/>
      <c r="HJC3" s="59"/>
      <c r="HJD3" s="59"/>
      <c r="HJE3" s="59"/>
      <c r="HJF3" s="59"/>
      <c r="HJG3" s="59"/>
      <c r="HJH3" s="59"/>
      <c r="HJI3" s="59"/>
      <c r="HJJ3" s="59"/>
      <c r="HJK3" s="59"/>
      <c r="HJL3" s="59"/>
      <c r="HJM3" s="59"/>
      <c r="HJN3" s="59"/>
      <c r="HJO3" s="59"/>
      <c r="HJP3" s="59"/>
      <c r="HJQ3" s="59"/>
      <c r="HJR3" s="59"/>
      <c r="HJS3" s="59"/>
      <c r="HJT3" s="59"/>
      <c r="HJU3" s="59"/>
      <c r="HJV3" s="59"/>
      <c r="HJW3" s="59"/>
      <c r="HJX3" s="59"/>
      <c r="HJY3" s="59"/>
      <c r="HJZ3" s="59"/>
      <c r="HKA3" s="59"/>
      <c r="HKB3" s="59"/>
      <c r="HKC3" s="59"/>
      <c r="HKD3" s="59"/>
      <c r="HKE3" s="59"/>
      <c r="HKF3" s="59"/>
      <c r="HKG3" s="59"/>
      <c r="HKH3" s="59"/>
      <c r="HKI3" s="59"/>
      <c r="HKJ3" s="59"/>
      <c r="HKK3" s="59"/>
      <c r="HKL3" s="59"/>
      <c r="HKM3" s="59"/>
      <c r="HKN3" s="59"/>
      <c r="HKO3" s="59"/>
      <c r="HKP3" s="59"/>
      <c r="HKQ3" s="59"/>
      <c r="HKR3" s="59"/>
      <c r="HKS3" s="59"/>
      <c r="HKT3" s="59"/>
      <c r="HKU3" s="59"/>
      <c r="HKV3" s="59"/>
      <c r="HKW3" s="59"/>
      <c r="HKX3" s="59"/>
      <c r="HKY3" s="59"/>
      <c r="HKZ3" s="59"/>
      <c r="HLA3" s="59"/>
      <c r="HLB3" s="59"/>
      <c r="HLC3" s="59"/>
      <c r="HLD3" s="59"/>
      <c r="HLE3" s="59"/>
      <c r="HLF3" s="59"/>
      <c r="HLG3" s="59"/>
      <c r="HLH3" s="59"/>
      <c r="HLI3" s="59"/>
      <c r="HLJ3" s="59"/>
      <c r="HLK3" s="59"/>
      <c r="HLL3" s="59"/>
      <c r="HLM3" s="59"/>
      <c r="HLN3" s="59"/>
      <c r="HLO3" s="59"/>
      <c r="HLP3" s="59"/>
      <c r="HLQ3" s="59"/>
      <c r="HLR3" s="59"/>
      <c r="HLS3" s="59"/>
      <c r="HLT3" s="59"/>
      <c r="HLU3" s="59"/>
      <c r="HLV3" s="59"/>
      <c r="HLW3" s="59"/>
      <c r="HLX3" s="59"/>
      <c r="HLY3" s="59"/>
      <c r="HLZ3" s="59"/>
      <c r="HMA3" s="59"/>
      <c r="HMB3" s="59"/>
      <c r="HMC3" s="59"/>
      <c r="HMD3" s="59"/>
      <c r="HME3" s="59"/>
      <c r="HMF3" s="59"/>
      <c r="HMG3" s="59"/>
      <c r="HMH3" s="59"/>
      <c r="HMI3" s="59"/>
      <c r="HMJ3" s="59"/>
      <c r="HMK3" s="59"/>
      <c r="HML3" s="59"/>
      <c r="HMM3" s="59"/>
      <c r="HMN3" s="59"/>
      <c r="HMO3" s="59"/>
      <c r="HMP3" s="59"/>
      <c r="HMQ3" s="59"/>
      <c r="HMR3" s="59"/>
      <c r="HMS3" s="59"/>
      <c r="HMT3" s="59"/>
      <c r="HMU3" s="59"/>
      <c r="HMV3" s="59"/>
      <c r="HMW3" s="59"/>
      <c r="HMX3" s="59"/>
      <c r="HMY3" s="59"/>
      <c r="HMZ3" s="59"/>
      <c r="HNA3" s="59"/>
      <c r="HNB3" s="59"/>
      <c r="HNC3" s="59"/>
      <c r="HND3" s="59"/>
      <c r="HNE3" s="59"/>
      <c r="HNF3" s="59"/>
      <c r="HNG3" s="59"/>
      <c r="HNH3" s="59"/>
      <c r="HNI3" s="59"/>
      <c r="HNJ3" s="59"/>
      <c r="HNK3" s="59"/>
      <c r="HNL3" s="59"/>
      <c r="HNM3" s="59"/>
      <c r="HNN3" s="59"/>
      <c r="HNO3" s="59"/>
      <c r="HNP3" s="59"/>
      <c r="HNQ3" s="59"/>
      <c r="HNR3" s="59"/>
      <c r="HNS3" s="59"/>
      <c r="HNT3" s="59"/>
      <c r="HNU3" s="59"/>
      <c r="HNV3" s="59"/>
      <c r="HNW3" s="59"/>
      <c r="HNX3" s="59"/>
      <c r="HNY3" s="59"/>
      <c r="HNZ3" s="59"/>
      <c r="HOA3" s="59"/>
      <c r="HOB3" s="59"/>
      <c r="HOC3" s="59"/>
      <c r="HOD3" s="59"/>
      <c r="HOE3" s="59"/>
      <c r="HOF3" s="59"/>
      <c r="HOG3" s="59"/>
      <c r="HOH3" s="59"/>
      <c r="HOI3" s="59"/>
      <c r="HOJ3" s="59"/>
      <c r="HOK3" s="59"/>
      <c r="HOL3" s="59"/>
      <c r="HOM3" s="59"/>
      <c r="HON3" s="59"/>
      <c r="HOO3" s="59"/>
      <c r="HOP3" s="59"/>
      <c r="HOQ3" s="59"/>
      <c r="HOR3" s="59"/>
      <c r="HOS3" s="59"/>
      <c r="HOT3" s="59"/>
      <c r="HOU3" s="59"/>
      <c r="HOV3" s="59"/>
      <c r="HOW3" s="59"/>
      <c r="HOX3" s="59"/>
      <c r="HOY3" s="59"/>
      <c r="HOZ3" s="59"/>
      <c r="HPA3" s="59"/>
      <c r="HPB3" s="59"/>
      <c r="HPC3" s="59"/>
      <c r="HPD3" s="59"/>
      <c r="HPE3" s="59"/>
      <c r="HPF3" s="59"/>
      <c r="HPG3" s="59"/>
      <c r="HPH3" s="59"/>
      <c r="HPI3" s="59"/>
      <c r="HPJ3" s="59"/>
      <c r="HPK3" s="59"/>
      <c r="HPL3" s="59"/>
      <c r="HPM3" s="59"/>
      <c r="HPN3" s="59"/>
      <c r="HPO3" s="59"/>
      <c r="HPP3" s="59"/>
      <c r="HPQ3" s="59"/>
      <c r="HPR3" s="59"/>
      <c r="HPS3" s="59"/>
      <c r="HPT3" s="59"/>
      <c r="HPU3" s="59"/>
      <c r="HPV3" s="59"/>
      <c r="HPW3" s="59"/>
      <c r="HPX3" s="59"/>
      <c r="HPY3" s="59"/>
      <c r="HPZ3" s="59"/>
      <c r="HQA3" s="59"/>
      <c r="HQB3" s="59"/>
      <c r="HQC3" s="59"/>
      <c r="HQD3" s="59"/>
      <c r="HQE3" s="59"/>
      <c r="HQF3" s="59"/>
      <c r="HQG3" s="59"/>
      <c r="HQH3" s="59"/>
      <c r="HQI3" s="59"/>
      <c r="HQJ3" s="59"/>
      <c r="HQK3" s="59"/>
      <c r="HQL3" s="59"/>
      <c r="HQM3" s="59"/>
      <c r="HQN3" s="59"/>
      <c r="HQO3" s="59"/>
      <c r="HQP3" s="59"/>
      <c r="HQQ3" s="59"/>
      <c r="HQR3" s="59"/>
      <c r="HQS3" s="59"/>
      <c r="HQT3" s="59"/>
      <c r="HQU3" s="59"/>
      <c r="HQV3" s="59"/>
      <c r="HQW3" s="59"/>
      <c r="HQX3" s="59"/>
      <c r="HQY3" s="59"/>
      <c r="HQZ3" s="59"/>
      <c r="HRA3" s="59"/>
      <c r="HRB3" s="59"/>
      <c r="HRC3" s="59"/>
      <c r="HRD3" s="59"/>
      <c r="HRE3" s="59"/>
      <c r="HRF3" s="59"/>
      <c r="HRG3" s="59"/>
      <c r="HRH3" s="59"/>
      <c r="HRI3" s="59"/>
      <c r="HRJ3" s="59"/>
      <c r="HRK3" s="59"/>
      <c r="HRL3" s="59"/>
      <c r="HRM3" s="59"/>
      <c r="HRN3" s="59"/>
      <c r="HRO3" s="59"/>
      <c r="HRP3" s="59"/>
      <c r="HRQ3" s="59"/>
      <c r="HRR3" s="59"/>
      <c r="HRS3" s="59"/>
      <c r="HRT3" s="59"/>
      <c r="HRU3" s="59"/>
      <c r="HRV3" s="59"/>
      <c r="HRW3" s="59"/>
      <c r="HRX3" s="59"/>
      <c r="HRY3" s="59"/>
      <c r="HRZ3" s="59"/>
      <c r="HSA3" s="59"/>
      <c r="HSB3" s="59"/>
      <c r="HSC3" s="59"/>
      <c r="HSD3" s="59"/>
      <c r="HSE3" s="59"/>
      <c r="HSF3" s="59"/>
      <c r="HSG3" s="59"/>
      <c r="HSH3" s="59"/>
      <c r="HSI3" s="59"/>
      <c r="HSJ3" s="59"/>
      <c r="HSK3" s="59"/>
      <c r="HSL3" s="59"/>
      <c r="HSM3" s="59"/>
      <c r="HSN3" s="59"/>
      <c r="HSO3" s="59"/>
      <c r="HSP3" s="59"/>
      <c r="HSQ3" s="59"/>
      <c r="HSR3" s="59"/>
      <c r="HSS3" s="59"/>
      <c r="HST3" s="59"/>
      <c r="HSU3" s="59"/>
      <c r="HSV3" s="59"/>
      <c r="HSW3" s="59"/>
      <c r="HSX3" s="59"/>
      <c r="HSY3" s="59"/>
      <c r="HSZ3" s="59"/>
      <c r="HTA3" s="59"/>
      <c r="HTB3" s="59"/>
      <c r="HTC3" s="59"/>
      <c r="HTD3" s="59"/>
      <c r="HTE3" s="59"/>
      <c r="HTF3" s="59"/>
      <c r="HTG3" s="59"/>
      <c r="HTH3" s="59"/>
      <c r="HTI3" s="59"/>
      <c r="HTJ3" s="59"/>
      <c r="HTK3" s="59"/>
      <c r="HTL3" s="59"/>
      <c r="HTM3" s="59"/>
      <c r="HTN3" s="59"/>
      <c r="HTO3" s="59"/>
      <c r="HTP3" s="59"/>
      <c r="HTQ3" s="59"/>
      <c r="HTR3" s="59"/>
      <c r="HTS3" s="59"/>
      <c r="HTT3" s="59"/>
      <c r="HTU3" s="59"/>
      <c r="HTV3" s="59"/>
      <c r="HTW3" s="59"/>
      <c r="HTX3" s="59"/>
      <c r="HTY3" s="59"/>
      <c r="HTZ3" s="59"/>
      <c r="HUA3" s="59"/>
      <c r="HUB3" s="59"/>
      <c r="HUC3" s="59"/>
      <c r="HUD3" s="59"/>
      <c r="HUE3" s="59"/>
      <c r="HUF3" s="59"/>
      <c r="HUG3" s="59"/>
      <c r="HUH3" s="59"/>
      <c r="HUI3" s="59"/>
      <c r="HUJ3" s="59"/>
      <c r="HUK3" s="59"/>
      <c r="HUL3" s="59"/>
      <c r="HUM3" s="59"/>
      <c r="HUN3" s="59"/>
      <c r="HUO3" s="59"/>
      <c r="HUP3" s="59"/>
      <c r="HUQ3" s="59"/>
      <c r="HUR3" s="59"/>
      <c r="HUS3" s="59"/>
      <c r="HUT3" s="59"/>
      <c r="HUU3" s="59"/>
      <c r="HUV3" s="59"/>
      <c r="HUW3" s="59"/>
      <c r="HUX3" s="59"/>
      <c r="HUY3" s="59"/>
      <c r="HUZ3" s="59"/>
      <c r="HVA3" s="59"/>
      <c r="HVB3" s="59"/>
      <c r="HVC3" s="59"/>
      <c r="HVD3" s="59"/>
      <c r="HVE3" s="59"/>
      <c r="HVF3" s="59"/>
      <c r="HVG3" s="59"/>
      <c r="HVH3" s="59"/>
      <c r="HVI3" s="59"/>
      <c r="HVJ3" s="59"/>
      <c r="HVK3" s="59"/>
      <c r="HVL3" s="59"/>
      <c r="HVM3" s="59"/>
      <c r="HVN3" s="59"/>
      <c r="HVO3" s="59"/>
      <c r="HVP3" s="59"/>
      <c r="HVQ3" s="59"/>
      <c r="HVR3" s="59"/>
      <c r="HVS3" s="59"/>
      <c r="HVT3" s="59"/>
      <c r="HVU3" s="59"/>
      <c r="HVV3" s="59"/>
      <c r="HVW3" s="59"/>
      <c r="HVX3" s="59"/>
      <c r="HVY3" s="59"/>
      <c r="HVZ3" s="59"/>
      <c r="HWA3" s="59"/>
      <c r="HWB3" s="59"/>
      <c r="HWC3" s="59"/>
      <c r="HWD3" s="59"/>
      <c r="HWE3" s="59"/>
      <c r="HWF3" s="59"/>
      <c r="HWG3" s="59"/>
      <c r="HWH3" s="59"/>
      <c r="HWI3" s="59"/>
      <c r="HWJ3" s="59"/>
      <c r="HWK3" s="59"/>
      <c r="HWL3" s="59"/>
      <c r="HWM3" s="59"/>
      <c r="HWN3" s="59"/>
      <c r="HWO3" s="59"/>
      <c r="HWP3" s="59"/>
      <c r="HWQ3" s="59"/>
      <c r="HWR3" s="59"/>
      <c r="HWS3" s="59"/>
      <c r="HWT3" s="59"/>
      <c r="HWU3" s="59"/>
      <c r="HWV3" s="59"/>
      <c r="HWW3" s="59"/>
      <c r="HWX3" s="59"/>
      <c r="HWY3" s="59"/>
      <c r="HWZ3" s="59"/>
      <c r="HXA3" s="59"/>
      <c r="HXB3" s="59"/>
      <c r="HXC3" s="59"/>
      <c r="HXD3" s="59"/>
      <c r="HXE3" s="59"/>
      <c r="HXF3" s="59"/>
      <c r="HXG3" s="59"/>
      <c r="HXH3" s="59"/>
      <c r="HXI3" s="59"/>
      <c r="HXJ3" s="59"/>
      <c r="HXK3" s="59"/>
      <c r="HXL3" s="59"/>
      <c r="HXM3" s="59"/>
      <c r="HXN3" s="59"/>
      <c r="HXO3" s="59"/>
      <c r="HXP3" s="59"/>
      <c r="HXQ3" s="59"/>
      <c r="HXR3" s="59"/>
      <c r="HXS3" s="59"/>
      <c r="HXT3" s="59"/>
      <c r="HXU3" s="59"/>
      <c r="HXV3" s="59"/>
      <c r="HXW3" s="59"/>
      <c r="HXX3" s="59"/>
      <c r="HXY3" s="59"/>
      <c r="HXZ3" s="59"/>
      <c r="HYA3" s="59"/>
      <c r="HYB3" s="59"/>
      <c r="HYC3" s="59"/>
      <c r="HYD3" s="59"/>
      <c r="HYE3" s="59"/>
      <c r="HYF3" s="59"/>
      <c r="HYG3" s="59"/>
      <c r="HYH3" s="59"/>
      <c r="HYI3" s="59"/>
      <c r="HYJ3" s="59"/>
      <c r="HYK3" s="59"/>
      <c r="HYL3" s="59"/>
      <c r="HYM3" s="59"/>
      <c r="HYN3" s="59"/>
      <c r="HYO3" s="59"/>
      <c r="HYP3" s="59"/>
      <c r="HYQ3" s="59"/>
      <c r="HYR3" s="59"/>
      <c r="HYS3" s="59"/>
      <c r="HYT3" s="59"/>
      <c r="HYU3" s="59"/>
      <c r="HYV3" s="59"/>
      <c r="HYW3" s="59"/>
      <c r="HYX3" s="59"/>
      <c r="HYY3" s="59"/>
      <c r="HYZ3" s="59"/>
      <c r="HZA3" s="59"/>
      <c r="HZB3" s="59"/>
      <c r="HZC3" s="59"/>
      <c r="HZD3" s="59"/>
      <c r="HZE3" s="59"/>
      <c r="HZF3" s="59"/>
      <c r="HZG3" s="59"/>
      <c r="HZH3" s="59"/>
      <c r="HZI3" s="59"/>
      <c r="HZJ3" s="59"/>
      <c r="HZK3" s="59"/>
      <c r="HZL3" s="59"/>
      <c r="HZM3" s="59"/>
      <c r="HZN3" s="59"/>
      <c r="HZO3" s="59"/>
      <c r="HZP3" s="59"/>
      <c r="HZQ3" s="59"/>
      <c r="HZR3" s="59"/>
      <c r="HZS3" s="59"/>
      <c r="HZT3" s="59"/>
      <c r="HZU3" s="59"/>
      <c r="HZV3" s="59"/>
      <c r="HZW3" s="59"/>
      <c r="HZX3" s="59"/>
      <c r="HZY3" s="59"/>
      <c r="HZZ3" s="59"/>
      <c r="IAA3" s="59"/>
      <c r="IAB3" s="59"/>
      <c r="IAC3" s="59"/>
      <c r="IAD3" s="59"/>
      <c r="IAE3" s="59"/>
      <c r="IAF3" s="59"/>
      <c r="IAG3" s="59"/>
      <c r="IAH3" s="59"/>
      <c r="IAI3" s="59"/>
      <c r="IAJ3" s="59"/>
      <c r="IAK3" s="59"/>
      <c r="IAL3" s="59"/>
      <c r="IAM3" s="59"/>
      <c r="IAN3" s="59"/>
      <c r="IAO3" s="59"/>
      <c r="IAP3" s="59"/>
      <c r="IAQ3" s="59"/>
      <c r="IAR3" s="59"/>
      <c r="IAS3" s="59"/>
      <c r="IAT3" s="59"/>
      <c r="IAU3" s="59"/>
      <c r="IAV3" s="59"/>
      <c r="IAW3" s="59"/>
      <c r="IAX3" s="59"/>
      <c r="IAY3" s="59"/>
      <c r="IAZ3" s="59"/>
      <c r="IBA3" s="59"/>
      <c r="IBB3" s="59"/>
      <c r="IBC3" s="59"/>
      <c r="IBD3" s="59"/>
      <c r="IBE3" s="59"/>
      <c r="IBF3" s="59"/>
      <c r="IBG3" s="59"/>
      <c r="IBH3" s="59"/>
      <c r="IBI3" s="59"/>
      <c r="IBJ3" s="59"/>
      <c r="IBK3" s="59"/>
      <c r="IBL3" s="59"/>
      <c r="IBM3" s="59"/>
      <c r="IBN3" s="59"/>
      <c r="IBO3" s="59"/>
      <c r="IBP3" s="59"/>
      <c r="IBQ3" s="59"/>
      <c r="IBR3" s="59"/>
      <c r="IBS3" s="59"/>
      <c r="IBT3" s="59"/>
      <c r="IBU3" s="59"/>
      <c r="IBV3" s="59"/>
      <c r="IBW3" s="59"/>
      <c r="IBX3" s="59"/>
      <c r="IBY3" s="59"/>
      <c r="IBZ3" s="59"/>
      <c r="ICA3" s="59"/>
      <c r="ICB3" s="59"/>
      <c r="ICC3" s="59"/>
      <c r="ICD3" s="59"/>
      <c r="ICE3" s="59"/>
      <c r="ICF3" s="59"/>
      <c r="ICG3" s="59"/>
      <c r="ICH3" s="59"/>
      <c r="ICI3" s="59"/>
      <c r="ICJ3" s="59"/>
      <c r="ICK3" s="59"/>
      <c r="ICL3" s="59"/>
      <c r="ICM3" s="59"/>
      <c r="ICN3" s="59"/>
      <c r="ICO3" s="59"/>
      <c r="ICP3" s="59"/>
      <c r="ICQ3" s="59"/>
      <c r="ICR3" s="59"/>
      <c r="ICS3" s="59"/>
      <c r="ICT3" s="59"/>
      <c r="ICU3" s="59"/>
      <c r="ICV3" s="59"/>
      <c r="ICW3" s="59"/>
      <c r="ICX3" s="59"/>
      <c r="ICY3" s="59"/>
      <c r="ICZ3" s="59"/>
      <c r="IDA3" s="59"/>
      <c r="IDB3" s="59"/>
      <c r="IDC3" s="59"/>
      <c r="IDD3" s="59"/>
      <c r="IDE3" s="59"/>
      <c r="IDF3" s="59"/>
      <c r="IDG3" s="59"/>
      <c r="IDH3" s="59"/>
      <c r="IDI3" s="59"/>
      <c r="IDJ3" s="59"/>
      <c r="IDK3" s="59"/>
      <c r="IDL3" s="59"/>
      <c r="IDM3" s="59"/>
      <c r="IDN3" s="59"/>
      <c r="IDO3" s="59"/>
      <c r="IDP3" s="59"/>
      <c r="IDQ3" s="59"/>
      <c r="IDR3" s="59"/>
      <c r="IDS3" s="59"/>
      <c r="IDT3" s="59"/>
      <c r="IDU3" s="59"/>
      <c r="IDV3" s="59"/>
      <c r="IDW3" s="59"/>
      <c r="IDX3" s="59"/>
      <c r="IDY3" s="59"/>
      <c r="IDZ3" s="59"/>
      <c r="IEA3" s="59"/>
      <c r="IEB3" s="59"/>
      <c r="IEC3" s="59"/>
      <c r="IED3" s="59"/>
      <c r="IEE3" s="59"/>
      <c r="IEF3" s="59"/>
      <c r="IEG3" s="59"/>
      <c r="IEH3" s="59"/>
      <c r="IEI3" s="59"/>
      <c r="IEJ3" s="59"/>
      <c r="IEK3" s="59"/>
      <c r="IEL3" s="59"/>
      <c r="IEM3" s="59"/>
      <c r="IEN3" s="59"/>
      <c r="IEO3" s="59"/>
      <c r="IEP3" s="59"/>
      <c r="IEQ3" s="59"/>
      <c r="IER3" s="59"/>
      <c r="IES3" s="59"/>
      <c r="IET3" s="59"/>
      <c r="IEU3" s="59"/>
      <c r="IEV3" s="59"/>
      <c r="IEW3" s="59"/>
      <c r="IEX3" s="59"/>
      <c r="IEY3" s="59"/>
      <c r="IEZ3" s="59"/>
      <c r="IFA3" s="59"/>
      <c r="IFB3" s="59"/>
      <c r="IFC3" s="59"/>
      <c r="IFD3" s="59"/>
      <c r="IFE3" s="59"/>
      <c r="IFF3" s="59"/>
      <c r="IFG3" s="59"/>
      <c r="IFH3" s="59"/>
      <c r="IFI3" s="59"/>
      <c r="IFJ3" s="59"/>
      <c r="IFK3" s="59"/>
      <c r="IFL3" s="59"/>
      <c r="IFM3" s="59"/>
      <c r="IFN3" s="59"/>
      <c r="IFO3" s="59"/>
      <c r="IFP3" s="59"/>
      <c r="IFQ3" s="59"/>
      <c r="IFR3" s="59"/>
      <c r="IFS3" s="59"/>
      <c r="IFT3" s="59"/>
      <c r="IFU3" s="59"/>
      <c r="IFV3" s="59"/>
      <c r="IFW3" s="59"/>
      <c r="IFX3" s="59"/>
      <c r="IFY3" s="59"/>
      <c r="IFZ3" s="59"/>
      <c r="IGA3" s="59"/>
      <c r="IGB3" s="59"/>
      <c r="IGC3" s="59"/>
      <c r="IGD3" s="59"/>
      <c r="IGE3" s="59"/>
      <c r="IGF3" s="59"/>
      <c r="IGG3" s="59"/>
      <c r="IGH3" s="59"/>
      <c r="IGI3" s="59"/>
      <c r="IGJ3" s="59"/>
      <c r="IGK3" s="59"/>
      <c r="IGL3" s="59"/>
      <c r="IGM3" s="59"/>
      <c r="IGN3" s="59"/>
      <c r="IGO3" s="59"/>
      <c r="IGP3" s="59"/>
      <c r="IGQ3" s="59"/>
      <c r="IGR3" s="59"/>
      <c r="IGS3" s="59"/>
      <c r="IGT3" s="59"/>
      <c r="IGU3" s="59"/>
      <c r="IGV3" s="59"/>
      <c r="IGW3" s="59"/>
      <c r="IGX3" s="59"/>
      <c r="IGY3" s="59"/>
      <c r="IGZ3" s="59"/>
      <c r="IHA3" s="59"/>
      <c r="IHB3" s="59"/>
      <c r="IHC3" s="59"/>
      <c r="IHD3" s="59"/>
      <c r="IHE3" s="59"/>
      <c r="IHF3" s="59"/>
      <c r="IHG3" s="59"/>
      <c r="IHH3" s="59"/>
      <c r="IHI3" s="59"/>
      <c r="IHJ3" s="59"/>
      <c r="IHK3" s="59"/>
      <c r="IHL3" s="59"/>
      <c r="IHM3" s="59"/>
      <c r="IHN3" s="59"/>
      <c r="IHO3" s="59"/>
      <c r="IHP3" s="59"/>
      <c r="IHQ3" s="59"/>
      <c r="IHR3" s="59"/>
      <c r="IHS3" s="59"/>
      <c r="IHT3" s="59"/>
      <c r="IHU3" s="59"/>
      <c r="IHV3" s="59"/>
      <c r="IHW3" s="59"/>
      <c r="IHX3" s="59"/>
      <c r="IHY3" s="59"/>
      <c r="IHZ3" s="59"/>
      <c r="IIA3" s="59"/>
      <c r="IIB3" s="59"/>
      <c r="IIC3" s="59"/>
      <c r="IID3" s="59"/>
      <c r="IIE3" s="59"/>
      <c r="IIF3" s="59"/>
      <c r="IIG3" s="59"/>
      <c r="IIH3" s="59"/>
      <c r="III3" s="59"/>
      <c r="IIJ3" s="59"/>
      <c r="IIK3" s="59"/>
      <c r="IIL3" s="59"/>
      <c r="IIM3" s="59"/>
      <c r="IIN3" s="59"/>
      <c r="IIO3" s="59"/>
      <c r="IIP3" s="59"/>
      <c r="IIQ3" s="59"/>
      <c r="IIR3" s="59"/>
      <c r="IIS3" s="59"/>
      <c r="IIT3" s="59"/>
      <c r="IIU3" s="59"/>
      <c r="IIV3" s="59"/>
      <c r="IIW3" s="59"/>
      <c r="IIX3" s="59"/>
      <c r="IIY3" s="59"/>
      <c r="IIZ3" s="59"/>
      <c r="IJA3" s="59"/>
      <c r="IJB3" s="59"/>
      <c r="IJC3" s="59"/>
      <c r="IJD3" s="59"/>
      <c r="IJE3" s="59"/>
      <c r="IJF3" s="59"/>
      <c r="IJG3" s="59"/>
      <c r="IJH3" s="59"/>
      <c r="IJI3" s="59"/>
      <c r="IJJ3" s="59"/>
      <c r="IJK3" s="59"/>
      <c r="IJL3" s="59"/>
      <c r="IJM3" s="59"/>
      <c r="IJN3" s="59"/>
      <c r="IJO3" s="59"/>
      <c r="IJP3" s="59"/>
      <c r="IJQ3" s="59"/>
      <c r="IJR3" s="59"/>
      <c r="IJS3" s="59"/>
      <c r="IJT3" s="59"/>
      <c r="IJU3" s="59"/>
      <c r="IJV3" s="59"/>
      <c r="IJW3" s="59"/>
      <c r="IJX3" s="59"/>
      <c r="IJY3" s="59"/>
      <c r="IJZ3" s="59"/>
      <c r="IKA3" s="59"/>
      <c r="IKB3" s="59"/>
      <c r="IKC3" s="59"/>
      <c r="IKD3" s="59"/>
      <c r="IKE3" s="59"/>
      <c r="IKF3" s="59"/>
      <c r="IKG3" s="59"/>
      <c r="IKH3" s="59"/>
      <c r="IKI3" s="59"/>
      <c r="IKJ3" s="59"/>
      <c r="IKK3" s="59"/>
      <c r="IKL3" s="59"/>
      <c r="IKM3" s="59"/>
      <c r="IKN3" s="59"/>
      <c r="IKO3" s="59"/>
      <c r="IKP3" s="59"/>
      <c r="IKQ3" s="59"/>
      <c r="IKR3" s="59"/>
      <c r="IKS3" s="59"/>
      <c r="IKT3" s="59"/>
      <c r="IKU3" s="59"/>
      <c r="IKV3" s="59"/>
      <c r="IKW3" s="59"/>
      <c r="IKX3" s="59"/>
      <c r="IKY3" s="59"/>
      <c r="IKZ3" s="59"/>
      <c r="ILA3" s="59"/>
      <c r="ILB3" s="59"/>
      <c r="ILC3" s="59"/>
      <c r="ILD3" s="59"/>
      <c r="ILE3" s="59"/>
      <c r="ILF3" s="59"/>
      <c r="ILG3" s="59"/>
      <c r="ILH3" s="59"/>
      <c r="ILI3" s="59"/>
      <c r="ILJ3" s="59"/>
      <c r="ILK3" s="59"/>
      <c r="ILL3" s="59"/>
      <c r="ILM3" s="59"/>
      <c r="ILN3" s="59"/>
      <c r="ILO3" s="59"/>
      <c r="ILP3" s="59"/>
      <c r="ILQ3" s="59"/>
      <c r="ILR3" s="59"/>
      <c r="ILS3" s="59"/>
      <c r="ILT3" s="59"/>
      <c r="ILU3" s="59"/>
      <c r="ILV3" s="59"/>
      <c r="ILW3" s="59"/>
      <c r="ILX3" s="59"/>
      <c r="ILY3" s="59"/>
      <c r="ILZ3" s="59"/>
      <c r="IMA3" s="59"/>
      <c r="IMB3" s="59"/>
      <c r="IMC3" s="59"/>
      <c r="IMD3" s="59"/>
      <c r="IME3" s="59"/>
      <c r="IMF3" s="59"/>
      <c r="IMG3" s="59"/>
      <c r="IMH3" s="59"/>
      <c r="IMI3" s="59"/>
      <c r="IMJ3" s="59"/>
      <c r="IMK3" s="59"/>
      <c r="IML3" s="59"/>
      <c r="IMM3" s="59"/>
      <c r="IMN3" s="59"/>
      <c r="IMO3" s="59"/>
      <c r="IMP3" s="59"/>
      <c r="IMQ3" s="59"/>
      <c r="IMR3" s="59"/>
      <c r="IMS3" s="59"/>
      <c r="IMT3" s="59"/>
      <c r="IMU3" s="59"/>
      <c r="IMV3" s="59"/>
      <c r="IMW3" s="59"/>
      <c r="IMX3" s="59"/>
      <c r="IMY3" s="59"/>
      <c r="IMZ3" s="59"/>
      <c r="INA3" s="59"/>
      <c r="INB3" s="59"/>
      <c r="INC3" s="59"/>
      <c r="IND3" s="59"/>
      <c r="INE3" s="59"/>
      <c r="INF3" s="59"/>
      <c r="ING3" s="59"/>
      <c r="INH3" s="59"/>
      <c r="INI3" s="59"/>
      <c r="INJ3" s="59"/>
      <c r="INK3" s="59"/>
      <c r="INL3" s="59"/>
      <c r="INM3" s="59"/>
      <c r="INN3" s="59"/>
      <c r="INO3" s="59"/>
      <c r="INP3" s="59"/>
      <c r="INQ3" s="59"/>
      <c r="INR3" s="59"/>
      <c r="INS3" s="59"/>
      <c r="INT3" s="59"/>
      <c r="INU3" s="59"/>
      <c r="INV3" s="59"/>
      <c r="INW3" s="59"/>
      <c r="INX3" s="59"/>
      <c r="INY3" s="59"/>
      <c r="INZ3" s="59"/>
      <c r="IOA3" s="59"/>
      <c r="IOB3" s="59"/>
      <c r="IOC3" s="59"/>
      <c r="IOD3" s="59"/>
      <c r="IOE3" s="59"/>
      <c r="IOF3" s="59"/>
      <c r="IOG3" s="59"/>
      <c r="IOH3" s="59"/>
      <c r="IOI3" s="59"/>
      <c r="IOJ3" s="59"/>
      <c r="IOK3" s="59"/>
      <c r="IOL3" s="59"/>
      <c r="IOM3" s="59"/>
      <c r="ION3" s="59"/>
      <c r="IOO3" s="59"/>
      <c r="IOP3" s="59"/>
      <c r="IOQ3" s="59"/>
      <c r="IOR3" s="59"/>
      <c r="IOS3" s="59"/>
      <c r="IOT3" s="59"/>
      <c r="IOU3" s="59"/>
      <c r="IOV3" s="59"/>
      <c r="IOW3" s="59"/>
      <c r="IOX3" s="59"/>
      <c r="IOY3" s="59"/>
      <c r="IOZ3" s="59"/>
      <c r="IPA3" s="59"/>
      <c r="IPB3" s="59"/>
      <c r="IPC3" s="59"/>
      <c r="IPD3" s="59"/>
      <c r="IPE3" s="59"/>
      <c r="IPF3" s="59"/>
      <c r="IPG3" s="59"/>
      <c r="IPH3" s="59"/>
      <c r="IPI3" s="59"/>
      <c r="IPJ3" s="59"/>
      <c r="IPK3" s="59"/>
      <c r="IPL3" s="59"/>
      <c r="IPM3" s="59"/>
      <c r="IPN3" s="59"/>
      <c r="IPO3" s="59"/>
      <c r="IPP3" s="59"/>
      <c r="IPQ3" s="59"/>
      <c r="IPR3" s="59"/>
      <c r="IPS3" s="59"/>
      <c r="IPT3" s="59"/>
      <c r="IPU3" s="59"/>
      <c r="IPV3" s="59"/>
      <c r="IPW3" s="59"/>
      <c r="IPX3" s="59"/>
      <c r="IPY3" s="59"/>
      <c r="IPZ3" s="59"/>
      <c r="IQA3" s="59"/>
      <c r="IQB3" s="59"/>
      <c r="IQC3" s="59"/>
      <c r="IQD3" s="59"/>
      <c r="IQE3" s="59"/>
      <c r="IQF3" s="59"/>
      <c r="IQG3" s="59"/>
      <c r="IQH3" s="59"/>
      <c r="IQI3" s="59"/>
      <c r="IQJ3" s="59"/>
      <c r="IQK3" s="59"/>
      <c r="IQL3" s="59"/>
      <c r="IQM3" s="59"/>
      <c r="IQN3" s="59"/>
      <c r="IQO3" s="59"/>
      <c r="IQP3" s="59"/>
      <c r="IQQ3" s="59"/>
      <c r="IQR3" s="59"/>
      <c r="IQS3" s="59"/>
      <c r="IQT3" s="59"/>
      <c r="IQU3" s="59"/>
      <c r="IQV3" s="59"/>
      <c r="IQW3" s="59"/>
      <c r="IQX3" s="59"/>
      <c r="IQY3" s="59"/>
      <c r="IQZ3" s="59"/>
      <c r="IRA3" s="59"/>
      <c r="IRB3" s="59"/>
      <c r="IRC3" s="59"/>
      <c r="IRD3" s="59"/>
      <c r="IRE3" s="59"/>
      <c r="IRF3" s="59"/>
      <c r="IRG3" s="59"/>
      <c r="IRH3" s="59"/>
      <c r="IRI3" s="59"/>
      <c r="IRJ3" s="59"/>
      <c r="IRK3" s="59"/>
      <c r="IRL3" s="59"/>
      <c r="IRM3" s="59"/>
      <c r="IRN3" s="59"/>
      <c r="IRO3" s="59"/>
      <c r="IRP3" s="59"/>
      <c r="IRQ3" s="59"/>
      <c r="IRR3" s="59"/>
      <c r="IRS3" s="59"/>
      <c r="IRT3" s="59"/>
      <c r="IRU3" s="59"/>
      <c r="IRV3" s="59"/>
      <c r="IRW3" s="59"/>
      <c r="IRX3" s="59"/>
      <c r="IRY3" s="59"/>
      <c r="IRZ3" s="59"/>
      <c r="ISA3" s="59"/>
      <c r="ISB3" s="59"/>
      <c r="ISC3" s="59"/>
      <c r="ISD3" s="59"/>
      <c r="ISE3" s="59"/>
      <c r="ISF3" s="59"/>
      <c r="ISG3" s="59"/>
      <c r="ISH3" s="59"/>
      <c r="ISI3" s="59"/>
      <c r="ISJ3" s="59"/>
      <c r="ISK3" s="59"/>
      <c r="ISL3" s="59"/>
      <c r="ISM3" s="59"/>
      <c r="ISN3" s="59"/>
      <c r="ISO3" s="59"/>
      <c r="ISP3" s="59"/>
      <c r="ISQ3" s="59"/>
      <c r="ISR3" s="59"/>
      <c r="ISS3" s="59"/>
      <c r="IST3" s="59"/>
      <c r="ISU3" s="59"/>
      <c r="ISV3" s="59"/>
      <c r="ISW3" s="59"/>
      <c r="ISX3" s="59"/>
      <c r="ISY3" s="59"/>
      <c r="ISZ3" s="59"/>
      <c r="ITA3" s="59"/>
      <c r="ITB3" s="59"/>
      <c r="ITC3" s="59"/>
      <c r="ITD3" s="59"/>
      <c r="ITE3" s="59"/>
      <c r="ITF3" s="59"/>
      <c r="ITG3" s="59"/>
      <c r="ITH3" s="59"/>
      <c r="ITI3" s="59"/>
      <c r="ITJ3" s="59"/>
      <c r="ITK3" s="59"/>
      <c r="ITL3" s="59"/>
      <c r="ITM3" s="59"/>
      <c r="ITN3" s="59"/>
      <c r="ITO3" s="59"/>
      <c r="ITP3" s="59"/>
      <c r="ITQ3" s="59"/>
      <c r="ITR3" s="59"/>
      <c r="ITS3" s="59"/>
      <c r="ITT3" s="59"/>
      <c r="ITU3" s="59"/>
      <c r="ITV3" s="59"/>
      <c r="ITW3" s="59"/>
      <c r="ITX3" s="59"/>
      <c r="ITY3" s="59"/>
      <c r="ITZ3" s="59"/>
      <c r="IUA3" s="59"/>
      <c r="IUB3" s="59"/>
      <c r="IUC3" s="59"/>
      <c r="IUD3" s="59"/>
      <c r="IUE3" s="59"/>
      <c r="IUF3" s="59"/>
      <c r="IUG3" s="59"/>
      <c r="IUH3" s="59"/>
      <c r="IUI3" s="59"/>
      <c r="IUJ3" s="59"/>
      <c r="IUK3" s="59"/>
      <c r="IUL3" s="59"/>
      <c r="IUM3" s="59"/>
      <c r="IUN3" s="59"/>
      <c r="IUO3" s="59"/>
      <c r="IUP3" s="59"/>
      <c r="IUQ3" s="59"/>
      <c r="IUR3" s="59"/>
      <c r="IUS3" s="59"/>
      <c r="IUT3" s="59"/>
      <c r="IUU3" s="59"/>
      <c r="IUV3" s="59"/>
      <c r="IUW3" s="59"/>
      <c r="IUX3" s="59"/>
      <c r="IUY3" s="59"/>
      <c r="IUZ3" s="59"/>
      <c r="IVA3" s="59"/>
      <c r="IVB3" s="59"/>
      <c r="IVC3" s="59"/>
      <c r="IVD3" s="59"/>
      <c r="IVE3" s="59"/>
      <c r="IVF3" s="59"/>
      <c r="IVG3" s="59"/>
      <c r="IVH3" s="59"/>
      <c r="IVI3" s="59"/>
      <c r="IVJ3" s="59"/>
      <c r="IVK3" s="59"/>
      <c r="IVL3" s="59"/>
      <c r="IVM3" s="59"/>
      <c r="IVN3" s="59"/>
      <c r="IVO3" s="59"/>
      <c r="IVP3" s="59"/>
      <c r="IVQ3" s="59"/>
      <c r="IVR3" s="59"/>
      <c r="IVS3" s="59"/>
      <c r="IVT3" s="59"/>
      <c r="IVU3" s="59"/>
      <c r="IVV3" s="59"/>
      <c r="IVW3" s="59"/>
      <c r="IVX3" s="59"/>
      <c r="IVY3" s="59"/>
      <c r="IVZ3" s="59"/>
      <c r="IWA3" s="59"/>
      <c r="IWB3" s="59"/>
      <c r="IWC3" s="59"/>
      <c r="IWD3" s="59"/>
      <c r="IWE3" s="59"/>
      <c r="IWF3" s="59"/>
      <c r="IWG3" s="59"/>
      <c r="IWH3" s="59"/>
      <c r="IWI3" s="59"/>
      <c r="IWJ3" s="59"/>
      <c r="IWK3" s="59"/>
      <c r="IWL3" s="59"/>
      <c r="IWM3" s="59"/>
      <c r="IWN3" s="59"/>
      <c r="IWO3" s="59"/>
      <c r="IWP3" s="59"/>
      <c r="IWQ3" s="59"/>
      <c r="IWR3" s="59"/>
      <c r="IWS3" s="59"/>
      <c r="IWT3" s="59"/>
      <c r="IWU3" s="59"/>
      <c r="IWV3" s="59"/>
      <c r="IWW3" s="59"/>
      <c r="IWX3" s="59"/>
      <c r="IWY3" s="59"/>
      <c r="IWZ3" s="59"/>
      <c r="IXA3" s="59"/>
      <c r="IXB3" s="59"/>
      <c r="IXC3" s="59"/>
      <c r="IXD3" s="59"/>
      <c r="IXE3" s="59"/>
      <c r="IXF3" s="59"/>
      <c r="IXG3" s="59"/>
      <c r="IXH3" s="59"/>
      <c r="IXI3" s="59"/>
      <c r="IXJ3" s="59"/>
      <c r="IXK3" s="59"/>
      <c r="IXL3" s="59"/>
      <c r="IXM3" s="59"/>
      <c r="IXN3" s="59"/>
      <c r="IXO3" s="59"/>
      <c r="IXP3" s="59"/>
      <c r="IXQ3" s="59"/>
      <c r="IXR3" s="59"/>
      <c r="IXS3" s="59"/>
      <c r="IXT3" s="59"/>
      <c r="IXU3" s="59"/>
      <c r="IXV3" s="59"/>
      <c r="IXW3" s="59"/>
      <c r="IXX3" s="59"/>
      <c r="IXY3" s="59"/>
      <c r="IXZ3" s="59"/>
      <c r="IYA3" s="59"/>
      <c r="IYB3" s="59"/>
      <c r="IYC3" s="59"/>
      <c r="IYD3" s="59"/>
      <c r="IYE3" s="59"/>
      <c r="IYF3" s="59"/>
      <c r="IYG3" s="59"/>
      <c r="IYH3" s="59"/>
      <c r="IYI3" s="59"/>
      <c r="IYJ3" s="59"/>
      <c r="IYK3" s="59"/>
      <c r="IYL3" s="59"/>
      <c r="IYM3" s="59"/>
      <c r="IYN3" s="59"/>
      <c r="IYO3" s="59"/>
      <c r="IYP3" s="59"/>
      <c r="IYQ3" s="59"/>
      <c r="IYR3" s="59"/>
      <c r="IYS3" s="59"/>
      <c r="IYT3" s="59"/>
      <c r="IYU3" s="59"/>
      <c r="IYV3" s="59"/>
      <c r="IYW3" s="59"/>
      <c r="IYX3" s="59"/>
      <c r="IYY3" s="59"/>
      <c r="IYZ3" s="59"/>
      <c r="IZA3" s="59"/>
      <c r="IZB3" s="59"/>
      <c r="IZC3" s="59"/>
      <c r="IZD3" s="59"/>
      <c r="IZE3" s="59"/>
      <c r="IZF3" s="59"/>
      <c r="IZG3" s="59"/>
      <c r="IZH3" s="59"/>
      <c r="IZI3" s="59"/>
      <c r="IZJ3" s="59"/>
      <c r="IZK3" s="59"/>
      <c r="IZL3" s="59"/>
      <c r="IZM3" s="59"/>
      <c r="IZN3" s="59"/>
      <c r="IZO3" s="59"/>
      <c r="IZP3" s="59"/>
      <c r="IZQ3" s="59"/>
      <c r="IZR3" s="59"/>
      <c r="IZS3" s="59"/>
      <c r="IZT3" s="59"/>
      <c r="IZU3" s="59"/>
      <c r="IZV3" s="59"/>
      <c r="IZW3" s="59"/>
      <c r="IZX3" s="59"/>
      <c r="IZY3" s="59"/>
      <c r="IZZ3" s="59"/>
      <c r="JAA3" s="59"/>
      <c r="JAB3" s="59"/>
      <c r="JAC3" s="59"/>
      <c r="JAD3" s="59"/>
      <c r="JAE3" s="59"/>
      <c r="JAF3" s="59"/>
      <c r="JAG3" s="59"/>
      <c r="JAH3" s="59"/>
      <c r="JAI3" s="59"/>
      <c r="JAJ3" s="59"/>
      <c r="JAK3" s="59"/>
      <c r="JAL3" s="59"/>
      <c r="JAM3" s="59"/>
      <c r="JAN3" s="59"/>
      <c r="JAO3" s="59"/>
      <c r="JAP3" s="59"/>
      <c r="JAQ3" s="59"/>
      <c r="JAR3" s="59"/>
      <c r="JAS3" s="59"/>
      <c r="JAT3" s="59"/>
      <c r="JAU3" s="59"/>
      <c r="JAV3" s="59"/>
      <c r="JAW3" s="59"/>
      <c r="JAX3" s="59"/>
      <c r="JAY3" s="59"/>
      <c r="JAZ3" s="59"/>
      <c r="JBA3" s="59"/>
      <c r="JBB3" s="59"/>
      <c r="JBC3" s="59"/>
      <c r="JBD3" s="59"/>
      <c r="JBE3" s="59"/>
      <c r="JBF3" s="59"/>
      <c r="JBG3" s="59"/>
      <c r="JBH3" s="59"/>
      <c r="JBI3" s="59"/>
      <c r="JBJ3" s="59"/>
      <c r="JBK3" s="59"/>
      <c r="JBL3" s="59"/>
      <c r="JBM3" s="59"/>
      <c r="JBN3" s="59"/>
      <c r="JBO3" s="59"/>
      <c r="JBP3" s="59"/>
      <c r="JBQ3" s="59"/>
      <c r="JBR3" s="59"/>
      <c r="JBS3" s="59"/>
      <c r="JBT3" s="59"/>
      <c r="JBU3" s="59"/>
      <c r="JBV3" s="59"/>
      <c r="JBW3" s="59"/>
      <c r="JBX3" s="59"/>
      <c r="JBY3" s="59"/>
      <c r="JBZ3" s="59"/>
      <c r="JCA3" s="59"/>
      <c r="JCB3" s="59"/>
      <c r="JCC3" s="59"/>
      <c r="JCD3" s="59"/>
      <c r="JCE3" s="59"/>
      <c r="JCF3" s="59"/>
      <c r="JCG3" s="59"/>
      <c r="JCH3" s="59"/>
      <c r="JCI3" s="59"/>
      <c r="JCJ3" s="59"/>
      <c r="JCK3" s="59"/>
      <c r="JCL3" s="59"/>
      <c r="JCM3" s="59"/>
      <c r="JCN3" s="59"/>
      <c r="JCO3" s="59"/>
      <c r="JCP3" s="59"/>
      <c r="JCQ3" s="59"/>
      <c r="JCR3" s="59"/>
      <c r="JCS3" s="59"/>
      <c r="JCT3" s="59"/>
      <c r="JCU3" s="59"/>
      <c r="JCV3" s="59"/>
      <c r="JCW3" s="59"/>
      <c r="JCX3" s="59"/>
      <c r="JCY3" s="59"/>
      <c r="JCZ3" s="59"/>
      <c r="JDA3" s="59"/>
      <c r="JDB3" s="59"/>
      <c r="JDC3" s="59"/>
      <c r="JDD3" s="59"/>
      <c r="JDE3" s="59"/>
      <c r="JDF3" s="59"/>
      <c r="JDG3" s="59"/>
      <c r="JDH3" s="59"/>
      <c r="JDI3" s="59"/>
      <c r="JDJ3" s="59"/>
      <c r="JDK3" s="59"/>
      <c r="JDL3" s="59"/>
      <c r="JDM3" s="59"/>
      <c r="JDN3" s="59"/>
      <c r="JDO3" s="59"/>
      <c r="JDP3" s="59"/>
      <c r="JDQ3" s="59"/>
      <c r="JDR3" s="59"/>
      <c r="JDS3" s="59"/>
      <c r="JDT3" s="59"/>
      <c r="JDU3" s="59"/>
      <c r="JDV3" s="59"/>
      <c r="JDW3" s="59"/>
      <c r="JDX3" s="59"/>
      <c r="JDY3" s="59"/>
      <c r="JDZ3" s="59"/>
      <c r="JEA3" s="59"/>
      <c r="JEB3" s="59"/>
      <c r="JEC3" s="59"/>
      <c r="JED3" s="59"/>
      <c r="JEE3" s="59"/>
      <c r="JEF3" s="59"/>
      <c r="JEG3" s="59"/>
      <c r="JEH3" s="59"/>
      <c r="JEI3" s="59"/>
      <c r="JEJ3" s="59"/>
      <c r="JEK3" s="59"/>
      <c r="JEL3" s="59"/>
      <c r="JEM3" s="59"/>
      <c r="JEN3" s="59"/>
      <c r="JEO3" s="59"/>
      <c r="JEP3" s="59"/>
      <c r="JEQ3" s="59"/>
      <c r="JER3" s="59"/>
      <c r="JES3" s="59"/>
      <c r="JET3" s="59"/>
      <c r="JEU3" s="59"/>
      <c r="JEV3" s="59"/>
      <c r="JEW3" s="59"/>
      <c r="JEX3" s="59"/>
      <c r="JEY3" s="59"/>
      <c r="JEZ3" s="59"/>
      <c r="JFA3" s="59"/>
      <c r="JFB3" s="59"/>
      <c r="JFC3" s="59"/>
      <c r="JFD3" s="59"/>
      <c r="JFE3" s="59"/>
      <c r="JFF3" s="59"/>
      <c r="JFG3" s="59"/>
      <c r="JFH3" s="59"/>
      <c r="JFI3" s="59"/>
      <c r="JFJ3" s="59"/>
      <c r="JFK3" s="59"/>
      <c r="JFL3" s="59"/>
      <c r="JFM3" s="59"/>
      <c r="JFN3" s="59"/>
      <c r="JFO3" s="59"/>
      <c r="JFP3" s="59"/>
      <c r="JFQ3" s="59"/>
      <c r="JFR3" s="59"/>
      <c r="JFS3" s="59"/>
      <c r="JFT3" s="59"/>
      <c r="JFU3" s="59"/>
      <c r="JFV3" s="59"/>
      <c r="JFW3" s="59"/>
      <c r="JFX3" s="59"/>
      <c r="JFY3" s="59"/>
      <c r="JFZ3" s="59"/>
      <c r="JGA3" s="59"/>
      <c r="JGB3" s="59"/>
      <c r="JGC3" s="59"/>
      <c r="JGD3" s="59"/>
      <c r="JGE3" s="59"/>
      <c r="JGF3" s="59"/>
      <c r="JGG3" s="59"/>
      <c r="JGH3" s="59"/>
      <c r="JGI3" s="59"/>
      <c r="JGJ3" s="59"/>
      <c r="JGK3" s="59"/>
      <c r="JGL3" s="59"/>
      <c r="JGM3" s="59"/>
      <c r="JGN3" s="59"/>
      <c r="JGO3" s="59"/>
      <c r="JGP3" s="59"/>
      <c r="JGQ3" s="59"/>
      <c r="JGR3" s="59"/>
      <c r="JGS3" s="59"/>
      <c r="JGT3" s="59"/>
      <c r="JGU3" s="59"/>
      <c r="JGV3" s="59"/>
      <c r="JGW3" s="59"/>
      <c r="JGX3" s="59"/>
      <c r="JGY3" s="59"/>
      <c r="JGZ3" s="59"/>
      <c r="JHA3" s="59"/>
      <c r="JHB3" s="59"/>
      <c r="JHC3" s="59"/>
      <c r="JHD3" s="59"/>
      <c r="JHE3" s="59"/>
      <c r="JHF3" s="59"/>
      <c r="JHG3" s="59"/>
      <c r="JHH3" s="59"/>
      <c r="JHI3" s="59"/>
      <c r="JHJ3" s="59"/>
      <c r="JHK3" s="59"/>
      <c r="JHL3" s="59"/>
      <c r="JHM3" s="59"/>
      <c r="JHN3" s="59"/>
      <c r="JHO3" s="59"/>
      <c r="JHP3" s="59"/>
      <c r="JHQ3" s="59"/>
      <c r="JHR3" s="59"/>
      <c r="JHS3" s="59"/>
      <c r="JHT3" s="59"/>
      <c r="JHU3" s="59"/>
      <c r="JHV3" s="59"/>
      <c r="JHW3" s="59"/>
      <c r="JHX3" s="59"/>
      <c r="JHY3" s="59"/>
      <c r="JHZ3" s="59"/>
      <c r="JIA3" s="59"/>
      <c r="JIB3" s="59"/>
      <c r="JIC3" s="59"/>
      <c r="JID3" s="59"/>
      <c r="JIE3" s="59"/>
      <c r="JIF3" s="59"/>
      <c r="JIG3" s="59"/>
      <c r="JIH3" s="59"/>
      <c r="JII3" s="59"/>
      <c r="JIJ3" s="59"/>
      <c r="JIK3" s="59"/>
      <c r="JIL3" s="59"/>
      <c r="JIM3" s="59"/>
      <c r="JIN3" s="59"/>
      <c r="JIO3" s="59"/>
      <c r="JIP3" s="59"/>
      <c r="JIQ3" s="59"/>
      <c r="JIR3" s="59"/>
      <c r="JIS3" s="59"/>
      <c r="JIT3" s="59"/>
      <c r="JIU3" s="59"/>
      <c r="JIV3" s="59"/>
      <c r="JIW3" s="59"/>
      <c r="JIX3" s="59"/>
      <c r="JIY3" s="59"/>
      <c r="JIZ3" s="59"/>
      <c r="JJA3" s="59"/>
      <c r="JJB3" s="59"/>
      <c r="JJC3" s="59"/>
      <c r="JJD3" s="59"/>
      <c r="JJE3" s="59"/>
      <c r="JJF3" s="59"/>
      <c r="JJG3" s="59"/>
      <c r="JJH3" s="59"/>
      <c r="JJI3" s="59"/>
      <c r="JJJ3" s="59"/>
      <c r="JJK3" s="59"/>
      <c r="JJL3" s="59"/>
      <c r="JJM3" s="59"/>
      <c r="JJN3" s="59"/>
      <c r="JJO3" s="59"/>
      <c r="JJP3" s="59"/>
      <c r="JJQ3" s="59"/>
      <c r="JJR3" s="59"/>
      <c r="JJS3" s="59"/>
      <c r="JJT3" s="59"/>
      <c r="JJU3" s="59"/>
      <c r="JJV3" s="59"/>
      <c r="JJW3" s="59"/>
      <c r="JJX3" s="59"/>
      <c r="JJY3" s="59"/>
      <c r="JJZ3" s="59"/>
      <c r="JKA3" s="59"/>
      <c r="JKB3" s="59"/>
      <c r="JKC3" s="59"/>
      <c r="JKD3" s="59"/>
      <c r="JKE3" s="59"/>
      <c r="JKF3" s="59"/>
      <c r="JKG3" s="59"/>
      <c r="JKH3" s="59"/>
      <c r="JKI3" s="59"/>
      <c r="JKJ3" s="59"/>
      <c r="JKK3" s="59"/>
      <c r="JKL3" s="59"/>
      <c r="JKM3" s="59"/>
      <c r="JKN3" s="59"/>
      <c r="JKO3" s="59"/>
      <c r="JKP3" s="59"/>
      <c r="JKQ3" s="59"/>
      <c r="JKR3" s="59"/>
      <c r="JKS3" s="59"/>
      <c r="JKT3" s="59"/>
      <c r="JKU3" s="59"/>
      <c r="JKV3" s="59"/>
      <c r="JKW3" s="59"/>
      <c r="JKX3" s="59"/>
      <c r="JKY3" s="59"/>
      <c r="JKZ3" s="59"/>
      <c r="JLA3" s="59"/>
      <c r="JLB3" s="59"/>
      <c r="JLC3" s="59"/>
      <c r="JLD3" s="59"/>
      <c r="JLE3" s="59"/>
      <c r="JLF3" s="59"/>
      <c r="JLG3" s="59"/>
      <c r="JLH3" s="59"/>
      <c r="JLI3" s="59"/>
      <c r="JLJ3" s="59"/>
      <c r="JLK3" s="59"/>
      <c r="JLL3" s="59"/>
      <c r="JLM3" s="59"/>
      <c r="JLN3" s="59"/>
      <c r="JLO3" s="59"/>
      <c r="JLP3" s="59"/>
      <c r="JLQ3" s="59"/>
      <c r="JLR3" s="59"/>
      <c r="JLS3" s="59"/>
      <c r="JLT3" s="59"/>
      <c r="JLU3" s="59"/>
      <c r="JLV3" s="59"/>
      <c r="JLW3" s="59"/>
      <c r="JLX3" s="59"/>
      <c r="JLY3" s="59"/>
      <c r="JLZ3" s="59"/>
      <c r="JMA3" s="59"/>
      <c r="JMB3" s="59"/>
      <c r="JMC3" s="59"/>
      <c r="JMD3" s="59"/>
      <c r="JME3" s="59"/>
      <c r="JMF3" s="59"/>
      <c r="JMG3" s="59"/>
      <c r="JMH3" s="59"/>
      <c r="JMI3" s="59"/>
      <c r="JMJ3" s="59"/>
      <c r="JMK3" s="59"/>
      <c r="JML3" s="59"/>
      <c r="JMM3" s="59"/>
      <c r="JMN3" s="59"/>
      <c r="JMO3" s="59"/>
      <c r="JMP3" s="59"/>
      <c r="JMQ3" s="59"/>
      <c r="JMR3" s="59"/>
      <c r="JMS3" s="59"/>
      <c r="JMT3" s="59"/>
      <c r="JMU3" s="59"/>
      <c r="JMV3" s="59"/>
      <c r="JMW3" s="59"/>
      <c r="JMX3" s="59"/>
      <c r="JMY3" s="59"/>
      <c r="JMZ3" s="59"/>
      <c r="JNA3" s="59"/>
      <c r="JNB3" s="59"/>
      <c r="JNC3" s="59"/>
      <c r="JND3" s="59"/>
      <c r="JNE3" s="59"/>
      <c r="JNF3" s="59"/>
      <c r="JNG3" s="59"/>
      <c r="JNH3" s="59"/>
      <c r="JNI3" s="59"/>
      <c r="JNJ3" s="59"/>
      <c r="JNK3" s="59"/>
      <c r="JNL3" s="59"/>
      <c r="JNM3" s="59"/>
      <c r="JNN3" s="59"/>
      <c r="JNO3" s="59"/>
      <c r="JNP3" s="59"/>
      <c r="JNQ3" s="59"/>
      <c r="JNR3" s="59"/>
      <c r="JNS3" s="59"/>
      <c r="JNT3" s="59"/>
      <c r="JNU3" s="59"/>
      <c r="JNV3" s="59"/>
      <c r="JNW3" s="59"/>
      <c r="JNX3" s="59"/>
      <c r="JNY3" s="59"/>
      <c r="JNZ3" s="59"/>
      <c r="JOA3" s="59"/>
      <c r="JOB3" s="59"/>
      <c r="JOC3" s="59"/>
      <c r="JOD3" s="59"/>
      <c r="JOE3" s="59"/>
      <c r="JOF3" s="59"/>
      <c r="JOG3" s="59"/>
      <c r="JOH3" s="59"/>
      <c r="JOI3" s="59"/>
      <c r="JOJ3" s="59"/>
      <c r="JOK3" s="59"/>
      <c r="JOL3" s="59"/>
      <c r="JOM3" s="59"/>
      <c r="JON3" s="59"/>
      <c r="JOO3" s="59"/>
      <c r="JOP3" s="59"/>
      <c r="JOQ3" s="59"/>
      <c r="JOR3" s="59"/>
      <c r="JOS3" s="59"/>
      <c r="JOT3" s="59"/>
      <c r="JOU3" s="59"/>
      <c r="JOV3" s="59"/>
      <c r="JOW3" s="59"/>
      <c r="JOX3" s="59"/>
      <c r="JOY3" s="59"/>
      <c r="JOZ3" s="59"/>
      <c r="JPA3" s="59"/>
      <c r="JPB3" s="59"/>
      <c r="JPC3" s="59"/>
      <c r="JPD3" s="59"/>
      <c r="JPE3" s="59"/>
      <c r="JPF3" s="59"/>
      <c r="JPG3" s="59"/>
      <c r="JPH3" s="59"/>
      <c r="JPI3" s="59"/>
      <c r="JPJ3" s="59"/>
      <c r="JPK3" s="59"/>
      <c r="JPL3" s="59"/>
      <c r="JPM3" s="59"/>
      <c r="JPN3" s="59"/>
      <c r="JPO3" s="59"/>
      <c r="JPP3" s="59"/>
      <c r="JPQ3" s="59"/>
      <c r="JPR3" s="59"/>
      <c r="JPS3" s="59"/>
      <c r="JPT3" s="59"/>
      <c r="JPU3" s="59"/>
      <c r="JPV3" s="59"/>
      <c r="JPW3" s="59"/>
      <c r="JPX3" s="59"/>
      <c r="JPY3" s="59"/>
      <c r="JPZ3" s="59"/>
      <c r="JQA3" s="59"/>
      <c r="JQB3" s="59"/>
      <c r="JQC3" s="59"/>
      <c r="JQD3" s="59"/>
      <c r="JQE3" s="59"/>
      <c r="JQF3" s="59"/>
      <c r="JQG3" s="59"/>
      <c r="JQH3" s="59"/>
      <c r="JQI3" s="59"/>
      <c r="JQJ3" s="59"/>
      <c r="JQK3" s="59"/>
      <c r="JQL3" s="59"/>
      <c r="JQM3" s="59"/>
      <c r="JQN3" s="59"/>
      <c r="JQO3" s="59"/>
      <c r="JQP3" s="59"/>
      <c r="JQQ3" s="59"/>
      <c r="JQR3" s="59"/>
      <c r="JQS3" s="59"/>
      <c r="JQT3" s="59"/>
      <c r="JQU3" s="59"/>
      <c r="JQV3" s="59"/>
      <c r="JQW3" s="59"/>
      <c r="JQX3" s="59"/>
      <c r="JQY3" s="59"/>
      <c r="JQZ3" s="59"/>
      <c r="JRA3" s="59"/>
      <c r="JRB3" s="59"/>
      <c r="JRC3" s="59"/>
      <c r="JRD3" s="59"/>
      <c r="JRE3" s="59"/>
      <c r="JRF3" s="59"/>
      <c r="JRG3" s="59"/>
      <c r="JRH3" s="59"/>
      <c r="JRI3" s="59"/>
      <c r="JRJ3" s="59"/>
      <c r="JRK3" s="59"/>
      <c r="JRL3" s="59"/>
      <c r="JRM3" s="59"/>
      <c r="JRN3" s="59"/>
      <c r="JRO3" s="59"/>
      <c r="JRP3" s="59"/>
      <c r="JRQ3" s="59"/>
      <c r="JRR3" s="59"/>
      <c r="JRS3" s="59"/>
      <c r="JRT3" s="59"/>
      <c r="JRU3" s="59"/>
      <c r="JRV3" s="59"/>
      <c r="JRW3" s="59"/>
      <c r="JRX3" s="59"/>
      <c r="JRY3" s="59"/>
      <c r="JRZ3" s="59"/>
      <c r="JSA3" s="59"/>
      <c r="JSB3" s="59"/>
      <c r="JSC3" s="59"/>
      <c r="JSD3" s="59"/>
      <c r="JSE3" s="59"/>
      <c r="JSF3" s="59"/>
      <c r="JSG3" s="59"/>
      <c r="JSH3" s="59"/>
      <c r="JSI3" s="59"/>
      <c r="JSJ3" s="59"/>
      <c r="JSK3" s="59"/>
      <c r="JSL3" s="59"/>
      <c r="JSM3" s="59"/>
      <c r="JSN3" s="59"/>
      <c r="JSO3" s="59"/>
      <c r="JSP3" s="59"/>
      <c r="JSQ3" s="59"/>
      <c r="JSR3" s="59"/>
      <c r="JSS3" s="59"/>
      <c r="JST3" s="59"/>
      <c r="JSU3" s="59"/>
      <c r="JSV3" s="59"/>
      <c r="JSW3" s="59"/>
      <c r="JSX3" s="59"/>
      <c r="JSY3" s="59"/>
      <c r="JSZ3" s="59"/>
      <c r="JTA3" s="59"/>
      <c r="JTB3" s="59"/>
      <c r="JTC3" s="59"/>
      <c r="JTD3" s="59"/>
      <c r="JTE3" s="59"/>
      <c r="JTF3" s="59"/>
      <c r="JTG3" s="59"/>
      <c r="JTH3" s="59"/>
      <c r="JTI3" s="59"/>
      <c r="JTJ3" s="59"/>
      <c r="JTK3" s="59"/>
      <c r="JTL3" s="59"/>
      <c r="JTM3" s="59"/>
      <c r="JTN3" s="59"/>
      <c r="JTO3" s="59"/>
      <c r="JTP3" s="59"/>
      <c r="JTQ3" s="59"/>
      <c r="JTR3" s="59"/>
      <c r="JTS3" s="59"/>
      <c r="JTT3" s="59"/>
      <c r="JTU3" s="59"/>
      <c r="JTV3" s="59"/>
      <c r="JTW3" s="59"/>
      <c r="JTX3" s="59"/>
      <c r="JTY3" s="59"/>
      <c r="JTZ3" s="59"/>
      <c r="JUA3" s="59"/>
      <c r="JUB3" s="59"/>
      <c r="JUC3" s="59"/>
      <c r="JUD3" s="59"/>
      <c r="JUE3" s="59"/>
      <c r="JUF3" s="59"/>
      <c r="JUG3" s="59"/>
      <c r="JUH3" s="59"/>
      <c r="JUI3" s="59"/>
      <c r="JUJ3" s="59"/>
      <c r="JUK3" s="59"/>
      <c r="JUL3" s="59"/>
      <c r="JUM3" s="59"/>
      <c r="JUN3" s="59"/>
      <c r="JUO3" s="59"/>
      <c r="JUP3" s="59"/>
      <c r="JUQ3" s="59"/>
      <c r="JUR3" s="59"/>
      <c r="JUS3" s="59"/>
      <c r="JUT3" s="59"/>
      <c r="JUU3" s="59"/>
      <c r="JUV3" s="59"/>
      <c r="JUW3" s="59"/>
      <c r="JUX3" s="59"/>
      <c r="JUY3" s="59"/>
      <c r="JUZ3" s="59"/>
      <c r="JVA3" s="59"/>
      <c r="JVB3" s="59"/>
      <c r="JVC3" s="59"/>
      <c r="JVD3" s="59"/>
      <c r="JVE3" s="59"/>
      <c r="JVF3" s="59"/>
      <c r="JVG3" s="59"/>
      <c r="JVH3" s="59"/>
      <c r="JVI3" s="59"/>
      <c r="JVJ3" s="59"/>
      <c r="JVK3" s="59"/>
      <c r="JVL3" s="59"/>
      <c r="JVM3" s="59"/>
      <c r="JVN3" s="59"/>
      <c r="JVO3" s="59"/>
      <c r="JVP3" s="59"/>
      <c r="JVQ3" s="59"/>
      <c r="JVR3" s="59"/>
      <c r="JVS3" s="59"/>
      <c r="JVT3" s="59"/>
      <c r="JVU3" s="59"/>
      <c r="JVV3" s="59"/>
      <c r="JVW3" s="59"/>
      <c r="JVX3" s="59"/>
      <c r="JVY3" s="59"/>
      <c r="JVZ3" s="59"/>
      <c r="JWA3" s="59"/>
      <c r="JWB3" s="59"/>
      <c r="JWC3" s="59"/>
      <c r="JWD3" s="59"/>
      <c r="JWE3" s="59"/>
      <c r="JWF3" s="59"/>
      <c r="JWG3" s="59"/>
      <c r="JWH3" s="59"/>
      <c r="JWI3" s="59"/>
      <c r="JWJ3" s="59"/>
      <c r="JWK3" s="59"/>
      <c r="JWL3" s="59"/>
      <c r="JWM3" s="59"/>
      <c r="JWN3" s="59"/>
      <c r="JWO3" s="59"/>
      <c r="JWP3" s="59"/>
      <c r="JWQ3" s="59"/>
      <c r="JWR3" s="59"/>
      <c r="JWS3" s="59"/>
      <c r="JWT3" s="59"/>
      <c r="JWU3" s="59"/>
      <c r="JWV3" s="59"/>
      <c r="JWW3" s="59"/>
      <c r="JWX3" s="59"/>
      <c r="JWY3" s="59"/>
      <c r="JWZ3" s="59"/>
      <c r="JXA3" s="59"/>
      <c r="JXB3" s="59"/>
      <c r="JXC3" s="59"/>
      <c r="JXD3" s="59"/>
      <c r="JXE3" s="59"/>
      <c r="JXF3" s="59"/>
      <c r="JXG3" s="59"/>
      <c r="JXH3" s="59"/>
      <c r="JXI3" s="59"/>
      <c r="JXJ3" s="59"/>
      <c r="JXK3" s="59"/>
      <c r="JXL3" s="59"/>
      <c r="JXM3" s="59"/>
      <c r="JXN3" s="59"/>
      <c r="JXO3" s="59"/>
      <c r="JXP3" s="59"/>
      <c r="JXQ3" s="59"/>
      <c r="JXR3" s="59"/>
      <c r="JXS3" s="59"/>
      <c r="JXT3" s="59"/>
      <c r="JXU3" s="59"/>
      <c r="JXV3" s="59"/>
      <c r="JXW3" s="59"/>
      <c r="JXX3" s="59"/>
      <c r="JXY3" s="59"/>
      <c r="JXZ3" s="59"/>
      <c r="JYA3" s="59"/>
      <c r="JYB3" s="59"/>
      <c r="JYC3" s="59"/>
      <c r="JYD3" s="59"/>
      <c r="JYE3" s="59"/>
      <c r="JYF3" s="59"/>
      <c r="JYG3" s="59"/>
      <c r="JYH3" s="59"/>
      <c r="JYI3" s="59"/>
      <c r="JYJ3" s="59"/>
      <c r="JYK3" s="59"/>
      <c r="JYL3" s="59"/>
      <c r="JYM3" s="59"/>
      <c r="JYN3" s="59"/>
      <c r="JYO3" s="59"/>
      <c r="JYP3" s="59"/>
      <c r="JYQ3" s="59"/>
      <c r="JYR3" s="59"/>
      <c r="JYS3" s="59"/>
      <c r="JYT3" s="59"/>
      <c r="JYU3" s="59"/>
      <c r="JYV3" s="59"/>
      <c r="JYW3" s="59"/>
      <c r="JYX3" s="59"/>
      <c r="JYY3" s="59"/>
      <c r="JYZ3" s="59"/>
      <c r="JZA3" s="59"/>
      <c r="JZB3" s="59"/>
      <c r="JZC3" s="59"/>
      <c r="JZD3" s="59"/>
      <c r="JZE3" s="59"/>
      <c r="JZF3" s="59"/>
      <c r="JZG3" s="59"/>
      <c r="JZH3" s="59"/>
      <c r="JZI3" s="59"/>
      <c r="JZJ3" s="59"/>
      <c r="JZK3" s="59"/>
      <c r="JZL3" s="59"/>
      <c r="JZM3" s="59"/>
      <c r="JZN3" s="59"/>
      <c r="JZO3" s="59"/>
      <c r="JZP3" s="59"/>
      <c r="JZQ3" s="59"/>
      <c r="JZR3" s="59"/>
      <c r="JZS3" s="59"/>
      <c r="JZT3" s="59"/>
      <c r="JZU3" s="59"/>
      <c r="JZV3" s="59"/>
      <c r="JZW3" s="59"/>
      <c r="JZX3" s="59"/>
      <c r="JZY3" s="59"/>
      <c r="JZZ3" s="59"/>
      <c r="KAA3" s="59"/>
      <c r="KAB3" s="59"/>
      <c r="KAC3" s="59"/>
      <c r="KAD3" s="59"/>
      <c r="KAE3" s="59"/>
      <c r="KAF3" s="59"/>
      <c r="KAG3" s="59"/>
      <c r="KAH3" s="59"/>
      <c r="KAI3" s="59"/>
      <c r="KAJ3" s="59"/>
      <c r="KAK3" s="59"/>
      <c r="KAL3" s="59"/>
      <c r="KAM3" s="59"/>
      <c r="KAN3" s="59"/>
      <c r="KAO3" s="59"/>
      <c r="KAP3" s="59"/>
      <c r="KAQ3" s="59"/>
      <c r="KAR3" s="59"/>
      <c r="KAS3" s="59"/>
      <c r="KAT3" s="59"/>
      <c r="KAU3" s="59"/>
      <c r="KAV3" s="59"/>
      <c r="KAW3" s="59"/>
      <c r="KAX3" s="59"/>
      <c r="KAY3" s="59"/>
      <c r="KAZ3" s="59"/>
      <c r="KBA3" s="59"/>
      <c r="KBB3" s="59"/>
      <c r="KBC3" s="59"/>
      <c r="KBD3" s="59"/>
      <c r="KBE3" s="59"/>
      <c r="KBF3" s="59"/>
      <c r="KBG3" s="59"/>
      <c r="KBH3" s="59"/>
      <c r="KBI3" s="59"/>
      <c r="KBJ3" s="59"/>
      <c r="KBK3" s="59"/>
      <c r="KBL3" s="59"/>
      <c r="KBM3" s="59"/>
      <c r="KBN3" s="59"/>
      <c r="KBO3" s="59"/>
      <c r="KBP3" s="59"/>
      <c r="KBQ3" s="59"/>
      <c r="KBR3" s="59"/>
      <c r="KBS3" s="59"/>
      <c r="KBT3" s="59"/>
      <c r="KBU3" s="59"/>
      <c r="KBV3" s="59"/>
      <c r="KBW3" s="59"/>
      <c r="KBX3" s="59"/>
      <c r="KBY3" s="59"/>
      <c r="KBZ3" s="59"/>
      <c r="KCA3" s="59"/>
      <c r="KCB3" s="59"/>
      <c r="KCC3" s="59"/>
      <c r="KCD3" s="59"/>
      <c r="KCE3" s="59"/>
      <c r="KCF3" s="59"/>
      <c r="KCG3" s="59"/>
      <c r="KCH3" s="59"/>
      <c r="KCI3" s="59"/>
      <c r="KCJ3" s="59"/>
      <c r="KCK3" s="59"/>
      <c r="KCL3" s="59"/>
      <c r="KCM3" s="59"/>
      <c r="KCN3" s="59"/>
      <c r="KCO3" s="59"/>
      <c r="KCP3" s="59"/>
      <c r="KCQ3" s="59"/>
      <c r="KCR3" s="59"/>
      <c r="KCS3" s="59"/>
      <c r="KCT3" s="59"/>
      <c r="KCU3" s="59"/>
      <c r="KCV3" s="59"/>
      <c r="KCW3" s="59"/>
      <c r="KCX3" s="59"/>
      <c r="KCY3" s="59"/>
      <c r="KCZ3" s="59"/>
      <c r="KDA3" s="59"/>
      <c r="KDB3" s="59"/>
      <c r="KDC3" s="59"/>
      <c r="KDD3" s="59"/>
      <c r="KDE3" s="59"/>
      <c r="KDF3" s="59"/>
      <c r="KDG3" s="59"/>
      <c r="KDH3" s="59"/>
      <c r="KDI3" s="59"/>
      <c r="KDJ3" s="59"/>
      <c r="KDK3" s="59"/>
      <c r="KDL3" s="59"/>
      <c r="KDM3" s="59"/>
      <c r="KDN3" s="59"/>
      <c r="KDO3" s="59"/>
      <c r="KDP3" s="59"/>
      <c r="KDQ3" s="59"/>
      <c r="KDR3" s="59"/>
      <c r="KDS3" s="59"/>
      <c r="KDT3" s="59"/>
      <c r="KDU3" s="59"/>
      <c r="KDV3" s="59"/>
      <c r="KDW3" s="59"/>
      <c r="KDX3" s="59"/>
      <c r="KDY3" s="59"/>
      <c r="KDZ3" s="59"/>
      <c r="KEA3" s="59"/>
      <c r="KEB3" s="59"/>
      <c r="KEC3" s="59"/>
      <c r="KED3" s="59"/>
      <c r="KEE3" s="59"/>
      <c r="KEF3" s="59"/>
      <c r="KEG3" s="59"/>
      <c r="KEH3" s="59"/>
      <c r="KEI3" s="59"/>
      <c r="KEJ3" s="59"/>
      <c r="KEK3" s="59"/>
      <c r="KEL3" s="59"/>
      <c r="KEM3" s="59"/>
      <c r="KEN3" s="59"/>
      <c r="KEO3" s="59"/>
      <c r="KEP3" s="59"/>
      <c r="KEQ3" s="59"/>
      <c r="KER3" s="59"/>
      <c r="KES3" s="59"/>
      <c r="KET3" s="59"/>
      <c r="KEU3" s="59"/>
      <c r="KEV3" s="59"/>
      <c r="KEW3" s="59"/>
      <c r="KEX3" s="59"/>
      <c r="KEY3" s="59"/>
      <c r="KEZ3" s="59"/>
      <c r="KFA3" s="59"/>
      <c r="KFB3" s="59"/>
      <c r="KFC3" s="59"/>
      <c r="KFD3" s="59"/>
      <c r="KFE3" s="59"/>
      <c r="KFF3" s="59"/>
      <c r="KFG3" s="59"/>
      <c r="KFH3" s="59"/>
      <c r="KFI3" s="59"/>
      <c r="KFJ3" s="59"/>
      <c r="KFK3" s="59"/>
      <c r="KFL3" s="59"/>
      <c r="KFM3" s="59"/>
      <c r="KFN3" s="59"/>
      <c r="KFO3" s="59"/>
      <c r="KFP3" s="59"/>
      <c r="KFQ3" s="59"/>
      <c r="KFR3" s="59"/>
      <c r="KFS3" s="59"/>
      <c r="KFT3" s="59"/>
      <c r="KFU3" s="59"/>
      <c r="KFV3" s="59"/>
      <c r="KFW3" s="59"/>
      <c r="KFX3" s="59"/>
      <c r="KFY3" s="59"/>
      <c r="KFZ3" s="59"/>
      <c r="KGA3" s="59"/>
      <c r="KGB3" s="59"/>
      <c r="KGC3" s="59"/>
      <c r="KGD3" s="59"/>
      <c r="KGE3" s="59"/>
      <c r="KGF3" s="59"/>
      <c r="KGG3" s="59"/>
      <c r="KGH3" s="59"/>
      <c r="KGI3" s="59"/>
      <c r="KGJ3" s="59"/>
      <c r="KGK3" s="59"/>
      <c r="KGL3" s="59"/>
      <c r="KGM3" s="59"/>
      <c r="KGN3" s="59"/>
      <c r="KGO3" s="59"/>
      <c r="KGP3" s="59"/>
      <c r="KGQ3" s="59"/>
      <c r="KGR3" s="59"/>
      <c r="KGS3" s="59"/>
      <c r="KGT3" s="59"/>
      <c r="KGU3" s="59"/>
      <c r="KGV3" s="59"/>
      <c r="KGW3" s="59"/>
      <c r="KGX3" s="59"/>
      <c r="KGY3" s="59"/>
      <c r="KGZ3" s="59"/>
      <c r="KHA3" s="59"/>
      <c r="KHB3" s="59"/>
      <c r="KHC3" s="59"/>
      <c r="KHD3" s="59"/>
      <c r="KHE3" s="59"/>
      <c r="KHF3" s="59"/>
      <c r="KHG3" s="59"/>
      <c r="KHH3" s="59"/>
      <c r="KHI3" s="59"/>
      <c r="KHJ3" s="59"/>
      <c r="KHK3" s="59"/>
      <c r="KHL3" s="59"/>
      <c r="KHM3" s="59"/>
      <c r="KHN3" s="59"/>
      <c r="KHO3" s="59"/>
      <c r="KHP3" s="59"/>
      <c r="KHQ3" s="59"/>
      <c r="KHR3" s="59"/>
      <c r="KHS3" s="59"/>
      <c r="KHT3" s="59"/>
      <c r="KHU3" s="59"/>
      <c r="KHV3" s="59"/>
      <c r="KHW3" s="59"/>
      <c r="KHX3" s="59"/>
      <c r="KHY3" s="59"/>
      <c r="KHZ3" s="59"/>
      <c r="KIA3" s="59"/>
      <c r="KIB3" s="59"/>
      <c r="KIC3" s="59"/>
      <c r="KID3" s="59"/>
      <c r="KIE3" s="59"/>
      <c r="KIF3" s="59"/>
      <c r="KIG3" s="59"/>
      <c r="KIH3" s="59"/>
      <c r="KII3" s="59"/>
      <c r="KIJ3" s="59"/>
      <c r="KIK3" s="59"/>
      <c r="KIL3" s="59"/>
      <c r="KIM3" s="59"/>
      <c r="KIN3" s="59"/>
      <c r="KIO3" s="59"/>
      <c r="KIP3" s="59"/>
      <c r="KIQ3" s="59"/>
      <c r="KIR3" s="59"/>
      <c r="KIS3" s="59"/>
      <c r="KIT3" s="59"/>
      <c r="KIU3" s="59"/>
      <c r="KIV3" s="59"/>
      <c r="KIW3" s="59"/>
      <c r="KIX3" s="59"/>
      <c r="KIY3" s="59"/>
      <c r="KIZ3" s="59"/>
      <c r="KJA3" s="59"/>
      <c r="KJB3" s="59"/>
      <c r="KJC3" s="59"/>
      <c r="KJD3" s="59"/>
      <c r="KJE3" s="59"/>
      <c r="KJF3" s="59"/>
      <c r="KJG3" s="59"/>
      <c r="KJH3" s="59"/>
      <c r="KJI3" s="59"/>
      <c r="KJJ3" s="59"/>
      <c r="KJK3" s="59"/>
      <c r="KJL3" s="59"/>
      <c r="KJM3" s="59"/>
      <c r="KJN3" s="59"/>
      <c r="KJO3" s="59"/>
      <c r="KJP3" s="59"/>
      <c r="KJQ3" s="59"/>
      <c r="KJR3" s="59"/>
      <c r="KJS3" s="59"/>
      <c r="KJT3" s="59"/>
      <c r="KJU3" s="59"/>
      <c r="KJV3" s="59"/>
      <c r="KJW3" s="59"/>
      <c r="KJX3" s="59"/>
      <c r="KJY3" s="59"/>
      <c r="KJZ3" s="59"/>
      <c r="KKA3" s="59"/>
      <c r="KKB3" s="59"/>
      <c r="KKC3" s="59"/>
      <c r="KKD3" s="59"/>
      <c r="KKE3" s="59"/>
      <c r="KKF3" s="59"/>
      <c r="KKG3" s="59"/>
      <c r="KKH3" s="59"/>
      <c r="KKI3" s="59"/>
      <c r="KKJ3" s="59"/>
      <c r="KKK3" s="59"/>
      <c r="KKL3" s="59"/>
      <c r="KKM3" s="59"/>
      <c r="KKN3" s="59"/>
      <c r="KKO3" s="59"/>
      <c r="KKP3" s="59"/>
      <c r="KKQ3" s="59"/>
      <c r="KKR3" s="59"/>
      <c r="KKS3" s="59"/>
      <c r="KKT3" s="59"/>
      <c r="KKU3" s="59"/>
      <c r="KKV3" s="59"/>
      <c r="KKW3" s="59"/>
      <c r="KKX3" s="59"/>
      <c r="KKY3" s="59"/>
      <c r="KKZ3" s="59"/>
      <c r="KLA3" s="59"/>
      <c r="KLB3" s="59"/>
      <c r="KLC3" s="59"/>
      <c r="KLD3" s="59"/>
      <c r="KLE3" s="59"/>
      <c r="KLF3" s="59"/>
      <c r="KLG3" s="59"/>
      <c r="KLH3" s="59"/>
      <c r="KLI3" s="59"/>
      <c r="KLJ3" s="59"/>
      <c r="KLK3" s="59"/>
      <c r="KLL3" s="59"/>
      <c r="KLM3" s="59"/>
      <c r="KLN3" s="59"/>
      <c r="KLO3" s="59"/>
      <c r="KLP3" s="59"/>
      <c r="KLQ3" s="59"/>
      <c r="KLR3" s="59"/>
      <c r="KLS3" s="59"/>
      <c r="KLT3" s="59"/>
      <c r="KLU3" s="59"/>
      <c r="KLV3" s="59"/>
      <c r="KLW3" s="59"/>
      <c r="KLX3" s="59"/>
      <c r="KLY3" s="59"/>
      <c r="KLZ3" s="59"/>
      <c r="KMA3" s="59"/>
      <c r="KMB3" s="59"/>
      <c r="KMC3" s="59"/>
      <c r="KMD3" s="59"/>
      <c r="KME3" s="59"/>
      <c r="KMF3" s="59"/>
      <c r="KMG3" s="59"/>
      <c r="KMH3" s="59"/>
      <c r="KMI3" s="59"/>
      <c r="KMJ3" s="59"/>
      <c r="KMK3" s="59"/>
      <c r="KML3" s="59"/>
      <c r="KMM3" s="59"/>
      <c r="KMN3" s="59"/>
      <c r="KMO3" s="59"/>
      <c r="KMP3" s="59"/>
      <c r="KMQ3" s="59"/>
      <c r="KMR3" s="59"/>
      <c r="KMS3" s="59"/>
      <c r="KMT3" s="59"/>
      <c r="KMU3" s="59"/>
      <c r="KMV3" s="59"/>
      <c r="KMW3" s="59"/>
      <c r="KMX3" s="59"/>
      <c r="KMY3" s="59"/>
      <c r="KMZ3" s="59"/>
      <c r="KNA3" s="59"/>
      <c r="KNB3" s="59"/>
      <c r="KNC3" s="59"/>
      <c r="KND3" s="59"/>
      <c r="KNE3" s="59"/>
      <c r="KNF3" s="59"/>
      <c r="KNG3" s="59"/>
      <c r="KNH3" s="59"/>
      <c r="KNI3" s="59"/>
      <c r="KNJ3" s="59"/>
      <c r="KNK3" s="59"/>
      <c r="KNL3" s="59"/>
      <c r="KNM3" s="59"/>
      <c r="KNN3" s="59"/>
      <c r="KNO3" s="59"/>
      <c r="KNP3" s="59"/>
      <c r="KNQ3" s="59"/>
      <c r="KNR3" s="59"/>
      <c r="KNS3" s="59"/>
      <c r="KNT3" s="59"/>
      <c r="KNU3" s="59"/>
      <c r="KNV3" s="59"/>
      <c r="KNW3" s="59"/>
      <c r="KNX3" s="59"/>
      <c r="KNY3" s="59"/>
      <c r="KNZ3" s="59"/>
      <c r="KOA3" s="59"/>
      <c r="KOB3" s="59"/>
      <c r="KOC3" s="59"/>
      <c r="KOD3" s="59"/>
      <c r="KOE3" s="59"/>
      <c r="KOF3" s="59"/>
      <c r="KOG3" s="59"/>
      <c r="KOH3" s="59"/>
      <c r="KOI3" s="59"/>
      <c r="KOJ3" s="59"/>
      <c r="KOK3" s="59"/>
      <c r="KOL3" s="59"/>
      <c r="KOM3" s="59"/>
      <c r="KON3" s="59"/>
      <c r="KOO3" s="59"/>
      <c r="KOP3" s="59"/>
      <c r="KOQ3" s="59"/>
      <c r="KOR3" s="59"/>
      <c r="KOS3" s="59"/>
      <c r="KOT3" s="59"/>
      <c r="KOU3" s="59"/>
      <c r="KOV3" s="59"/>
      <c r="KOW3" s="59"/>
      <c r="KOX3" s="59"/>
      <c r="KOY3" s="59"/>
      <c r="KOZ3" s="59"/>
      <c r="KPA3" s="59"/>
      <c r="KPB3" s="59"/>
      <c r="KPC3" s="59"/>
      <c r="KPD3" s="59"/>
      <c r="KPE3" s="59"/>
      <c r="KPF3" s="59"/>
      <c r="KPG3" s="59"/>
      <c r="KPH3" s="59"/>
      <c r="KPI3" s="59"/>
      <c r="KPJ3" s="59"/>
      <c r="KPK3" s="59"/>
      <c r="KPL3" s="59"/>
      <c r="KPM3" s="59"/>
      <c r="KPN3" s="59"/>
      <c r="KPO3" s="59"/>
      <c r="KPP3" s="59"/>
      <c r="KPQ3" s="59"/>
      <c r="KPR3" s="59"/>
      <c r="KPS3" s="59"/>
      <c r="KPT3" s="59"/>
      <c r="KPU3" s="59"/>
      <c r="KPV3" s="59"/>
      <c r="KPW3" s="59"/>
      <c r="KPX3" s="59"/>
      <c r="KPY3" s="59"/>
      <c r="KPZ3" s="59"/>
      <c r="KQA3" s="59"/>
      <c r="KQB3" s="59"/>
      <c r="KQC3" s="59"/>
      <c r="KQD3" s="59"/>
      <c r="KQE3" s="59"/>
      <c r="KQF3" s="59"/>
      <c r="KQG3" s="59"/>
      <c r="KQH3" s="59"/>
      <c r="KQI3" s="59"/>
      <c r="KQJ3" s="59"/>
      <c r="KQK3" s="59"/>
      <c r="KQL3" s="59"/>
      <c r="KQM3" s="59"/>
      <c r="KQN3" s="59"/>
      <c r="KQO3" s="59"/>
      <c r="KQP3" s="59"/>
      <c r="KQQ3" s="59"/>
      <c r="KQR3" s="59"/>
      <c r="KQS3" s="59"/>
      <c r="KQT3" s="59"/>
      <c r="KQU3" s="59"/>
      <c r="KQV3" s="59"/>
      <c r="KQW3" s="59"/>
      <c r="KQX3" s="59"/>
      <c r="KQY3" s="59"/>
      <c r="KQZ3" s="59"/>
      <c r="KRA3" s="59"/>
      <c r="KRB3" s="59"/>
      <c r="KRC3" s="59"/>
      <c r="KRD3" s="59"/>
      <c r="KRE3" s="59"/>
      <c r="KRF3" s="59"/>
      <c r="KRG3" s="59"/>
      <c r="KRH3" s="59"/>
      <c r="KRI3" s="59"/>
      <c r="KRJ3" s="59"/>
      <c r="KRK3" s="59"/>
      <c r="KRL3" s="59"/>
      <c r="KRM3" s="59"/>
      <c r="KRN3" s="59"/>
      <c r="KRO3" s="59"/>
      <c r="KRP3" s="59"/>
      <c r="KRQ3" s="59"/>
      <c r="KRR3" s="59"/>
      <c r="KRS3" s="59"/>
      <c r="KRT3" s="59"/>
      <c r="KRU3" s="59"/>
      <c r="KRV3" s="59"/>
      <c r="KRW3" s="59"/>
      <c r="KRX3" s="59"/>
      <c r="KRY3" s="59"/>
      <c r="KRZ3" s="59"/>
      <c r="KSA3" s="59"/>
      <c r="KSB3" s="59"/>
      <c r="KSC3" s="59"/>
      <c r="KSD3" s="59"/>
      <c r="KSE3" s="59"/>
      <c r="KSF3" s="59"/>
      <c r="KSG3" s="59"/>
      <c r="KSH3" s="59"/>
      <c r="KSI3" s="59"/>
      <c r="KSJ3" s="59"/>
      <c r="KSK3" s="59"/>
      <c r="KSL3" s="59"/>
      <c r="KSM3" s="59"/>
      <c r="KSN3" s="59"/>
      <c r="KSO3" s="59"/>
      <c r="KSP3" s="59"/>
      <c r="KSQ3" s="59"/>
      <c r="KSR3" s="59"/>
      <c r="KSS3" s="59"/>
      <c r="KST3" s="59"/>
      <c r="KSU3" s="59"/>
      <c r="KSV3" s="59"/>
      <c r="KSW3" s="59"/>
      <c r="KSX3" s="59"/>
      <c r="KSY3" s="59"/>
      <c r="KSZ3" s="59"/>
      <c r="KTA3" s="59"/>
      <c r="KTB3" s="59"/>
      <c r="KTC3" s="59"/>
      <c r="KTD3" s="59"/>
      <c r="KTE3" s="59"/>
      <c r="KTF3" s="59"/>
      <c r="KTG3" s="59"/>
      <c r="KTH3" s="59"/>
      <c r="KTI3" s="59"/>
      <c r="KTJ3" s="59"/>
      <c r="KTK3" s="59"/>
      <c r="KTL3" s="59"/>
      <c r="KTM3" s="59"/>
      <c r="KTN3" s="59"/>
      <c r="KTO3" s="59"/>
      <c r="KTP3" s="59"/>
      <c r="KTQ3" s="59"/>
      <c r="KTR3" s="59"/>
      <c r="KTS3" s="59"/>
      <c r="KTT3" s="59"/>
      <c r="KTU3" s="59"/>
      <c r="KTV3" s="59"/>
      <c r="KTW3" s="59"/>
      <c r="KTX3" s="59"/>
      <c r="KTY3" s="59"/>
      <c r="KTZ3" s="59"/>
      <c r="KUA3" s="59"/>
      <c r="KUB3" s="59"/>
      <c r="KUC3" s="59"/>
      <c r="KUD3" s="59"/>
      <c r="KUE3" s="59"/>
      <c r="KUF3" s="59"/>
      <c r="KUG3" s="59"/>
      <c r="KUH3" s="59"/>
      <c r="KUI3" s="59"/>
      <c r="KUJ3" s="59"/>
      <c r="KUK3" s="59"/>
      <c r="KUL3" s="59"/>
      <c r="KUM3" s="59"/>
      <c r="KUN3" s="59"/>
      <c r="KUO3" s="59"/>
      <c r="KUP3" s="59"/>
      <c r="KUQ3" s="59"/>
      <c r="KUR3" s="59"/>
      <c r="KUS3" s="59"/>
      <c r="KUT3" s="59"/>
      <c r="KUU3" s="59"/>
      <c r="KUV3" s="59"/>
      <c r="KUW3" s="59"/>
      <c r="KUX3" s="59"/>
      <c r="KUY3" s="59"/>
      <c r="KUZ3" s="59"/>
      <c r="KVA3" s="59"/>
      <c r="KVB3" s="59"/>
      <c r="KVC3" s="59"/>
      <c r="KVD3" s="59"/>
      <c r="KVE3" s="59"/>
      <c r="KVF3" s="59"/>
      <c r="KVG3" s="59"/>
      <c r="KVH3" s="59"/>
      <c r="KVI3" s="59"/>
      <c r="KVJ3" s="59"/>
      <c r="KVK3" s="59"/>
      <c r="KVL3" s="59"/>
      <c r="KVM3" s="59"/>
      <c r="KVN3" s="59"/>
      <c r="KVO3" s="59"/>
      <c r="KVP3" s="59"/>
      <c r="KVQ3" s="59"/>
      <c r="KVR3" s="59"/>
      <c r="KVS3" s="59"/>
      <c r="KVT3" s="59"/>
      <c r="KVU3" s="59"/>
      <c r="KVV3" s="59"/>
      <c r="KVW3" s="59"/>
      <c r="KVX3" s="59"/>
      <c r="KVY3" s="59"/>
      <c r="KVZ3" s="59"/>
      <c r="KWA3" s="59"/>
      <c r="KWB3" s="59"/>
      <c r="KWC3" s="59"/>
      <c r="KWD3" s="59"/>
      <c r="KWE3" s="59"/>
      <c r="KWF3" s="59"/>
      <c r="KWG3" s="59"/>
      <c r="KWH3" s="59"/>
      <c r="KWI3" s="59"/>
      <c r="KWJ3" s="59"/>
      <c r="KWK3" s="59"/>
      <c r="KWL3" s="59"/>
      <c r="KWM3" s="59"/>
      <c r="KWN3" s="59"/>
      <c r="KWO3" s="59"/>
      <c r="KWP3" s="59"/>
      <c r="KWQ3" s="59"/>
      <c r="KWR3" s="59"/>
      <c r="KWS3" s="59"/>
      <c r="KWT3" s="59"/>
      <c r="KWU3" s="59"/>
      <c r="KWV3" s="59"/>
      <c r="KWW3" s="59"/>
      <c r="KWX3" s="59"/>
      <c r="KWY3" s="59"/>
      <c r="KWZ3" s="59"/>
      <c r="KXA3" s="59"/>
      <c r="KXB3" s="59"/>
      <c r="KXC3" s="59"/>
      <c r="KXD3" s="59"/>
      <c r="KXE3" s="59"/>
      <c r="KXF3" s="59"/>
      <c r="KXG3" s="59"/>
      <c r="KXH3" s="59"/>
      <c r="KXI3" s="59"/>
      <c r="KXJ3" s="59"/>
      <c r="KXK3" s="59"/>
      <c r="KXL3" s="59"/>
      <c r="KXM3" s="59"/>
      <c r="KXN3" s="59"/>
      <c r="KXO3" s="59"/>
      <c r="KXP3" s="59"/>
      <c r="KXQ3" s="59"/>
      <c r="KXR3" s="59"/>
      <c r="KXS3" s="59"/>
      <c r="KXT3" s="59"/>
      <c r="KXU3" s="59"/>
      <c r="KXV3" s="59"/>
      <c r="KXW3" s="59"/>
      <c r="KXX3" s="59"/>
      <c r="KXY3" s="59"/>
      <c r="KXZ3" s="59"/>
      <c r="KYA3" s="59"/>
      <c r="KYB3" s="59"/>
      <c r="KYC3" s="59"/>
      <c r="KYD3" s="59"/>
      <c r="KYE3" s="59"/>
      <c r="KYF3" s="59"/>
      <c r="KYG3" s="59"/>
      <c r="KYH3" s="59"/>
      <c r="KYI3" s="59"/>
      <c r="KYJ3" s="59"/>
      <c r="KYK3" s="59"/>
      <c r="KYL3" s="59"/>
      <c r="KYM3" s="59"/>
      <c r="KYN3" s="59"/>
      <c r="KYO3" s="59"/>
      <c r="KYP3" s="59"/>
      <c r="KYQ3" s="59"/>
      <c r="KYR3" s="59"/>
      <c r="KYS3" s="59"/>
      <c r="KYT3" s="59"/>
      <c r="KYU3" s="59"/>
      <c r="KYV3" s="59"/>
      <c r="KYW3" s="59"/>
      <c r="KYX3" s="59"/>
      <c r="KYY3" s="59"/>
      <c r="KYZ3" s="59"/>
      <c r="KZA3" s="59"/>
      <c r="KZB3" s="59"/>
      <c r="KZC3" s="59"/>
      <c r="KZD3" s="59"/>
      <c r="KZE3" s="59"/>
      <c r="KZF3" s="59"/>
      <c r="KZG3" s="59"/>
      <c r="KZH3" s="59"/>
      <c r="KZI3" s="59"/>
      <c r="KZJ3" s="59"/>
      <c r="KZK3" s="59"/>
      <c r="KZL3" s="59"/>
      <c r="KZM3" s="59"/>
      <c r="KZN3" s="59"/>
      <c r="KZO3" s="59"/>
      <c r="KZP3" s="59"/>
      <c r="KZQ3" s="59"/>
      <c r="KZR3" s="59"/>
      <c r="KZS3" s="59"/>
      <c r="KZT3" s="59"/>
      <c r="KZU3" s="59"/>
      <c r="KZV3" s="59"/>
      <c r="KZW3" s="59"/>
      <c r="KZX3" s="59"/>
      <c r="KZY3" s="59"/>
      <c r="KZZ3" s="59"/>
      <c r="LAA3" s="59"/>
      <c r="LAB3" s="59"/>
      <c r="LAC3" s="59"/>
      <c r="LAD3" s="59"/>
      <c r="LAE3" s="59"/>
      <c r="LAF3" s="59"/>
      <c r="LAG3" s="59"/>
      <c r="LAH3" s="59"/>
      <c r="LAI3" s="59"/>
      <c r="LAJ3" s="59"/>
      <c r="LAK3" s="59"/>
      <c r="LAL3" s="59"/>
      <c r="LAM3" s="59"/>
      <c r="LAN3" s="59"/>
      <c r="LAO3" s="59"/>
      <c r="LAP3" s="59"/>
      <c r="LAQ3" s="59"/>
      <c r="LAR3" s="59"/>
      <c r="LAS3" s="59"/>
      <c r="LAT3" s="59"/>
      <c r="LAU3" s="59"/>
      <c r="LAV3" s="59"/>
      <c r="LAW3" s="59"/>
      <c r="LAX3" s="59"/>
      <c r="LAY3" s="59"/>
      <c r="LAZ3" s="59"/>
      <c r="LBA3" s="59"/>
      <c r="LBB3" s="59"/>
      <c r="LBC3" s="59"/>
      <c r="LBD3" s="59"/>
      <c r="LBE3" s="59"/>
      <c r="LBF3" s="59"/>
      <c r="LBG3" s="59"/>
      <c r="LBH3" s="59"/>
      <c r="LBI3" s="59"/>
      <c r="LBJ3" s="59"/>
      <c r="LBK3" s="59"/>
      <c r="LBL3" s="59"/>
      <c r="LBM3" s="59"/>
      <c r="LBN3" s="59"/>
      <c r="LBO3" s="59"/>
      <c r="LBP3" s="59"/>
      <c r="LBQ3" s="59"/>
      <c r="LBR3" s="59"/>
      <c r="LBS3" s="59"/>
      <c r="LBT3" s="59"/>
      <c r="LBU3" s="59"/>
      <c r="LBV3" s="59"/>
      <c r="LBW3" s="59"/>
      <c r="LBX3" s="59"/>
      <c r="LBY3" s="59"/>
      <c r="LBZ3" s="59"/>
      <c r="LCA3" s="59"/>
      <c r="LCB3" s="59"/>
      <c r="LCC3" s="59"/>
      <c r="LCD3" s="59"/>
      <c r="LCE3" s="59"/>
      <c r="LCF3" s="59"/>
      <c r="LCG3" s="59"/>
      <c r="LCH3" s="59"/>
      <c r="LCI3" s="59"/>
      <c r="LCJ3" s="59"/>
      <c r="LCK3" s="59"/>
      <c r="LCL3" s="59"/>
      <c r="LCM3" s="59"/>
      <c r="LCN3" s="59"/>
      <c r="LCO3" s="59"/>
      <c r="LCP3" s="59"/>
      <c r="LCQ3" s="59"/>
      <c r="LCR3" s="59"/>
      <c r="LCS3" s="59"/>
      <c r="LCT3" s="59"/>
      <c r="LCU3" s="59"/>
      <c r="LCV3" s="59"/>
      <c r="LCW3" s="59"/>
      <c r="LCX3" s="59"/>
      <c r="LCY3" s="59"/>
      <c r="LCZ3" s="59"/>
      <c r="LDA3" s="59"/>
      <c r="LDB3" s="59"/>
      <c r="LDC3" s="59"/>
      <c r="LDD3" s="59"/>
      <c r="LDE3" s="59"/>
      <c r="LDF3" s="59"/>
      <c r="LDG3" s="59"/>
      <c r="LDH3" s="59"/>
      <c r="LDI3" s="59"/>
      <c r="LDJ3" s="59"/>
      <c r="LDK3" s="59"/>
      <c r="LDL3" s="59"/>
      <c r="LDM3" s="59"/>
      <c r="LDN3" s="59"/>
      <c r="LDO3" s="59"/>
      <c r="LDP3" s="59"/>
      <c r="LDQ3" s="59"/>
      <c r="LDR3" s="59"/>
      <c r="LDS3" s="59"/>
      <c r="LDT3" s="59"/>
      <c r="LDU3" s="59"/>
      <c r="LDV3" s="59"/>
      <c r="LDW3" s="59"/>
      <c r="LDX3" s="59"/>
      <c r="LDY3" s="59"/>
      <c r="LDZ3" s="59"/>
      <c r="LEA3" s="59"/>
      <c r="LEB3" s="59"/>
      <c r="LEC3" s="59"/>
      <c r="LED3" s="59"/>
      <c r="LEE3" s="59"/>
      <c r="LEF3" s="59"/>
      <c r="LEG3" s="59"/>
      <c r="LEH3" s="59"/>
      <c r="LEI3" s="59"/>
      <c r="LEJ3" s="59"/>
      <c r="LEK3" s="59"/>
      <c r="LEL3" s="59"/>
      <c r="LEM3" s="59"/>
      <c r="LEN3" s="59"/>
      <c r="LEO3" s="59"/>
      <c r="LEP3" s="59"/>
      <c r="LEQ3" s="59"/>
      <c r="LER3" s="59"/>
      <c r="LES3" s="59"/>
      <c r="LET3" s="59"/>
      <c r="LEU3" s="59"/>
      <c r="LEV3" s="59"/>
      <c r="LEW3" s="59"/>
      <c r="LEX3" s="59"/>
      <c r="LEY3" s="59"/>
      <c r="LEZ3" s="59"/>
      <c r="LFA3" s="59"/>
      <c r="LFB3" s="59"/>
      <c r="LFC3" s="59"/>
      <c r="LFD3" s="59"/>
      <c r="LFE3" s="59"/>
      <c r="LFF3" s="59"/>
      <c r="LFG3" s="59"/>
      <c r="LFH3" s="59"/>
      <c r="LFI3" s="59"/>
      <c r="LFJ3" s="59"/>
      <c r="LFK3" s="59"/>
      <c r="LFL3" s="59"/>
      <c r="LFM3" s="59"/>
      <c r="LFN3" s="59"/>
      <c r="LFO3" s="59"/>
      <c r="LFP3" s="59"/>
      <c r="LFQ3" s="59"/>
      <c r="LFR3" s="59"/>
      <c r="LFS3" s="59"/>
      <c r="LFT3" s="59"/>
      <c r="LFU3" s="59"/>
      <c r="LFV3" s="59"/>
      <c r="LFW3" s="59"/>
      <c r="LFX3" s="59"/>
      <c r="LFY3" s="59"/>
      <c r="LFZ3" s="59"/>
      <c r="LGA3" s="59"/>
      <c r="LGB3" s="59"/>
      <c r="LGC3" s="59"/>
      <c r="LGD3" s="59"/>
      <c r="LGE3" s="59"/>
      <c r="LGF3" s="59"/>
      <c r="LGG3" s="59"/>
      <c r="LGH3" s="59"/>
      <c r="LGI3" s="59"/>
      <c r="LGJ3" s="59"/>
      <c r="LGK3" s="59"/>
      <c r="LGL3" s="59"/>
      <c r="LGM3" s="59"/>
      <c r="LGN3" s="59"/>
      <c r="LGO3" s="59"/>
      <c r="LGP3" s="59"/>
      <c r="LGQ3" s="59"/>
      <c r="LGR3" s="59"/>
      <c r="LGS3" s="59"/>
      <c r="LGT3" s="59"/>
      <c r="LGU3" s="59"/>
      <c r="LGV3" s="59"/>
      <c r="LGW3" s="59"/>
      <c r="LGX3" s="59"/>
      <c r="LGY3" s="59"/>
      <c r="LGZ3" s="59"/>
      <c r="LHA3" s="59"/>
      <c r="LHB3" s="59"/>
      <c r="LHC3" s="59"/>
      <c r="LHD3" s="59"/>
      <c r="LHE3" s="59"/>
      <c r="LHF3" s="59"/>
      <c r="LHG3" s="59"/>
      <c r="LHH3" s="59"/>
      <c r="LHI3" s="59"/>
      <c r="LHJ3" s="59"/>
      <c r="LHK3" s="59"/>
      <c r="LHL3" s="59"/>
      <c r="LHM3" s="59"/>
      <c r="LHN3" s="59"/>
      <c r="LHO3" s="59"/>
      <c r="LHP3" s="59"/>
      <c r="LHQ3" s="59"/>
      <c r="LHR3" s="59"/>
      <c r="LHS3" s="59"/>
      <c r="LHT3" s="59"/>
      <c r="LHU3" s="59"/>
      <c r="LHV3" s="59"/>
      <c r="LHW3" s="59"/>
      <c r="LHX3" s="59"/>
      <c r="LHY3" s="59"/>
      <c r="LHZ3" s="59"/>
      <c r="LIA3" s="59"/>
      <c r="LIB3" s="59"/>
      <c r="LIC3" s="59"/>
      <c r="LID3" s="59"/>
      <c r="LIE3" s="59"/>
      <c r="LIF3" s="59"/>
      <c r="LIG3" s="59"/>
      <c r="LIH3" s="59"/>
      <c r="LII3" s="59"/>
      <c r="LIJ3" s="59"/>
      <c r="LIK3" s="59"/>
      <c r="LIL3" s="59"/>
      <c r="LIM3" s="59"/>
      <c r="LIN3" s="59"/>
      <c r="LIO3" s="59"/>
      <c r="LIP3" s="59"/>
      <c r="LIQ3" s="59"/>
      <c r="LIR3" s="59"/>
      <c r="LIS3" s="59"/>
      <c r="LIT3" s="59"/>
      <c r="LIU3" s="59"/>
      <c r="LIV3" s="59"/>
      <c r="LIW3" s="59"/>
      <c r="LIX3" s="59"/>
      <c r="LIY3" s="59"/>
      <c r="LIZ3" s="59"/>
      <c r="LJA3" s="59"/>
      <c r="LJB3" s="59"/>
      <c r="LJC3" s="59"/>
      <c r="LJD3" s="59"/>
      <c r="LJE3" s="59"/>
      <c r="LJF3" s="59"/>
      <c r="LJG3" s="59"/>
      <c r="LJH3" s="59"/>
      <c r="LJI3" s="59"/>
      <c r="LJJ3" s="59"/>
      <c r="LJK3" s="59"/>
      <c r="LJL3" s="59"/>
      <c r="LJM3" s="59"/>
      <c r="LJN3" s="59"/>
      <c r="LJO3" s="59"/>
      <c r="LJP3" s="59"/>
      <c r="LJQ3" s="59"/>
      <c r="LJR3" s="59"/>
      <c r="LJS3" s="59"/>
      <c r="LJT3" s="59"/>
      <c r="LJU3" s="59"/>
      <c r="LJV3" s="59"/>
      <c r="LJW3" s="59"/>
      <c r="LJX3" s="59"/>
      <c r="LJY3" s="59"/>
      <c r="LJZ3" s="59"/>
      <c r="LKA3" s="59"/>
      <c r="LKB3" s="59"/>
      <c r="LKC3" s="59"/>
      <c r="LKD3" s="59"/>
      <c r="LKE3" s="59"/>
      <c r="LKF3" s="59"/>
      <c r="LKG3" s="59"/>
      <c r="LKH3" s="59"/>
      <c r="LKI3" s="59"/>
      <c r="LKJ3" s="59"/>
      <c r="LKK3" s="59"/>
      <c r="LKL3" s="59"/>
      <c r="LKM3" s="59"/>
      <c r="LKN3" s="59"/>
      <c r="LKO3" s="59"/>
      <c r="LKP3" s="59"/>
      <c r="LKQ3" s="59"/>
      <c r="LKR3" s="59"/>
      <c r="LKS3" s="59"/>
      <c r="LKT3" s="59"/>
      <c r="LKU3" s="59"/>
      <c r="LKV3" s="59"/>
      <c r="LKW3" s="59"/>
      <c r="LKX3" s="59"/>
      <c r="LKY3" s="59"/>
      <c r="LKZ3" s="59"/>
      <c r="LLA3" s="59"/>
      <c r="LLB3" s="59"/>
      <c r="LLC3" s="59"/>
      <c r="LLD3" s="59"/>
      <c r="LLE3" s="59"/>
      <c r="LLF3" s="59"/>
      <c r="LLG3" s="59"/>
      <c r="LLH3" s="59"/>
      <c r="LLI3" s="59"/>
      <c r="LLJ3" s="59"/>
      <c r="LLK3" s="59"/>
      <c r="LLL3" s="59"/>
      <c r="LLM3" s="59"/>
      <c r="LLN3" s="59"/>
      <c r="LLO3" s="59"/>
      <c r="LLP3" s="59"/>
      <c r="LLQ3" s="59"/>
      <c r="LLR3" s="59"/>
      <c r="LLS3" s="59"/>
      <c r="LLT3" s="59"/>
      <c r="LLU3" s="59"/>
      <c r="LLV3" s="59"/>
      <c r="LLW3" s="59"/>
      <c r="LLX3" s="59"/>
      <c r="LLY3" s="59"/>
      <c r="LLZ3" s="59"/>
      <c r="LMA3" s="59"/>
      <c r="LMB3" s="59"/>
      <c r="LMC3" s="59"/>
      <c r="LMD3" s="59"/>
      <c r="LME3" s="59"/>
      <c r="LMF3" s="59"/>
      <c r="LMG3" s="59"/>
      <c r="LMH3" s="59"/>
      <c r="LMI3" s="59"/>
      <c r="LMJ3" s="59"/>
      <c r="LMK3" s="59"/>
      <c r="LML3" s="59"/>
      <c r="LMM3" s="59"/>
      <c r="LMN3" s="59"/>
      <c r="LMO3" s="59"/>
      <c r="LMP3" s="59"/>
      <c r="LMQ3" s="59"/>
      <c r="LMR3" s="59"/>
      <c r="LMS3" s="59"/>
      <c r="LMT3" s="59"/>
      <c r="LMU3" s="59"/>
      <c r="LMV3" s="59"/>
      <c r="LMW3" s="59"/>
      <c r="LMX3" s="59"/>
      <c r="LMY3" s="59"/>
      <c r="LMZ3" s="59"/>
      <c r="LNA3" s="59"/>
      <c r="LNB3" s="59"/>
      <c r="LNC3" s="59"/>
      <c r="LND3" s="59"/>
      <c r="LNE3" s="59"/>
      <c r="LNF3" s="59"/>
      <c r="LNG3" s="59"/>
      <c r="LNH3" s="59"/>
      <c r="LNI3" s="59"/>
      <c r="LNJ3" s="59"/>
      <c r="LNK3" s="59"/>
      <c r="LNL3" s="59"/>
      <c r="LNM3" s="59"/>
      <c r="LNN3" s="59"/>
      <c r="LNO3" s="59"/>
      <c r="LNP3" s="59"/>
      <c r="LNQ3" s="59"/>
      <c r="LNR3" s="59"/>
      <c r="LNS3" s="59"/>
      <c r="LNT3" s="59"/>
      <c r="LNU3" s="59"/>
      <c r="LNV3" s="59"/>
      <c r="LNW3" s="59"/>
      <c r="LNX3" s="59"/>
      <c r="LNY3" s="59"/>
      <c r="LNZ3" s="59"/>
      <c r="LOA3" s="59"/>
      <c r="LOB3" s="59"/>
      <c r="LOC3" s="59"/>
      <c r="LOD3" s="59"/>
      <c r="LOE3" s="59"/>
      <c r="LOF3" s="59"/>
      <c r="LOG3" s="59"/>
      <c r="LOH3" s="59"/>
      <c r="LOI3" s="59"/>
      <c r="LOJ3" s="59"/>
      <c r="LOK3" s="59"/>
      <c r="LOL3" s="59"/>
      <c r="LOM3" s="59"/>
      <c r="LON3" s="59"/>
      <c r="LOO3" s="59"/>
      <c r="LOP3" s="59"/>
      <c r="LOQ3" s="59"/>
      <c r="LOR3" s="59"/>
      <c r="LOS3" s="59"/>
      <c r="LOT3" s="59"/>
      <c r="LOU3" s="59"/>
      <c r="LOV3" s="59"/>
      <c r="LOW3" s="59"/>
      <c r="LOX3" s="59"/>
      <c r="LOY3" s="59"/>
      <c r="LOZ3" s="59"/>
      <c r="LPA3" s="59"/>
      <c r="LPB3" s="59"/>
      <c r="LPC3" s="59"/>
      <c r="LPD3" s="59"/>
      <c r="LPE3" s="59"/>
      <c r="LPF3" s="59"/>
      <c r="LPG3" s="59"/>
      <c r="LPH3" s="59"/>
      <c r="LPI3" s="59"/>
      <c r="LPJ3" s="59"/>
      <c r="LPK3" s="59"/>
      <c r="LPL3" s="59"/>
      <c r="LPM3" s="59"/>
      <c r="LPN3" s="59"/>
      <c r="LPO3" s="59"/>
      <c r="LPP3" s="59"/>
      <c r="LPQ3" s="59"/>
      <c r="LPR3" s="59"/>
      <c r="LPS3" s="59"/>
      <c r="LPT3" s="59"/>
      <c r="LPU3" s="59"/>
      <c r="LPV3" s="59"/>
      <c r="LPW3" s="59"/>
      <c r="LPX3" s="59"/>
      <c r="LPY3" s="59"/>
      <c r="LPZ3" s="59"/>
      <c r="LQA3" s="59"/>
      <c r="LQB3" s="59"/>
      <c r="LQC3" s="59"/>
      <c r="LQD3" s="59"/>
      <c r="LQE3" s="59"/>
      <c r="LQF3" s="59"/>
      <c r="LQG3" s="59"/>
      <c r="LQH3" s="59"/>
      <c r="LQI3" s="59"/>
      <c r="LQJ3" s="59"/>
      <c r="LQK3" s="59"/>
      <c r="LQL3" s="59"/>
      <c r="LQM3" s="59"/>
      <c r="LQN3" s="59"/>
      <c r="LQO3" s="59"/>
      <c r="LQP3" s="59"/>
      <c r="LQQ3" s="59"/>
      <c r="LQR3" s="59"/>
      <c r="LQS3" s="59"/>
      <c r="LQT3" s="59"/>
      <c r="LQU3" s="59"/>
      <c r="LQV3" s="59"/>
      <c r="LQW3" s="59"/>
      <c r="LQX3" s="59"/>
      <c r="LQY3" s="59"/>
      <c r="LQZ3" s="59"/>
      <c r="LRA3" s="59"/>
      <c r="LRB3" s="59"/>
      <c r="LRC3" s="59"/>
      <c r="LRD3" s="59"/>
      <c r="LRE3" s="59"/>
      <c r="LRF3" s="59"/>
      <c r="LRG3" s="59"/>
      <c r="LRH3" s="59"/>
      <c r="LRI3" s="59"/>
      <c r="LRJ3" s="59"/>
      <c r="LRK3" s="59"/>
      <c r="LRL3" s="59"/>
      <c r="LRM3" s="59"/>
      <c r="LRN3" s="59"/>
      <c r="LRO3" s="59"/>
      <c r="LRP3" s="59"/>
      <c r="LRQ3" s="59"/>
      <c r="LRR3" s="59"/>
      <c r="LRS3" s="59"/>
      <c r="LRT3" s="59"/>
      <c r="LRU3" s="59"/>
      <c r="LRV3" s="59"/>
      <c r="LRW3" s="59"/>
      <c r="LRX3" s="59"/>
      <c r="LRY3" s="59"/>
      <c r="LRZ3" s="59"/>
      <c r="LSA3" s="59"/>
      <c r="LSB3" s="59"/>
      <c r="LSC3" s="59"/>
      <c r="LSD3" s="59"/>
      <c r="LSE3" s="59"/>
      <c r="LSF3" s="59"/>
      <c r="LSG3" s="59"/>
      <c r="LSH3" s="59"/>
      <c r="LSI3" s="59"/>
      <c r="LSJ3" s="59"/>
      <c r="LSK3" s="59"/>
      <c r="LSL3" s="59"/>
      <c r="LSM3" s="59"/>
      <c r="LSN3" s="59"/>
      <c r="LSO3" s="59"/>
      <c r="LSP3" s="59"/>
      <c r="LSQ3" s="59"/>
      <c r="LSR3" s="59"/>
      <c r="LSS3" s="59"/>
      <c r="LST3" s="59"/>
      <c r="LSU3" s="59"/>
      <c r="LSV3" s="59"/>
      <c r="LSW3" s="59"/>
      <c r="LSX3" s="59"/>
      <c r="LSY3" s="59"/>
      <c r="LSZ3" s="59"/>
      <c r="LTA3" s="59"/>
      <c r="LTB3" s="59"/>
      <c r="LTC3" s="59"/>
      <c r="LTD3" s="59"/>
      <c r="LTE3" s="59"/>
      <c r="LTF3" s="59"/>
      <c r="LTG3" s="59"/>
      <c r="LTH3" s="59"/>
      <c r="LTI3" s="59"/>
      <c r="LTJ3" s="59"/>
      <c r="LTK3" s="59"/>
      <c r="LTL3" s="59"/>
      <c r="LTM3" s="59"/>
      <c r="LTN3" s="59"/>
      <c r="LTO3" s="59"/>
      <c r="LTP3" s="59"/>
      <c r="LTQ3" s="59"/>
      <c r="LTR3" s="59"/>
      <c r="LTS3" s="59"/>
      <c r="LTT3" s="59"/>
      <c r="LTU3" s="59"/>
      <c r="LTV3" s="59"/>
      <c r="LTW3" s="59"/>
      <c r="LTX3" s="59"/>
      <c r="LTY3" s="59"/>
      <c r="LTZ3" s="59"/>
      <c r="LUA3" s="59"/>
      <c r="LUB3" s="59"/>
      <c r="LUC3" s="59"/>
      <c r="LUD3" s="59"/>
      <c r="LUE3" s="59"/>
      <c r="LUF3" s="59"/>
      <c r="LUG3" s="59"/>
      <c r="LUH3" s="59"/>
      <c r="LUI3" s="59"/>
      <c r="LUJ3" s="59"/>
      <c r="LUK3" s="59"/>
      <c r="LUL3" s="59"/>
      <c r="LUM3" s="59"/>
      <c r="LUN3" s="59"/>
      <c r="LUO3" s="59"/>
      <c r="LUP3" s="59"/>
      <c r="LUQ3" s="59"/>
      <c r="LUR3" s="59"/>
      <c r="LUS3" s="59"/>
      <c r="LUT3" s="59"/>
      <c r="LUU3" s="59"/>
      <c r="LUV3" s="59"/>
      <c r="LUW3" s="59"/>
      <c r="LUX3" s="59"/>
      <c r="LUY3" s="59"/>
      <c r="LUZ3" s="59"/>
      <c r="LVA3" s="59"/>
      <c r="LVB3" s="59"/>
      <c r="LVC3" s="59"/>
      <c r="LVD3" s="59"/>
      <c r="LVE3" s="59"/>
      <c r="LVF3" s="59"/>
      <c r="LVG3" s="59"/>
      <c r="LVH3" s="59"/>
      <c r="LVI3" s="59"/>
      <c r="LVJ3" s="59"/>
      <c r="LVK3" s="59"/>
      <c r="LVL3" s="59"/>
      <c r="LVM3" s="59"/>
      <c r="LVN3" s="59"/>
      <c r="LVO3" s="59"/>
      <c r="LVP3" s="59"/>
      <c r="LVQ3" s="59"/>
      <c r="LVR3" s="59"/>
      <c r="LVS3" s="59"/>
      <c r="LVT3" s="59"/>
      <c r="LVU3" s="59"/>
      <c r="LVV3" s="59"/>
      <c r="LVW3" s="59"/>
      <c r="LVX3" s="59"/>
      <c r="LVY3" s="59"/>
      <c r="LVZ3" s="59"/>
      <c r="LWA3" s="59"/>
      <c r="LWB3" s="59"/>
      <c r="LWC3" s="59"/>
      <c r="LWD3" s="59"/>
      <c r="LWE3" s="59"/>
      <c r="LWF3" s="59"/>
      <c r="LWG3" s="59"/>
      <c r="LWH3" s="59"/>
      <c r="LWI3" s="59"/>
      <c r="LWJ3" s="59"/>
      <c r="LWK3" s="59"/>
      <c r="LWL3" s="59"/>
      <c r="LWM3" s="59"/>
      <c r="LWN3" s="59"/>
      <c r="LWO3" s="59"/>
      <c r="LWP3" s="59"/>
      <c r="LWQ3" s="59"/>
      <c r="LWR3" s="59"/>
      <c r="LWS3" s="59"/>
      <c r="LWT3" s="59"/>
      <c r="LWU3" s="59"/>
      <c r="LWV3" s="59"/>
      <c r="LWW3" s="59"/>
      <c r="LWX3" s="59"/>
      <c r="LWY3" s="59"/>
      <c r="LWZ3" s="59"/>
      <c r="LXA3" s="59"/>
      <c r="LXB3" s="59"/>
      <c r="LXC3" s="59"/>
      <c r="LXD3" s="59"/>
      <c r="LXE3" s="59"/>
      <c r="LXF3" s="59"/>
      <c r="LXG3" s="59"/>
      <c r="LXH3" s="59"/>
      <c r="LXI3" s="59"/>
      <c r="LXJ3" s="59"/>
      <c r="LXK3" s="59"/>
      <c r="LXL3" s="59"/>
      <c r="LXM3" s="59"/>
      <c r="LXN3" s="59"/>
      <c r="LXO3" s="59"/>
      <c r="LXP3" s="59"/>
      <c r="LXQ3" s="59"/>
      <c r="LXR3" s="59"/>
      <c r="LXS3" s="59"/>
      <c r="LXT3" s="59"/>
      <c r="LXU3" s="59"/>
      <c r="LXV3" s="59"/>
      <c r="LXW3" s="59"/>
      <c r="LXX3" s="59"/>
      <c r="LXY3" s="59"/>
      <c r="LXZ3" s="59"/>
      <c r="LYA3" s="59"/>
      <c r="LYB3" s="59"/>
      <c r="LYC3" s="59"/>
      <c r="LYD3" s="59"/>
      <c r="LYE3" s="59"/>
      <c r="LYF3" s="59"/>
      <c r="LYG3" s="59"/>
      <c r="LYH3" s="59"/>
      <c r="LYI3" s="59"/>
      <c r="LYJ3" s="59"/>
      <c r="LYK3" s="59"/>
      <c r="LYL3" s="59"/>
      <c r="LYM3" s="59"/>
      <c r="LYN3" s="59"/>
      <c r="LYO3" s="59"/>
      <c r="LYP3" s="59"/>
      <c r="LYQ3" s="59"/>
      <c r="LYR3" s="59"/>
      <c r="LYS3" s="59"/>
      <c r="LYT3" s="59"/>
      <c r="LYU3" s="59"/>
      <c r="LYV3" s="59"/>
      <c r="LYW3" s="59"/>
      <c r="LYX3" s="59"/>
      <c r="LYY3" s="59"/>
      <c r="LYZ3" s="59"/>
      <c r="LZA3" s="59"/>
      <c r="LZB3" s="59"/>
      <c r="LZC3" s="59"/>
      <c r="LZD3" s="59"/>
      <c r="LZE3" s="59"/>
      <c r="LZF3" s="59"/>
      <c r="LZG3" s="59"/>
      <c r="LZH3" s="59"/>
      <c r="LZI3" s="59"/>
      <c r="LZJ3" s="59"/>
      <c r="LZK3" s="59"/>
      <c r="LZL3" s="59"/>
      <c r="LZM3" s="59"/>
      <c r="LZN3" s="59"/>
      <c r="LZO3" s="59"/>
      <c r="LZP3" s="59"/>
      <c r="LZQ3" s="59"/>
      <c r="LZR3" s="59"/>
      <c r="LZS3" s="59"/>
      <c r="LZT3" s="59"/>
      <c r="LZU3" s="59"/>
      <c r="LZV3" s="59"/>
      <c r="LZW3" s="59"/>
      <c r="LZX3" s="59"/>
      <c r="LZY3" s="59"/>
      <c r="LZZ3" s="59"/>
      <c r="MAA3" s="59"/>
      <c r="MAB3" s="59"/>
      <c r="MAC3" s="59"/>
      <c r="MAD3" s="59"/>
      <c r="MAE3" s="59"/>
      <c r="MAF3" s="59"/>
      <c r="MAG3" s="59"/>
      <c r="MAH3" s="59"/>
      <c r="MAI3" s="59"/>
      <c r="MAJ3" s="59"/>
      <c r="MAK3" s="59"/>
      <c r="MAL3" s="59"/>
      <c r="MAM3" s="59"/>
      <c r="MAN3" s="59"/>
      <c r="MAO3" s="59"/>
      <c r="MAP3" s="59"/>
      <c r="MAQ3" s="59"/>
      <c r="MAR3" s="59"/>
      <c r="MAS3" s="59"/>
      <c r="MAT3" s="59"/>
      <c r="MAU3" s="59"/>
      <c r="MAV3" s="59"/>
      <c r="MAW3" s="59"/>
      <c r="MAX3" s="59"/>
      <c r="MAY3" s="59"/>
      <c r="MAZ3" s="59"/>
      <c r="MBA3" s="59"/>
      <c r="MBB3" s="59"/>
      <c r="MBC3" s="59"/>
      <c r="MBD3" s="59"/>
      <c r="MBE3" s="59"/>
      <c r="MBF3" s="59"/>
      <c r="MBG3" s="59"/>
      <c r="MBH3" s="59"/>
      <c r="MBI3" s="59"/>
      <c r="MBJ3" s="59"/>
      <c r="MBK3" s="59"/>
      <c r="MBL3" s="59"/>
      <c r="MBM3" s="59"/>
      <c r="MBN3" s="59"/>
      <c r="MBO3" s="59"/>
      <c r="MBP3" s="59"/>
      <c r="MBQ3" s="59"/>
      <c r="MBR3" s="59"/>
      <c r="MBS3" s="59"/>
      <c r="MBT3" s="59"/>
      <c r="MBU3" s="59"/>
      <c r="MBV3" s="59"/>
      <c r="MBW3" s="59"/>
      <c r="MBX3" s="59"/>
      <c r="MBY3" s="59"/>
      <c r="MBZ3" s="59"/>
      <c r="MCA3" s="59"/>
      <c r="MCB3" s="59"/>
      <c r="MCC3" s="59"/>
      <c r="MCD3" s="59"/>
      <c r="MCE3" s="59"/>
      <c r="MCF3" s="59"/>
      <c r="MCG3" s="59"/>
      <c r="MCH3" s="59"/>
      <c r="MCI3" s="59"/>
      <c r="MCJ3" s="59"/>
      <c r="MCK3" s="59"/>
      <c r="MCL3" s="59"/>
      <c r="MCM3" s="59"/>
      <c r="MCN3" s="59"/>
      <c r="MCO3" s="59"/>
      <c r="MCP3" s="59"/>
      <c r="MCQ3" s="59"/>
      <c r="MCR3" s="59"/>
      <c r="MCS3" s="59"/>
      <c r="MCT3" s="59"/>
      <c r="MCU3" s="59"/>
      <c r="MCV3" s="59"/>
      <c r="MCW3" s="59"/>
      <c r="MCX3" s="59"/>
      <c r="MCY3" s="59"/>
      <c r="MCZ3" s="59"/>
      <c r="MDA3" s="59"/>
      <c r="MDB3" s="59"/>
      <c r="MDC3" s="59"/>
      <c r="MDD3" s="59"/>
      <c r="MDE3" s="59"/>
      <c r="MDF3" s="59"/>
      <c r="MDG3" s="59"/>
      <c r="MDH3" s="59"/>
      <c r="MDI3" s="59"/>
      <c r="MDJ3" s="59"/>
      <c r="MDK3" s="59"/>
      <c r="MDL3" s="59"/>
      <c r="MDM3" s="59"/>
      <c r="MDN3" s="59"/>
      <c r="MDO3" s="59"/>
      <c r="MDP3" s="59"/>
      <c r="MDQ3" s="59"/>
      <c r="MDR3" s="59"/>
      <c r="MDS3" s="59"/>
      <c r="MDT3" s="59"/>
      <c r="MDU3" s="59"/>
      <c r="MDV3" s="59"/>
      <c r="MDW3" s="59"/>
      <c r="MDX3" s="59"/>
      <c r="MDY3" s="59"/>
      <c r="MDZ3" s="59"/>
      <c r="MEA3" s="59"/>
      <c r="MEB3" s="59"/>
      <c r="MEC3" s="59"/>
      <c r="MED3" s="59"/>
      <c r="MEE3" s="59"/>
      <c r="MEF3" s="59"/>
      <c r="MEG3" s="59"/>
      <c r="MEH3" s="59"/>
      <c r="MEI3" s="59"/>
      <c r="MEJ3" s="59"/>
      <c r="MEK3" s="59"/>
      <c r="MEL3" s="59"/>
      <c r="MEM3" s="59"/>
      <c r="MEN3" s="59"/>
      <c r="MEO3" s="59"/>
      <c r="MEP3" s="59"/>
      <c r="MEQ3" s="59"/>
      <c r="MER3" s="59"/>
      <c r="MES3" s="59"/>
      <c r="MET3" s="59"/>
      <c r="MEU3" s="59"/>
      <c r="MEV3" s="59"/>
      <c r="MEW3" s="59"/>
      <c r="MEX3" s="59"/>
      <c r="MEY3" s="59"/>
      <c r="MEZ3" s="59"/>
      <c r="MFA3" s="59"/>
      <c r="MFB3" s="59"/>
      <c r="MFC3" s="59"/>
      <c r="MFD3" s="59"/>
      <c r="MFE3" s="59"/>
      <c r="MFF3" s="59"/>
      <c r="MFG3" s="59"/>
      <c r="MFH3" s="59"/>
      <c r="MFI3" s="59"/>
      <c r="MFJ3" s="59"/>
      <c r="MFK3" s="59"/>
      <c r="MFL3" s="59"/>
      <c r="MFM3" s="59"/>
      <c r="MFN3" s="59"/>
      <c r="MFO3" s="59"/>
      <c r="MFP3" s="59"/>
      <c r="MFQ3" s="59"/>
      <c r="MFR3" s="59"/>
      <c r="MFS3" s="59"/>
      <c r="MFT3" s="59"/>
      <c r="MFU3" s="59"/>
      <c r="MFV3" s="59"/>
      <c r="MFW3" s="59"/>
      <c r="MFX3" s="59"/>
      <c r="MFY3" s="59"/>
      <c r="MFZ3" s="59"/>
      <c r="MGA3" s="59"/>
      <c r="MGB3" s="59"/>
      <c r="MGC3" s="59"/>
      <c r="MGD3" s="59"/>
      <c r="MGE3" s="59"/>
      <c r="MGF3" s="59"/>
      <c r="MGG3" s="59"/>
      <c r="MGH3" s="59"/>
      <c r="MGI3" s="59"/>
      <c r="MGJ3" s="59"/>
      <c r="MGK3" s="59"/>
      <c r="MGL3" s="59"/>
      <c r="MGM3" s="59"/>
      <c r="MGN3" s="59"/>
      <c r="MGO3" s="59"/>
      <c r="MGP3" s="59"/>
      <c r="MGQ3" s="59"/>
      <c r="MGR3" s="59"/>
      <c r="MGS3" s="59"/>
      <c r="MGT3" s="59"/>
      <c r="MGU3" s="59"/>
      <c r="MGV3" s="59"/>
      <c r="MGW3" s="59"/>
      <c r="MGX3" s="59"/>
      <c r="MGY3" s="59"/>
      <c r="MGZ3" s="59"/>
      <c r="MHA3" s="59"/>
      <c r="MHB3" s="59"/>
      <c r="MHC3" s="59"/>
      <c r="MHD3" s="59"/>
      <c r="MHE3" s="59"/>
      <c r="MHF3" s="59"/>
      <c r="MHG3" s="59"/>
      <c r="MHH3" s="59"/>
      <c r="MHI3" s="59"/>
      <c r="MHJ3" s="59"/>
      <c r="MHK3" s="59"/>
      <c r="MHL3" s="59"/>
      <c r="MHM3" s="59"/>
      <c r="MHN3" s="59"/>
      <c r="MHO3" s="59"/>
      <c r="MHP3" s="59"/>
      <c r="MHQ3" s="59"/>
      <c r="MHR3" s="59"/>
      <c r="MHS3" s="59"/>
      <c r="MHT3" s="59"/>
      <c r="MHU3" s="59"/>
      <c r="MHV3" s="59"/>
      <c r="MHW3" s="59"/>
      <c r="MHX3" s="59"/>
      <c r="MHY3" s="59"/>
      <c r="MHZ3" s="59"/>
      <c r="MIA3" s="59"/>
      <c r="MIB3" s="59"/>
      <c r="MIC3" s="59"/>
      <c r="MID3" s="59"/>
      <c r="MIE3" s="59"/>
      <c r="MIF3" s="59"/>
      <c r="MIG3" s="59"/>
      <c r="MIH3" s="59"/>
      <c r="MII3" s="59"/>
      <c r="MIJ3" s="59"/>
      <c r="MIK3" s="59"/>
      <c r="MIL3" s="59"/>
      <c r="MIM3" s="59"/>
      <c r="MIN3" s="59"/>
      <c r="MIO3" s="59"/>
      <c r="MIP3" s="59"/>
      <c r="MIQ3" s="59"/>
      <c r="MIR3" s="59"/>
      <c r="MIS3" s="59"/>
      <c r="MIT3" s="59"/>
      <c r="MIU3" s="59"/>
      <c r="MIV3" s="59"/>
      <c r="MIW3" s="59"/>
      <c r="MIX3" s="59"/>
      <c r="MIY3" s="59"/>
      <c r="MIZ3" s="59"/>
      <c r="MJA3" s="59"/>
      <c r="MJB3" s="59"/>
      <c r="MJC3" s="59"/>
      <c r="MJD3" s="59"/>
      <c r="MJE3" s="59"/>
      <c r="MJF3" s="59"/>
      <c r="MJG3" s="59"/>
      <c r="MJH3" s="59"/>
      <c r="MJI3" s="59"/>
      <c r="MJJ3" s="59"/>
      <c r="MJK3" s="59"/>
      <c r="MJL3" s="59"/>
      <c r="MJM3" s="59"/>
      <c r="MJN3" s="59"/>
      <c r="MJO3" s="59"/>
      <c r="MJP3" s="59"/>
      <c r="MJQ3" s="59"/>
      <c r="MJR3" s="59"/>
      <c r="MJS3" s="59"/>
      <c r="MJT3" s="59"/>
      <c r="MJU3" s="59"/>
      <c r="MJV3" s="59"/>
      <c r="MJW3" s="59"/>
      <c r="MJX3" s="59"/>
      <c r="MJY3" s="59"/>
      <c r="MJZ3" s="59"/>
      <c r="MKA3" s="59"/>
      <c r="MKB3" s="59"/>
      <c r="MKC3" s="59"/>
      <c r="MKD3" s="59"/>
      <c r="MKE3" s="59"/>
      <c r="MKF3" s="59"/>
      <c r="MKG3" s="59"/>
      <c r="MKH3" s="59"/>
      <c r="MKI3" s="59"/>
      <c r="MKJ3" s="59"/>
      <c r="MKK3" s="59"/>
      <c r="MKL3" s="59"/>
      <c r="MKM3" s="59"/>
      <c r="MKN3" s="59"/>
      <c r="MKO3" s="59"/>
      <c r="MKP3" s="59"/>
      <c r="MKQ3" s="59"/>
      <c r="MKR3" s="59"/>
      <c r="MKS3" s="59"/>
      <c r="MKT3" s="59"/>
      <c r="MKU3" s="59"/>
      <c r="MKV3" s="59"/>
      <c r="MKW3" s="59"/>
      <c r="MKX3" s="59"/>
      <c r="MKY3" s="59"/>
      <c r="MKZ3" s="59"/>
      <c r="MLA3" s="59"/>
      <c r="MLB3" s="59"/>
      <c r="MLC3" s="59"/>
      <c r="MLD3" s="59"/>
      <c r="MLE3" s="59"/>
      <c r="MLF3" s="59"/>
      <c r="MLG3" s="59"/>
      <c r="MLH3" s="59"/>
      <c r="MLI3" s="59"/>
      <c r="MLJ3" s="59"/>
      <c r="MLK3" s="59"/>
      <c r="MLL3" s="59"/>
      <c r="MLM3" s="59"/>
      <c r="MLN3" s="59"/>
      <c r="MLO3" s="59"/>
      <c r="MLP3" s="59"/>
      <c r="MLQ3" s="59"/>
      <c r="MLR3" s="59"/>
      <c r="MLS3" s="59"/>
      <c r="MLT3" s="59"/>
      <c r="MLU3" s="59"/>
      <c r="MLV3" s="59"/>
      <c r="MLW3" s="59"/>
      <c r="MLX3" s="59"/>
      <c r="MLY3" s="59"/>
      <c r="MLZ3" s="59"/>
      <c r="MMA3" s="59"/>
      <c r="MMB3" s="59"/>
      <c r="MMC3" s="59"/>
      <c r="MMD3" s="59"/>
      <c r="MME3" s="59"/>
      <c r="MMF3" s="59"/>
      <c r="MMG3" s="59"/>
      <c r="MMH3" s="59"/>
      <c r="MMI3" s="59"/>
      <c r="MMJ3" s="59"/>
      <c r="MMK3" s="59"/>
      <c r="MML3" s="59"/>
      <c r="MMM3" s="59"/>
      <c r="MMN3" s="59"/>
      <c r="MMO3" s="59"/>
      <c r="MMP3" s="59"/>
      <c r="MMQ3" s="59"/>
      <c r="MMR3" s="59"/>
      <c r="MMS3" s="59"/>
      <c r="MMT3" s="59"/>
      <c r="MMU3" s="59"/>
      <c r="MMV3" s="59"/>
      <c r="MMW3" s="59"/>
      <c r="MMX3" s="59"/>
      <c r="MMY3" s="59"/>
      <c r="MMZ3" s="59"/>
      <c r="MNA3" s="59"/>
      <c r="MNB3" s="59"/>
      <c r="MNC3" s="59"/>
      <c r="MND3" s="59"/>
      <c r="MNE3" s="59"/>
      <c r="MNF3" s="59"/>
      <c r="MNG3" s="59"/>
      <c r="MNH3" s="59"/>
      <c r="MNI3" s="59"/>
      <c r="MNJ3" s="59"/>
      <c r="MNK3" s="59"/>
      <c r="MNL3" s="59"/>
      <c r="MNM3" s="59"/>
      <c r="MNN3" s="59"/>
      <c r="MNO3" s="59"/>
      <c r="MNP3" s="59"/>
      <c r="MNQ3" s="59"/>
      <c r="MNR3" s="59"/>
      <c r="MNS3" s="59"/>
      <c r="MNT3" s="59"/>
      <c r="MNU3" s="59"/>
      <c r="MNV3" s="59"/>
      <c r="MNW3" s="59"/>
      <c r="MNX3" s="59"/>
      <c r="MNY3" s="59"/>
      <c r="MNZ3" s="59"/>
      <c r="MOA3" s="59"/>
      <c r="MOB3" s="59"/>
      <c r="MOC3" s="59"/>
      <c r="MOD3" s="59"/>
      <c r="MOE3" s="59"/>
      <c r="MOF3" s="59"/>
      <c r="MOG3" s="59"/>
      <c r="MOH3" s="59"/>
      <c r="MOI3" s="59"/>
      <c r="MOJ3" s="59"/>
      <c r="MOK3" s="59"/>
      <c r="MOL3" s="59"/>
      <c r="MOM3" s="59"/>
      <c r="MON3" s="59"/>
      <c r="MOO3" s="59"/>
      <c r="MOP3" s="59"/>
      <c r="MOQ3" s="59"/>
      <c r="MOR3" s="59"/>
      <c r="MOS3" s="59"/>
      <c r="MOT3" s="59"/>
      <c r="MOU3" s="59"/>
      <c r="MOV3" s="59"/>
      <c r="MOW3" s="59"/>
      <c r="MOX3" s="59"/>
      <c r="MOY3" s="59"/>
      <c r="MOZ3" s="59"/>
      <c r="MPA3" s="59"/>
      <c r="MPB3" s="59"/>
      <c r="MPC3" s="59"/>
      <c r="MPD3" s="59"/>
      <c r="MPE3" s="59"/>
      <c r="MPF3" s="59"/>
      <c r="MPG3" s="59"/>
      <c r="MPH3" s="59"/>
      <c r="MPI3" s="59"/>
      <c r="MPJ3" s="59"/>
      <c r="MPK3" s="59"/>
      <c r="MPL3" s="59"/>
      <c r="MPM3" s="59"/>
      <c r="MPN3" s="59"/>
      <c r="MPO3" s="59"/>
      <c r="MPP3" s="59"/>
      <c r="MPQ3" s="59"/>
      <c r="MPR3" s="59"/>
      <c r="MPS3" s="59"/>
      <c r="MPT3" s="59"/>
      <c r="MPU3" s="59"/>
      <c r="MPV3" s="59"/>
      <c r="MPW3" s="59"/>
      <c r="MPX3" s="59"/>
      <c r="MPY3" s="59"/>
      <c r="MPZ3" s="59"/>
      <c r="MQA3" s="59"/>
      <c r="MQB3" s="59"/>
      <c r="MQC3" s="59"/>
      <c r="MQD3" s="59"/>
      <c r="MQE3" s="59"/>
      <c r="MQF3" s="59"/>
      <c r="MQG3" s="59"/>
      <c r="MQH3" s="59"/>
      <c r="MQI3" s="59"/>
      <c r="MQJ3" s="59"/>
      <c r="MQK3" s="59"/>
      <c r="MQL3" s="59"/>
      <c r="MQM3" s="59"/>
      <c r="MQN3" s="59"/>
      <c r="MQO3" s="59"/>
      <c r="MQP3" s="59"/>
      <c r="MQQ3" s="59"/>
      <c r="MQR3" s="59"/>
      <c r="MQS3" s="59"/>
      <c r="MQT3" s="59"/>
      <c r="MQU3" s="59"/>
      <c r="MQV3" s="59"/>
      <c r="MQW3" s="59"/>
      <c r="MQX3" s="59"/>
      <c r="MQY3" s="59"/>
      <c r="MQZ3" s="59"/>
      <c r="MRA3" s="59"/>
      <c r="MRB3" s="59"/>
      <c r="MRC3" s="59"/>
      <c r="MRD3" s="59"/>
      <c r="MRE3" s="59"/>
      <c r="MRF3" s="59"/>
      <c r="MRG3" s="59"/>
      <c r="MRH3" s="59"/>
      <c r="MRI3" s="59"/>
      <c r="MRJ3" s="59"/>
      <c r="MRK3" s="59"/>
      <c r="MRL3" s="59"/>
      <c r="MRM3" s="59"/>
      <c r="MRN3" s="59"/>
      <c r="MRO3" s="59"/>
      <c r="MRP3" s="59"/>
      <c r="MRQ3" s="59"/>
      <c r="MRR3" s="59"/>
      <c r="MRS3" s="59"/>
      <c r="MRT3" s="59"/>
      <c r="MRU3" s="59"/>
      <c r="MRV3" s="59"/>
      <c r="MRW3" s="59"/>
      <c r="MRX3" s="59"/>
      <c r="MRY3" s="59"/>
      <c r="MRZ3" s="59"/>
      <c r="MSA3" s="59"/>
      <c r="MSB3" s="59"/>
      <c r="MSC3" s="59"/>
      <c r="MSD3" s="59"/>
      <c r="MSE3" s="59"/>
      <c r="MSF3" s="59"/>
      <c r="MSG3" s="59"/>
      <c r="MSH3" s="59"/>
      <c r="MSI3" s="59"/>
      <c r="MSJ3" s="59"/>
      <c r="MSK3" s="59"/>
      <c r="MSL3" s="59"/>
      <c r="MSM3" s="59"/>
      <c r="MSN3" s="59"/>
      <c r="MSO3" s="59"/>
      <c r="MSP3" s="59"/>
      <c r="MSQ3" s="59"/>
      <c r="MSR3" s="59"/>
      <c r="MSS3" s="59"/>
      <c r="MST3" s="59"/>
      <c r="MSU3" s="59"/>
      <c r="MSV3" s="59"/>
      <c r="MSW3" s="59"/>
      <c r="MSX3" s="59"/>
      <c r="MSY3" s="59"/>
      <c r="MSZ3" s="59"/>
      <c r="MTA3" s="59"/>
      <c r="MTB3" s="59"/>
      <c r="MTC3" s="59"/>
      <c r="MTD3" s="59"/>
      <c r="MTE3" s="59"/>
      <c r="MTF3" s="59"/>
      <c r="MTG3" s="59"/>
      <c r="MTH3" s="59"/>
      <c r="MTI3" s="59"/>
      <c r="MTJ3" s="59"/>
      <c r="MTK3" s="59"/>
      <c r="MTL3" s="59"/>
      <c r="MTM3" s="59"/>
      <c r="MTN3" s="59"/>
      <c r="MTO3" s="59"/>
      <c r="MTP3" s="59"/>
      <c r="MTQ3" s="59"/>
      <c r="MTR3" s="59"/>
      <c r="MTS3" s="59"/>
      <c r="MTT3" s="59"/>
      <c r="MTU3" s="59"/>
      <c r="MTV3" s="59"/>
      <c r="MTW3" s="59"/>
      <c r="MTX3" s="59"/>
      <c r="MTY3" s="59"/>
      <c r="MTZ3" s="59"/>
      <c r="MUA3" s="59"/>
      <c r="MUB3" s="59"/>
      <c r="MUC3" s="59"/>
      <c r="MUD3" s="59"/>
      <c r="MUE3" s="59"/>
      <c r="MUF3" s="59"/>
      <c r="MUG3" s="59"/>
      <c r="MUH3" s="59"/>
      <c r="MUI3" s="59"/>
      <c r="MUJ3" s="59"/>
      <c r="MUK3" s="59"/>
      <c r="MUL3" s="59"/>
      <c r="MUM3" s="59"/>
      <c r="MUN3" s="59"/>
      <c r="MUO3" s="59"/>
      <c r="MUP3" s="59"/>
      <c r="MUQ3" s="59"/>
      <c r="MUR3" s="59"/>
      <c r="MUS3" s="59"/>
      <c r="MUT3" s="59"/>
      <c r="MUU3" s="59"/>
      <c r="MUV3" s="59"/>
      <c r="MUW3" s="59"/>
      <c r="MUX3" s="59"/>
      <c r="MUY3" s="59"/>
      <c r="MUZ3" s="59"/>
      <c r="MVA3" s="59"/>
      <c r="MVB3" s="59"/>
      <c r="MVC3" s="59"/>
      <c r="MVD3" s="59"/>
      <c r="MVE3" s="59"/>
      <c r="MVF3" s="59"/>
      <c r="MVG3" s="59"/>
      <c r="MVH3" s="59"/>
      <c r="MVI3" s="59"/>
      <c r="MVJ3" s="59"/>
      <c r="MVK3" s="59"/>
      <c r="MVL3" s="59"/>
      <c r="MVM3" s="59"/>
      <c r="MVN3" s="59"/>
      <c r="MVO3" s="59"/>
      <c r="MVP3" s="59"/>
      <c r="MVQ3" s="59"/>
      <c r="MVR3" s="59"/>
      <c r="MVS3" s="59"/>
      <c r="MVT3" s="59"/>
      <c r="MVU3" s="59"/>
      <c r="MVV3" s="59"/>
      <c r="MVW3" s="59"/>
      <c r="MVX3" s="59"/>
      <c r="MVY3" s="59"/>
      <c r="MVZ3" s="59"/>
      <c r="MWA3" s="59"/>
      <c r="MWB3" s="59"/>
      <c r="MWC3" s="59"/>
      <c r="MWD3" s="59"/>
      <c r="MWE3" s="59"/>
      <c r="MWF3" s="59"/>
      <c r="MWG3" s="59"/>
      <c r="MWH3" s="59"/>
      <c r="MWI3" s="59"/>
      <c r="MWJ3" s="59"/>
      <c r="MWK3" s="59"/>
      <c r="MWL3" s="59"/>
      <c r="MWM3" s="59"/>
      <c r="MWN3" s="59"/>
      <c r="MWO3" s="59"/>
      <c r="MWP3" s="59"/>
      <c r="MWQ3" s="59"/>
      <c r="MWR3" s="59"/>
      <c r="MWS3" s="59"/>
      <c r="MWT3" s="59"/>
      <c r="MWU3" s="59"/>
      <c r="MWV3" s="59"/>
      <c r="MWW3" s="59"/>
      <c r="MWX3" s="59"/>
      <c r="MWY3" s="59"/>
      <c r="MWZ3" s="59"/>
      <c r="MXA3" s="59"/>
      <c r="MXB3" s="59"/>
      <c r="MXC3" s="59"/>
      <c r="MXD3" s="59"/>
      <c r="MXE3" s="59"/>
      <c r="MXF3" s="59"/>
      <c r="MXG3" s="59"/>
      <c r="MXH3" s="59"/>
      <c r="MXI3" s="59"/>
      <c r="MXJ3" s="59"/>
      <c r="MXK3" s="59"/>
      <c r="MXL3" s="59"/>
      <c r="MXM3" s="59"/>
      <c r="MXN3" s="59"/>
      <c r="MXO3" s="59"/>
      <c r="MXP3" s="59"/>
      <c r="MXQ3" s="59"/>
      <c r="MXR3" s="59"/>
      <c r="MXS3" s="59"/>
      <c r="MXT3" s="59"/>
      <c r="MXU3" s="59"/>
      <c r="MXV3" s="59"/>
      <c r="MXW3" s="59"/>
      <c r="MXX3" s="59"/>
      <c r="MXY3" s="59"/>
      <c r="MXZ3" s="59"/>
      <c r="MYA3" s="59"/>
      <c r="MYB3" s="59"/>
      <c r="MYC3" s="59"/>
      <c r="MYD3" s="59"/>
      <c r="MYE3" s="59"/>
      <c r="MYF3" s="59"/>
      <c r="MYG3" s="59"/>
      <c r="MYH3" s="59"/>
      <c r="MYI3" s="59"/>
      <c r="MYJ3" s="59"/>
      <c r="MYK3" s="59"/>
      <c r="MYL3" s="59"/>
      <c r="MYM3" s="59"/>
      <c r="MYN3" s="59"/>
      <c r="MYO3" s="59"/>
      <c r="MYP3" s="59"/>
      <c r="MYQ3" s="59"/>
      <c r="MYR3" s="59"/>
      <c r="MYS3" s="59"/>
      <c r="MYT3" s="59"/>
      <c r="MYU3" s="59"/>
      <c r="MYV3" s="59"/>
      <c r="MYW3" s="59"/>
      <c r="MYX3" s="59"/>
      <c r="MYY3" s="59"/>
      <c r="MYZ3" s="59"/>
      <c r="MZA3" s="59"/>
      <c r="MZB3" s="59"/>
      <c r="MZC3" s="59"/>
      <c r="MZD3" s="59"/>
      <c r="MZE3" s="59"/>
      <c r="MZF3" s="59"/>
      <c r="MZG3" s="59"/>
      <c r="MZH3" s="59"/>
      <c r="MZI3" s="59"/>
      <c r="MZJ3" s="59"/>
      <c r="MZK3" s="59"/>
      <c r="MZL3" s="59"/>
      <c r="MZM3" s="59"/>
      <c r="MZN3" s="59"/>
      <c r="MZO3" s="59"/>
      <c r="MZP3" s="59"/>
      <c r="MZQ3" s="59"/>
      <c r="MZR3" s="59"/>
      <c r="MZS3" s="59"/>
      <c r="MZT3" s="59"/>
      <c r="MZU3" s="59"/>
      <c r="MZV3" s="59"/>
      <c r="MZW3" s="59"/>
      <c r="MZX3" s="59"/>
      <c r="MZY3" s="59"/>
      <c r="MZZ3" s="59"/>
      <c r="NAA3" s="59"/>
      <c r="NAB3" s="59"/>
      <c r="NAC3" s="59"/>
      <c r="NAD3" s="59"/>
      <c r="NAE3" s="59"/>
      <c r="NAF3" s="59"/>
      <c r="NAG3" s="59"/>
      <c r="NAH3" s="59"/>
      <c r="NAI3" s="59"/>
      <c r="NAJ3" s="59"/>
      <c r="NAK3" s="59"/>
      <c r="NAL3" s="59"/>
      <c r="NAM3" s="59"/>
      <c r="NAN3" s="59"/>
      <c r="NAO3" s="59"/>
      <c r="NAP3" s="59"/>
      <c r="NAQ3" s="59"/>
      <c r="NAR3" s="59"/>
      <c r="NAS3" s="59"/>
      <c r="NAT3" s="59"/>
      <c r="NAU3" s="59"/>
      <c r="NAV3" s="59"/>
      <c r="NAW3" s="59"/>
      <c r="NAX3" s="59"/>
      <c r="NAY3" s="59"/>
      <c r="NAZ3" s="59"/>
      <c r="NBA3" s="59"/>
      <c r="NBB3" s="59"/>
      <c r="NBC3" s="59"/>
      <c r="NBD3" s="59"/>
      <c r="NBE3" s="59"/>
      <c r="NBF3" s="59"/>
      <c r="NBG3" s="59"/>
      <c r="NBH3" s="59"/>
      <c r="NBI3" s="59"/>
      <c r="NBJ3" s="59"/>
      <c r="NBK3" s="59"/>
      <c r="NBL3" s="59"/>
      <c r="NBM3" s="59"/>
      <c r="NBN3" s="59"/>
      <c r="NBO3" s="59"/>
      <c r="NBP3" s="59"/>
      <c r="NBQ3" s="59"/>
      <c r="NBR3" s="59"/>
      <c r="NBS3" s="59"/>
      <c r="NBT3" s="59"/>
      <c r="NBU3" s="59"/>
      <c r="NBV3" s="59"/>
      <c r="NBW3" s="59"/>
      <c r="NBX3" s="59"/>
      <c r="NBY3" s="59"/>
      <c r="NBZ3" s="59"/>
      <c r="NCA3" s="59"/>
      <c r="NCB3" s="59"/>
      <c r="NCC3" s="59"/>
      <c r="NCD3" s="59"/>
      <c r="NCE3" s="59"/>
      <c r="NCF3" s="59"/>
      <c r="NCG3" s="59"/>
      <c r="NCH3" s="59"/>
      <c r="NCI3" s="59"/>
      <c r="NCJ3" s="59"/>
      <c r="NCK3" s="59"/>
      <c r="NCL3" s="59"/>
      <c r="NCM3" s="59"/>
      <c r="NCN3" s="59"/>
      <c r="NCO3" s="59"/>
      <c r="NCP3" s="59"/>
      <c r="NCQ3" s="59"/>
      <c r="NCR3" s="59"/>
      <c r="NCS3" s="59"/>
      <c r="NCT3" s="59"/>
      <c r="NCU3" s="59"/>
      <c r="NCV3" s="59"/>
      <c r="NCW3" s="59"/>
      <c r="NCX3" s="59"/>
      <c r="NCY3" s="59"/>
      <c r="NCZ3" s="59"/>
      <c r="NDA3" s="59"/>
      <c r="NDB3" s="59"/>
      <c r="NDC3" s="59"/>
      <c r="NDD3" s="59"/>
      <c r="NDE3" s="59"/>
      <c r="NDF3" s="59"/>
      <c r="NDG3" s="59"/>
      <c r="NDH3" s="59"/>
      <c r="NDI3" s="59"/>
      <c r="NDJ3" s="59"/>
      <c r="NDK3" s="59"/>
      <c r="NDL3" s="59"/>
      <c r="NDM3" s="59"/>
      <c r="NDN3" s="59"/>
      <c r="NDO3" s="59"/>
      <c r="NDP3" s="59"/>
      <c r="NDQ3" s="59"/>
      <c r="NDR3" s="59"/>
      <c r="NDS3" s="59"/>
      <c r="NDT3" s="59"/>
      <c r="NDU3" s="59"/>
      <c r="NDV3" s="59"/>
      <c r="NDW3" s="59"/>
      <c r="NDX3" s="59"/>
      <c r="NDY3" s="59"/>
      <c r="NDZ3" s="59"/>
      <c r="NEA3" s="59"/>
      <c r="NEB3" s="59"/>
      <c r="NEC3" s="59"/>
      <c r="NED3" s="59"/>
      <c r="NEE3" s="59"/>
      <c r="NEF3" s="59"/>
      <c r="NEG3" s="59"/>
      <c r="NEH3" s="59"/>
      <c r="NEI3" s="59"/>
      <c r="NEJ3" s="59"/>
      <c r="NEK3" s="59"/>
      <c r="NEL3" s="59"/>
      <c r="NEM3" s="59"/>
      <c r="NEN3" s="59"/>
      <c r="NEO3" s="59"/>
      <c r="NEP3" s="59"/>
      <c r="NEQ3" s="59"/>
      <c r="NER3" s="59"/>
      <c r="NES3" s="59"/>
      <c r="NET3" s="59"/>
      <c r="NEU3" s="59"/>
      <c r="NEV3" s="59"/>
      <c r="NEW3" s="59"/>
      <c r="NEX3" s="59"/>
      <c r="NEY3" s="59"/>
      <c r="NEZ3" s="59"/>
      <c r="NFA3" s="59"/>
      <c r="NFB3" s="59"/>
      <c r="NFC3" s="59"/>
      <c r="NFD3" s="59"/>
      <c r="NFE3" s="59"/>
      <c r="NFF3" s="59"/>
      <c r="NFG3" s="59"/>
      <c r="NFH3" s="59"/>
      <c r="NFI3" s="59"/>
      <c r="NFJ3" s="59"/>
      <c r="NFK3" s="59"/>
      <c r="NFL3" s="59"/>
      <c r="NFM3" s="59"/>
      <c r="NFN3" s="59"/>
      <c r="NFO3" s="59"/>
      <c r="NFP3" s="59"/>
      <c r="NFQ3" s="59"/>
      <c r="NFR3" s="59"/>
      <c r="NFS3" s="59"/>
      <c r="NFT3" s="59"/>
      <c r="NFU3" s="59"/>
      <c r="NFV3" s="59"/>
      <c r="NFW3" s="59"/>
      <c r="NFX3" s="59"/>
      <c r="NFY3" s="59"/>
      <c r="NFZ3" s="59"/>
      <c r="NGA3" s="59"/>
      <c r="NGB3" s="59"/>
      <c r="NGC3" s="59"/>
      <c r="NGD3" s="59"/>
      <c r="NGE3" s="59"/>
      <c r="NGF3" s="59"/>
      <c r="NGG3" s="59"/>
      <c r="NGH3" s="59"/>
      <c r="NGI3" s="59"/>
      <c r="NGJ3" s="59"/>
      <c r="NGK3" s="59"/>
      <c r="NGL3" s="59"/>
      <c r="NGM3" s="59"/>
      <c r="NGN3" s="59"/>
      <c r="NGO3" s="59"/>
      <c r="NGP3" s="59"/>
      <c r="NGQ3" s="59"/>
      <c r="NGR3" s="59"/>
      <c r="NGS3" s="59"/>
      <c r="NGT3" s="59"/>
      <c r="NGU3" s="59"/>
      <c r="NGV3" s="59"/>
      <c r="NGW3" s="59"/>
      <c r="NGX3" s="59"/>
      <c r="NGY3" s="59"/>
      <c r="NGZ3" s="59"/>
      <c r="NHA3" s="59"/>
      <c r="NHB3" s="59"/>
      <c r="NHC3" s="59"/>
      <c r="NHD3" s="59"/>
      <c r="NHE3" s="59"/>
      <c r="NHF3" s="59"/>
      <c r="NHG3" s="59"/>
      <c r="NHH3" s="59"/>
      <c r="NHI3" s="59"/>
      <c r="NHJ3" s="59"/>
      <c r="NHK3" s="59"/>
      <c r="NHL3" s="59"/>
      <c r="NHM3" s="59"/>
      <c r="NHN3" s="59"/>
      <c r="NHO3" s="59"/>
      <c r="NHP3" s="59"/>
      <c r="NHQ3" s="59"/>
      <c r="NHR3" s="59"/>
      <c r="NHS3" s="59"/>
      <c r="NHT3" s="59"/>
      <c r="NHU3" s="59"/>
      <c r="NHV3" s="59"/>
      <c r="NHW3" s="59"/>
      <c r="NHX3" s="59"/>
      <c r="NHY3" s="59"/>
      <c r="NHZ3" s="59"/>
      <c r="NIA3" s="59"/>
      <c r="NIB3" s="59"/>
      <c r="NIC3" s="59"/>
      <c r="NID3" s="59"/>
      <c r="NIE3" s="59"/>
      <c r="NIF3" s="59"/>
      <c r="NIG3" s="59"/>
      <c r="NIH3" s="59"/>
      <c r="NII3" s="59"/>
      <c r="NIJ3" s="59"/>
      <c r="NIK3" s="59"/>
      <c r="NIL3" s="59"/>
      <c r="NIM3" s="59"/>
      <c r="NIN3" s="59"/>
      <c r="NIO3" s="59"/>
      <c r="NIP3" s="59"/>
      <c r="NIQ3" s="59"/>
      <c r="NIR3" s="59"/>
      <c r="NIS3" s="59"/>
      <c r="NIT3" s="59"/>
      <c r="NIU3" s="59"/>
      <c r="NIV3" s="59"/>
      <c r="NIW3" s="59"/>
      <c r="NIX3" s="59"/>
      <c r="NIY3" s="59"/>
      <c r="NIZ3" s="59"/>
      <c r="NJA3" s="59"/>
      <c r="NJB3" s="59"/>
      <c r="NJC3" s="59"/>
      <c r="NJD3" s="59"/>
      <c r="NJE3" s="59"/>
      <c r="NJF3" s="59"/>
      <c r="NJG3" s="59"/>
      <c r="NJH3" s="59"/>
      <c r="NJI3" s="59"/>
      <c r="NJJ3" s="59"/>
      <c r="NJK3" s="59"/>
      <c r="NJL3" s="59"/>
      <c r="NJM3" s="59"/>
      <c r="NJN3" s="59"/>
      <c r="NJO3" s="59"/>
      <c r="NJP3" s="59"/>
      <c r="NJQ3" s="59"/>
      <c r="NJR3" s="59"/>
      <c r="NJS3" s="59"/>
      <c r="NJT3" s="59"/>
      <c r="NJU3" s="59"/>
      <c r="NJV3" s="59"/>
      <c r="NJW3" s="59"/>
      <c r="NJX3" s="59"/>
      <c r="NJY3" s="59"/>
      <c r="NJZ3" s="59"/>
      <c r="NKA3" s="59"/>
      <c r="NKB3" s="59"/>
      <c r="NKC3" s="59"/>
      <c r="NKD3" s="59"/>
      <c r="NKE3" s="59"/>
      <c r="NKF3" s="59"/>
      <c r="NKG3" s="59"/>
      <c r="NKH3" s="59"/>
      <c r="NKI3" s="59"/>
      <c r="NKJ3" s="59"/>
      <c r="NKK3" s="59"/>
      <c r="NKL3" s="59"/>
      <c r="NKM3" s="59"/>
      <c r="NKN3" s="59"/>
      <c r="NKO3" s="59"/>
      <c r="NKP3" s="59"/>
      <c r="NKQ3" s="59"/>
      <c r="NKR3" s="59"/>
      <c r="NKS3" s="59"/>
      <c r="NKT3" s="59"/>
      <c r="NKU3" s="59"/>
      <c r="NKV3" s="59"/>
      <c r="NKW3" s="59"/>
      <c r="NKX3" s="59"/>
      <c r="NKY3" s="59"/>
      <c r="NKZ3" s="59"/>
      <c r="NLA3" s="59"/>
      <c r="NLB3" s="59"/>
      <c r="NLC3" s="59"/>
      <c r="NLD3" s="59"/>
      <c r="NLE3" s="59"/>
      <c r="NLF3" s="59"/>
      <c r="NLG3" s="59"/>
      <c r="NLH3" s="59"/>
      <c r="NLI3" s="59"/>
      <c r="NLJ3" s="59"/>
      <c r="NLK3" s="59"/>
      <c r="NLL3" s="59"/>
      <c r="NLM3" s="59"/>
      <c r="NLN3" s="59"/>
      <c r="NLO3" s="59"/>
      <c r="NLP3" s="59"/>
      <c r="NLQ3" s="59"/>
      <c r="NLR3" s="59"/>
      <c r="NLS3" s="59"/>
      <c r="NLT3" s="59"/>
      <c r="NLU3" s="59"/>
      <c r="NLV3" s="59"/>
      <c r="NLW3" s="59"/>
      <c r="NLX3" s="59"/>
      <c r="NLY3" s="59"/>
      <c r="NLZ3" s="59"/>
      <c r="NMA3" s="59"/>
      <c r="NMB3" s="59"/>
      <c r="NMC3" s="59"/>
      <c r="NMD3" s="59"/>
      <c r="NME3" s="59"/>
      <c r="NMF3" s="59"/>
      <c r="NMG3" s="59"/>
      <c r="NMH3" s="59"/>
      <c r="NMI3" s="59"/>
      <c r="NMJ3" s="59"/>
      <c r="NMK3" s="59"/>
      <c r="NML3" s="59"/>
      <c r="NMM3" s="59"/>
      <c r="NMN3" s="59"/>
      <c r="NMO3" s="59"/>
      <c r="NMP3" s="59"/>
      <c r="NMQ3" s="59"/>
      <c r="NMR3" s="59"/>
      <c r="NMS3" s="59"/>
      <c r="NMT3" s="59"/>
      <c r="NMU3" s="59"/>
      <c r="NMV3" s="59"/>
      <c r="NMW3" s="59"/>
      <c r="NMX3" s="59"/>
      <c r="NMY3" s="59"/>
      <c r="NMZ3" s="59"/>
      <c r="NNA3" s="59"/>
      <c r="NNB3" s="59"/>
      <c r="NNC3" s="59"/>
      <c r="NND3" s="59"/>
      <c r="NNE3" s="59"/>
      <c r="NNF3" s="59"/>
      <c r="NNG3" s="59"/>
      <c r="NNH3" s="59"/>
      <c r="NNI3" s="59"/>
      <c r="NNJ3" s="59"/>
      <c r="NNK3" s="59"/>
      <c r="NNL3" s="59"/>
      <c r="NNM3" s="59"/>
      <c r="NNN3" s="59"/>
      <c r="NNO3" s="59"/>
      <c r="NNP3" s="59"/>
      <c r="NNQ3" s="59"/>
      <c r="NNR3" s="59"/>
      <c r="NNS3" s="59"/>
      <c r="NNT3" s="59"/>
      <c r="NNU3" s="59"/>
      <c r="NNV3" s="59"/>
      <c r="NNW3" s="59"/>
      <c r="NNX3" s="59"/>
      <c r="NNY3" s="59"/>
      <c r="NNZ3" s="59"/>
      <c r="NOA3" s="59"/>
      <c r="NOB3" s="59"/>
      <c r="NOC3" s="59"/>
      <c r="NOD3" s="59"/>
      <c r="NOE3" s="59"/>
      <c r="NOF3" s="59"/>
      <c r="NOG3" s="59"/>
      <c r="NOH3" s="59"/>
      <c r="NOI3" s="59"/>
      <c r="NOJ3" s="59"/>
      <c r="NOK3" s="59"/>
      <c r="NOL3" s="59"/>
      <c r="NOM3" s="59"/>
      <c r="NON3" s="59"/>
      <c r="NOO3" s="59"/>
      <c r="NOP3" s="59"/>
      <c r="NOQ3" s="59"/>
      <c r="NOR3" s="59"/>
      <c r="NOS3" s="59"/>
      <c r="NOT3" s="59"/>
      <c r="NOU3" s="59"/>
      <c r="NOV3" s="59"/>
      <c r="NOW3" s="59"/>
      <c r="NOX3" s="59"/>
      <c r="NOY3" s="59"/>
      <c r="NOZ3" s="59"/>
      <c r="NPA3" s="59"/>
      <c r="NPB3" s="59"/>
      <c r="NPC3" s="59"/>
      <c r="NPD3" s="59"/>
      <c r="NPE3" s="59"/>
      <c r="NPF3" s="59"/>
      <c r="NPG3" s="59"/>
      <c r="NPH3" s="59"/>
      <c r="NPI3" s="59"/>
      <c r="NPJ3" s="59"/>
      <c r="NPK3" s="59"/>
      <c r="NPL3" s="59"/>
      <c r="NPM3" s="59"/>
      <c r="NPN3" s="59"/>
      <c r="NPO3" s="59"/>
      <c r="NPP3" s="59"/>
      <c r="NPQ3" s="59"/>
      <c r="NPR3" s="59"/>
      <c r="NPS3" s="59"/>
      <c r="NPT3" s="59"/>
      <c r="NPU3" s="59"/>
      <c r="NPV3" s="59"/>
      <c r="NPW3" s="59"/>
      <c r="NPX3" s="59"/>
      <c r="NPY3" s="59"/>
      <c r="NPZ3" s="59"/>
      <c r="NQA3" s="59"/>
      <c r="NQB3" s="59"/>
      <c r="NQC3" s="59"/>
      <c r="NQD3" s="59"/>
      <c r="NQE3" s="59"/>
      <c r="NQF3" s="59"/>
      <c r="NQG3" s="59"/>
      <c r="NQH3" s="59"/>
      <c r="NQI3" s="59"/>
      <c r="NQJ3" s="59"/>
      <c r="NQK3" s="59"/>
      <c r="NQL3" s="59"/>
      <c r="NQM3" s="59"/>
      <c r="NQN3" s="59"/>
      <c r="NQO3" s="59"/>
      <c r="NQP3" s="59"/>
      <c r="NQQ3" s="59"/>
      <c r="NQR3" s="59"/>
      <c r="NQS3" s="59"/>
      <c r="NQT3" s="59"/>
      <c r="NQU3" s="59"/>
      <c r="NQV3" s="59"/>
      <c r="NQW3" s="59"/>
      <c r="NQX3" s="59"/>
      <c r="NQY3" s="59"/>
      <c r="NQZ3" s="59"/>
      <c r="NRA3" s="59"/>
      <c r="NRB3" s="59"/>
      <c r="NRC3" s="59"/>
      <c r="NRD3" s="59"/>
      <c r="NRE3" s="59"/>
      <c r="NRF3" s="59"/>
      <c r="NRG3" s="59"/>
      <c r="NRH3" s="59"/>
      <c r="NRI3" s="59"/>
      <c r="NRJ3" s="59"/>
      <c r="NRK3" s="59"/>
      <c r="NRL3" s="59"/>
      <c r="NRM3" s="59"/>
      <c r="NRN3" s="59"/>
      <c r="NRO3" s="59"/>
      <c r="NRP3" s="59"/>
      <c r="NRQ3" s="59"/>
      <c r="NRR3" s="59"/>
      <c r="NRS3" s="59"/>
      <c r="NRT3" s="59"/>
      <c r="NRU3" s="59"/>
      <c r="NRV3" s="59"/>
      <c r="NRW3" s="59"/>
      <c r="NRX3" s="59"/>
      <c r="NRY3" s="59"/>
      <c r="NRZ3" s="59"/>
      <c r="NSA3" s="59"/>
      <c r="NSB3" s="59"/>
      <c r="NSC3" s="59"/>
      <c r="NSD3" s="59"/>
      <c r="NSE3" s="59"/>
      <c r="NSF3" s="59"/>
      <c r="NSG3" s="59"/>
      <c r="NSH3" s="59"/>
      <c r="NSI3" s="59"/>
      <c r="NSJ3" s="59"/>
      <c r="NSK3" s="59"/>
      <c r="NSL3" s="59"/>
      <c r="NSM3" s="59"/>
      <c r="NSN3" s="59"/>
      <c r="NSO3" s="59"/>
      <c r="NSP3" s="59"/>
      <c r="NSQ3" s="59"/>
      <c r="NSR3" s="59"/>
      <c r="NSS3" s="59"/>
      <c r="NST3" s="59"/>
      <c r="NSU3" s="59"/>
      <c r="NSV3" s="59"/>
      <c r="NSW3" s="59"/>
      <c r="NSX3" s="59"/>
      <c r="NSY3" s="59"/>
      <c r="NSZ3" s="59"/>
      <c r="NTA3" s="59"/>
      <c r="NTB3" s="59"/>
      <c r="NTC3" s="59"/>
      <c r="NTD3" s="59"/>
      <c r="NTE3" s="59"/>
      <c r="NTF3" s="59"/>
      <c r="NTG3" s="59"/>
      <c r="NTH3" s="59"/>
      <c r="NTI3" s="59"/>
      <c r="NTJ3" s="59"/>
      <c r="NTK3" s="59"/>
      <c r="NTL3" s="59"/>
      <c r="NTM3" s="59"/>
      <c r="NTN3" s="59"/>
      <c r="NTO3" s="59"/>
      <c r="NTP3" s="59"/>
      <c r="NTQ3" s="59"/>
      <c r="NTR3" s="59"/>
      <c r="NTS3" s="59"/>
      <c r="NTT3" s="59"/>
      <c r="NTU3" s="59"/>
      <c r="NTV3" s="59"/>
      <c r="NTW3" s="59"/>
      <c r="NTX3" s="59"/>
      <c r="NTY3" s="59"/>
      <c r="NTZ3" s="59"/>
      <c r="NUA3" s="59"/>
      <c r="NUB3" s="59"/>
      <c r="NUC3" s="59"/>
      <c r="NUD3" s="59"/>
      <c r="NUE3" s="59"/>
      <c r="NUF3" s="59"/>
      <c r="NUG3" s="59"/>
      <c r="NUH3" s="59"/>
      <c r="NUI3" s="59"/>
      <c r="NUJ3" s="59"/>
      <c r="NUK3" s="59"/>
      <c r="NUL3" s="59"/>
      <c r="NUM3" s="59"/>
      <c r="NUN3" s="59"/>
      <c r="NUO3" s="59"/>
      <c r="NUP3" s="59"/>
      <c r="NUQ3" s="59"/>
      <c r="NUR3" s="59"/>
      <c r="NUS3" s="59"/>
      <c r="NUT3" s="59"/>
      <c r="NUU3" s="59"/>
      <c r="NUV3" s="59"/>
      <c r="NUW3" s="59"/>
      <c r="NUX3" s="59"/>
      <c r="NUY3" s="59"/>
      <c r="NUZ3" s="59"/>
      <c r="NVA3" s="59"/>
      <c r="NVB3" s="59"/>
      <c r="NVC3" s="59"/>
      <c r="NVD3" s="59"/>
      <c r="NVE3" s="59"/>
      <c r="NVF3" s="59"/>
      <c r="NVG3" s="59"/>
      <c r="NVH3" s="59"/>
      <c r="NVI3" s="59"/>
      <c r="NVJ3" s="59"/>
      <c r="NVK3" s="59"/>
      <c r="NVL3" s="59"/>
      <c r="NVM3" s="59"/>
      <c r="NVN3" s="59"/>
      <c r="NVO3" s="59"/>
      <c r="NVP3" s="59"/>
      <c r="NVQ3" s="59"/>
      <c r="NVR3" s="59"/>
      <c r="NVS3" s="59"/>
      <c r="NVT3" s="59"/>
      <c r="NVU3" s="59"/>
      <c r="NVV3" s="59"/>
      <c r="NVW3" s="59"/>
      <c r="NVX3" s="59"/>
      <c r="NVY3" s="59"/>
      <c r="NVZ3" s="59"/>
      <c r="NWA3" s="59"/>
      <c r="NWB3" s="59"/>
      <c r="NWC3" s="59"/>
      <c r="NWD3" s="59"/>
      <c r="NWE3" s="59"/>
      <c r="NWF3" s="59"/>
      <c r="NWG3" s="59"/>
      <c r="NWH3" s="59"/>
      <c r="NWI3" s="59"/>
      <c r="NWJ3" s="59"/>
      <c r="NWK3" s="59"/>
      <c r="NWL3" s="59"/>
      <c r="NWM3" s="59"/>
      <c r="NWN3" s="59"/>
      <c r="NWO3" s="59"/>
      <c r="NWP3" s="59"/>
      <c r="NWQ3" s="59"/>
      <c r="NWR3" s="59"/>
      <c r="NWS3" s="59"/>
      <c r="NWT3" s="59"/>
      <c r="NWU3" s="59"/>
      <c r="NWV3" s="59"/>
      <c r="NWW3" s="59"/>
      <c r="NWX3" s="59"/>
      <c r="NWY3" s="59"/>
      <c r="NWZ3" s="59"/>
      <c r="NXA3" s="59"/>
      <c r="NXB3" s="59"/>
      <c r="NXC3" s="59"/>
      <c r="NXD3" s="59"/>
      <c r="NXE3" s="59"/>
      <c r="NXF3" s="59"/>
      <c r="NXG3" s="59"/>
      <c r="NXH3" s="59"/>
      <c r="NXI3" s="59"/>
      <c r="NXJ3" s="59"/>
      <c r="NXK3" s="59"/>
      <c r="NXL3" s="59"/>
      <c r="NXM3" s="59"/>
      <c r="NXN3" s="59"/>
      <c r="NXO3" s="59"/>
      <c r="NXP3" s="59"/>
      <c r="NXQ3" s="59"/>
      <c r="NXR3" s="59"/>
      <c r="NXS3" s="59"/>
      <c r="NXT3" s="59"/>
      <c r="NXU3" s="59"/>
      <c r="NXV3" s="59"/>
      <c r="NXW3" s="59"/>
      <c r="NXX3" s="59"/>
      <c r="NXY3" s="59"/>
      <c r="NXZ3" s="59"/>
      <c r="NYA3" s="59"/>
      <c r="NYB3" s="59"/>
      <c r="NYC3" s="59"/>
      <c r="NYD3" s="59"/>
      <c r="NYE3" s="59"/>
      <c r="NYF3" s="59"/>
      <c r="NYG3" s="59"/>
      <c r="NYH3" s="59"/>
      <c r="NYI3" s="59"/>
      <c r="NYJ3" s="59"/>
      <c r="NYK3" s="59"/>
      <c r="NYL3" s="59"/>
      <c r="NYM3" s="59"/>
      <c r="NYN3" s="59"/>
      <c r="NYO3" s="59"/>
      <c r="NYP3" s="59"/>
      <c r="NYQ3" s="59"/>
      <c r="NYR3" s="59"/>
      <c r="NYS3" s="59"/>
      <c r="NYT3" s="59"/>
      <c r="NYU3" s="59"/>
      <c r="NYV3" s="59"/>
      <c r="NYW3" s="59"/>
      <c r="NYX3" s="59"/>
      <c r="NYY3" s="59"/>
      <c r="NYZ3" s="59"/>
      <c r="NZA3" s="59"/>
      <c r="NZB3" s="59"/>
      <c r="NZC3" s="59"/>
      <c r="NZD3" s="59"/>
      <c r="NZE3" s="59"/>
      <c r="NZF3" s="59"/>
      <c r="NZG3" s="59"/>
      <c r="NZH3" s="59"/>
      <c r="NZI3" s="59"/>
      <c r="NZJ3" s="59"/>
      <c r="NZK3" s="59"/>
      <c r="NZL3" s="59"/>
      <c r="NZM3" s="59"/>
      <c r="NZN3" s="59"/>
      <c r="NZO3" s="59"/>
      <c r="NZP3" s="59"/>
      <c r="NZQ3" s="59"/>
      <c r="NZR3" s="59"/>
      <c r="NZS3" s="59"/>
      <c r="NZT3" s="59"/>
      <c r="NZU3" s="59"/>
      <c r="NZV3" s="59"/>
      <c r="NZW3" s="59"/>
      <c r="NZX3" s="59"/>
      <c r="NZY3" s="59"/>
      <c r="NZZ3" s="59"/>
      <c r="OAA3" s="59"/>
      <c r="OAB3" s="59"/>
      <c r="OAC3" s="59"/>
      <c r="OAD3" s="59"/>
      <c r="OAE3" s="59"/>
      <c r="OAF3" s="59"/>
      <c r="OAG3" s="59"/>
      <c r="OAH3" s="59"/>
      <c r="OAI3" s="59"/>
      <c r="OAJ3" s="59"/>
      <c r="OAK3" s="59"/>
      <c r="OAL3" s="59"/>
      <c r="OAM3" s="59"/>
      <c r="OAN3" s="59"/>
      <c r="OAO3" s="59"/>
      <c r="OAP3" s="59"/>
      <c r="OAQ3" s="59"/>
      <c r="OAR3" s="59"/>
      <c r="OAS3" s="59"/>
      <c r="OAT3" s="59"/>
      <c r="OAU3" s="59"/>
      <c r="OAV3" s="59"/>
      <c r="OAW3" s="59"/>
      <c r="OAX3" s="59"/>
      <c r="OAY3" s="59"/>
      <c r="OAZ3" s="59"/>
      <c r="OBA3" s="59"/>
      <c r="OBB3" s="59"/>
      <c r="OBC3" s="59"/>
      <c r="OBD3" s="59"/>
      <c r="OBE3" s="59"/>
      <c r="OBF3" s="59"/>
      <c r="OBG3" s="59"/>
      <c r="OBH3" s="59"/>
      <c r="OBI3" s="59"/>
      <c r="OBJ3" s="59"/>
      <c r="OBK3" s="59"/>
      <c r="OBL3" s="59"/>
      <c r="OBM3" s="59"/>
      <c r="OBN3" s="59"/>
      <c r="OBO3" s="59"/>
      <c r="OBP3" s="59"/>
      <c r="OBQ3" s="59"/>
      <c r="OBR3" s="59"/>
      <c r="OBS3" s="59"/>
      <c r="OBT3" s="59"/>
      <c r="OBU3" s="59"/>
      <c r="OBV3" s="59"/>
      <c r="OBW3" s="59"/>
      <c r="OBX3" s="59"/>
      <c r="OBY3" s="59"/>
      <c r="OBZ3" s="59"/>
      <c r="OCA3" s="59"/>
      <c r="OCB3" s="59"/>
      <c r="OCC3" s="59"/>
      <c r="OCD3" s="59"/>
      <c r="OCE3" s="59"/>
      <c r="OCF3" s="59"/>
      <c r="OCG3" s="59"/>
      <c r="OCH3" s="59"/>
      <c r="OCI3" s="59"/>
      <c r="OCJ3" s="59"/>
      <c r="OCK3" s="59"/>
      <c r="OCL3" s="59"/>
      <c r="OCM3" s="59"/>
      <c r="OCN3" s="59"/>
      <c r="OCO3" s="59"/>
      <c r="OCP3" s="59"/>
      <c r="OCQ3" s="59"/>
      <c r="OCR3" s="59"/>
      <c r="OCS3" s="59"/>
      <c r="OCT3" s="59"/>
      <c r="OCU3" s="59"/>
      <c r="OCV3" s="59"/>
      <c r="OCW3" s="59"/>
      <c r="OCX3" s="59"/>
      <c r="OCY3" s="59"/>
      <c r="OCZ3" s="59"/>
      <c r="ODA3" s="59"/>
      <c r="ODB3" s="59"/>
      <c r="ODC3" s="59"/>
      <c r="ODD3" s="59"/>
      <c r="ODE3" s="59"/>
      <c r="ODF3" s="59"/>
      <c r="ODG3" s="59"/>
      <c r="ODH3" s="59"/>
      <c r="ODI3" s="59"/>
      <c r="ODJ3" s="59"/>
      <c r="ODK3" s="59"/>
      <c r="ODL3" s="59"/>
      <c r="ODM3" s="59"/>
      <c r="ODN3" s="59"/>
      <c r="ODO3" s="59"/>
      <c r="ODP3" s="59"/>
      <c r="ODQ3" s="59"/>
      <c r="ODR3" s="59"/>
      <c r="ODS3" s="59"/>
      <c r="ODT3" s="59"/>
      <c r="ODU3" s="59"/>
      <c r="ODV3" s="59"/>
      <c r="ODW3" s="59"/>
      <c r="ODX3" s="59"/>
      <c r="ODY3" s="59"/>
      <c r="ODZ3" s="59"/>
      <c r="OEA3" s="59"/>
      <c r="OEB3" s="59"/>
      <c r="OEC3" s="59"/>
      <c r="OED3" s="59"/>
      <c r="OEE3" s="59"/>
      <c r="OEF3" s="59"/>
      <c r="OEG3" s="59"/>
      <c r="OEH3" s="59"/>
      <c r="OEI3" s="59"/>
      <c r="OEJ3" s="59"/>
      <c r="OEK3" s="59"/>
      <c r="OEL3" s="59"/>
      <c r="OEM3" s="59"/>
      <c r="OEN3" s="59"/>
      <c r="OEO3" s="59"/>
      <c r="OEP3" s="59"/>
      <c r="OEQ3" s="59"/>
      <c r="OER3" s="59"/>
      <c r="OES3" s="59"/>
      <c r="OET3" s="59"/>
      <c r="OEU3" s="59"/>
      <c r="OEV3" s="59"/>
      <c r="OEW3" s="59"/>
      <c r="OEX3" s="59"/>
      <c r="OEY3" s="59"/>
      <c r="OEZ3" s="59"/>
      <c r="OFA3" s="59"/>
      <c r="OFB3" s="59"/>
      <c r="OFC3" s="59"/>
      <c r="OFD3" s="59"/>
      <c r="OFE3" s="59"/>
      <c r="OFF3" s="59"/>
      <c r="OFG3" s="59"/>
      <c r="OFH3" s="59"/>
      <c r="OFI3" s="59"/>
      <c r="OFJ3" s="59"/>
      <c r="OFK3" s="59"/>
      <c r="OFL3" s="59"/>
      <c r="OFM3" s="59"/>
      <c r="OFN3" s="59"/>
      <c r="OFO3" s="59"/>
      <c r="OFP3" s="59"/>
      <c r="OFQ3" s="59"/>
      <c r="OFR3" s="59"/>
      <c r="OFS3" s="59"/>
      <c r="OFT3" s="59"/>
      <c r="OFU3" s="59"/>
      <c r="OFV3" s="59"/>
      <c r="OFW3" s="59"/>
      <c r="OFX3" s="59"/>
      <c r="OFY3" s="59"/>
      <c r="OFZ3" s="59"/>
      <c r="OGA3" s="59"/>
      <c r="OGB3" s="59"/>
      <c r="OGC3" s="59"/>
      <c r="OGD3" s="59"/>
      <c r="OGE3" s="59"/>
      <c r="OGF3" s="59"/>
      <c r="OGG3" s="59"/>
      <c r="OGH3" s="59"/>
      <c r="OGI3" s="59"/>
      <c r="OGJ3" s="59"/>
      <c r="OGK3" s="59"/>
      <c r="OGL3" s="59"/>
      <c r="OGM3" s="59"/>
      <c r="OGN3" s="59"/>
      <c r="OGO3" s="59"/>
      <c r="OGP3" s="59"/>
      <c r="OGQ3" s="59"/>
      <c r="OGR3" s="59"/>
      <c r="OGS3" s="59"/>
      <c r="OGT3" s="59"/>
      <c r="OGU3" s="59"/>
      <c r="OGV3" s="59"/>
      <c r="OGW3" s="59"/>
      <c r="OGX3" s="59"/>
      <c r="OGY3" s="59"/>
      <c r="OGZ3" s="59"/>
      <c r="OHA3" s="59"/>
      <c r="OHB3" s="59"/>
      <c r="OHC3" s="59"/>
      <c r="OHD3" s="59"/>
      <c r="OHE3" s="59"/>
      <c r="OHF3" s="59"/>
      <c r="OHG3" s="59"/>
      <c r="OHH3" s="59"/>
      <c r="OHI3" s="59"/>
      <c r="OHJ3" s="59"/>
      <c r="OHK3" s="59"/>
      <c r="OHL3" s="59"/>
      <c r="OHM3" s="59"/>
      <c r="OHN3" s="59"/>
      <c r="OHO3" s="59"/>
      <c r="OHP3" s="59"/>
      <c r="OHQ3" s="59"/>
      <c r="OHR3" s="59"/>
      <c r="OHS3" s="59"/>
      <c r="OHT3" s="59"/>
      <c r="OHU3" s="59"/>
      <c r="OHV3" s="59"/>
      <c r="OHW3" s="59"/>
      <c r="OHX3" s="59"/>
      <c r="OHY3" s="59"/>
      <c r="OHZ3" s="59"/>
      <c r="OIA3" s="59"/>
      <c r="OIB3" s="59"/>
      <c r="OIC3" s="59"/>
      <c r="OID3" s="59"/>
      <c r="OIE3" s="59"/>
      <c r="OIF3" s="59"/>
      <c r="OIG3" s="59"/>
      <c r="OIH3" s="59"/>
      <c r="OII3" s="59"/>
      <c r="OIJ3" s="59"/>
      <c r="OIK3" s="59"/>
      <c r="OIL3" s="59"/>
      <c r="OIM3" s="59"/>
      <c r="OIN3" s="59"/>
      <c r="OIO3" s="59"/>
      <c r="OIP3" s="59"/>
      <c r="OIQ3" s="59"/>
      <c r="OIR3" s="59"/>
      <c r="OIS3" s="59"/>
      <c r="OIT3" s="59"/>
      <c r="OIU3" s="59"/>
      <c r="OIV3" s="59"/>
      <c r="OIW3" s="59"/>
      <c r="OIX3" s="59"/>
      <c r="OIY3" s="59"/>
      <c r="OIZ3" s="59"/>
      <c r="OJA3" s="59"/>
      <c r="OJB3" s="59"/>
      <c r="OJC3" s="59"/>
      <c r="OJD3" s="59"/>
      <c r="OJE3" s="59"/>
      <c r="OJF3" s="59"/>
      <c r="OJG3" s="59"/>
      <c r="OJH3" s="59"/>
      <c r="OJI3" s="59"/>
      <c r="OJJ3" s="59"/>
      <c r="OJK3" s="59"/>
      <c r="OJL3" s="59"/>
      <c r="OJM3" s="59"/>
      <c r="OJN3" s="59"/>
      <c r="OJO3" s="59"/>
      <c r="OJP3" s="59"/>
      <c r="OJQ3" s="59"/>
      <c r="OJR3" s="59"/>
      <c r="OJS3" s="59"/>
      <c r="OJT3" s="59"/>
      <c r="OJU3" s="59"/>
      <c r="OJV3" s="59"/>
      <c r="OJW3" s="59"/>
      <c r="OJX3" s="59"/>
      <c r="OJY3" s="59"/>
      <c r="OJZ3" s="59"/>
      <c r="OKA3" s="59"/>
      <c r="OKB3" s="59"/>
      <c r="OKC3" s="59"/>
      <c r="OKD3" s="59"/>
      <c r="OKE3" s="59"/>
      <c r="OKF3" s="59"/>
      <c r="OKG3" s="59"/>
      <c r="OKH3" s="59"/>
      <c r="OKI3" s="59"/>
      <c r="OKJ3" s="59"/>
      <c r="OKK3" s="59"/>
      <c r="OKL3" s="59"/>
      <c r="OKM3" s="59"/>
      <c r="OKN3" s="59"/>
      <c r="OKO3" s="59"/>
      <c r="OKP3" s="59"/>
      <c r="OKQ3" s="59"/>
      <c r="OKR3" s="59"/>
      <c r="OKS3" s="59"/>
      <c r="OKT3" s="59"/>
      <c r="OKU3" s="59"/>
      <c r="OKV3" s="59"/>
      <c r="OKW3" s="59"/>
      <c r="OKX3" s="59"/>
      <c r="OKY3" s="59"/>
      <c r="OKZ3" s="59"/>
      <c r="OLA3" s="59"/>
      <c r="OLB3" s="59"/>
      <c r="OLC3" s="59"/>
      <c r="OLD3" s="59"/>
      <c r="OLE3" s="59"/>
      <c r="OLF3" s="59"/>
      <c r="OLG3" s="59"/>
      <c r="OLH3" s="59"/>
      <c r="OLI3" s="59"/>
      <c r="OLJ3" s="59"/>
      <c r="OLK3" s="59"/>
      <c r="OLL3" s="59"/>
      <c r="OLM3" s="59"/>
      <c r="OLN3" s="59"/>
      <c r="OLO3" s="59"/>
      <c r="OLP3" s="59"/>
      <c r="OLQ3" s="59"/>
      <c r="OLR3" s="59"/>
      <c r="OLS3" s="59"/>
      <c r="OLT3" s="59"/>
      <c r="OLU3" s="59"/>
      <c r="OLV3" s="59"/>
      <c r="OLW3" s="59"/>
      <c r="OLX3" s="59"/>
      <c r="OLY3" s="59"/>
      <c r="OLZ3" s="59"/>
      <c r="OMA3" s="59"/>
      <c r="OMB3" s="59"/>
      <c r="OMC3" s="59"/>
      <c r="OMD3" s="59"/>
      <c r="OME3" s="59"/>
      <c r="OMF3" s="59"/>
      <c r="OMG3" s="59"/>
      <c r="OMH3" s="59"/>
      <c r="OMI3" s="59"/>
      <c r="OMJ3" s="59"/>
      <c r="OMK3" s="59"/>
      <c r="OML3" s="59"/>
      <c r="OMM3" s="59"/>
      <c r="OMN3" s="59"/>
      <c r="OMO3" s="59"/>
      <c r="OMP3" s="59"/>
      <c r="OMQ3" s="59"/>
      <c r="OMR3" s="59"/>
      <c r="OMS3" s="59"/>
      <c r="OMT3" s="59"/>
      <c r="OMU3" s="59"/>
      <c r="OMV3" s="59"/>
      <c r="OMW3" s="59"/>
      <c r="OMX3" s="59"/>
      <c r="OMY3" s="59"/>
      <c r="OMZ3" s="59"/>
      <c r="ONA3" s="59"/>
      <c r="ONB3" s="59"/>
      <c r="ONC3" s="59"/>
      <c r="OND3" s="59"/>
      <c r="ONE3" s="59"/>
      <c r="ONF3" s="59"/>
      <c r="ONG3" s="59"/>
      <c r="ONH3" s="59"/>
      <c r="ONI3" s="59"/>
      <c r="ONJ3" s="59"/>
      <c r="ONK3" s="59"/>
      <c r="ONL3" s="59"/>
      <c r="ONM3" s="59"/>
      <c r="ONN3" s="59"/>
      <c r="ONO3" s="59"/>
      <c r="ONP3" s="59"/>
      <c r="ONQ3" s="59"/>
      <c r="ONR3" s="59"/>
      <c r="ONS3" s="59"/>
      <c r="ONT3" s="59"/>
      <c r="ONU3" s="59"/>
      <c r="ONV3" s="59"/>
      <c r="ONW3" s="59"/>
      <c r="ONX3" s="59"/>
      <c r="ONY3" s="59"/>
      <c r="ONZ3" s="59"/>
      <c r="OOA3" s="59"/>
      <c r="OOB3" s="59"/>
      <c r="OOC3" s="59"/>
      <c r="OOD3" s="59"/>
      <c r="OOE3" s="59"/>
      <c r="OOF3" s="59"/>
      <c r="OOG3" s="59"/>
      <c r="OOH3" s="59"/>
      <c r="OOI3" s="59"/>
      <c r="OOJ3" s="59"/>
      <c r="OOK3" s="59"/>
      <c r="OOL3" s="59"/>
      <c r="OOM3" s="59"/>
      <c r="OON3" s="59"/>
      <c r="OOO3" s="59"/>
      <c r="OOP3" s="59"/>
      <c r="OOQ3" s="59"/>
      <c r="OOR3" s="59"/>
      <c r="OOS3" s="59"/>
      <c r="OOT3" s="59"/>
      <c r="OOU3" s="59"/>
      <c r="OOV3" s="59"/>
      <c r="OOW3" s="59"/>
      <c r="OOX3" s="59"/>
      <c r="OOY3" s="59"/>
      <c r="OOZ3" s="59"/>
      <c r="OPA3" s="59"/>
      <c r="OPB3" s="59"/>
      <c r="OPC3" s="59"/>
      <c r="OPD3" s="59"/>
      <c r="OPE3" s="59"/>
      <c r="OPF3" s="59"/>
      <c r="OPG3" s="59"/>
      <c r="OPH3" s="59"/>
      <c r="OPI3" s="59"/>
      <c r="OPJ3" s="59"/>
      <c r="OPK3" s="59"/>
      <c r="OPL3" s="59"/>
      <c r="OPM3" s="59"/>
      <c r="OPN3" s="59"/>
      <c r="OPO3" s="59"/>
      <c r="OPP3" s="59"/>
      <c r="OPQ3" s="59"/>
      <c r="OPR3" s="59"/>
      <c r="OPS3" s="59"/>
      <c r="OPT3" s="59"/>
      <c r="OPU3" s="59"/>
      <c r="OPV3" s="59"/>
      <c r="OPW3" s="59"/>
      <c r="OPX3" s="59"/>
      <c r="OPY3" s="59"/>
      <c r="OPZ3" s="59"/>
      <c r="OQA3" s="59"/>
      <c r="OQB3" s="59"/>
      <c r="OQC3" s="59"/>
      <c r="OQD3" s="59"/>
      <c r="OQE3" s="59"/>
      <c r="OQF3" s="59"/>
      <c r="OQG3" s="59"/>
      <c r="OQH3" s="59"/>
      <c r="OQI3" s="59"/>
      <c r="OQJ3" s="59"/>
      <c r="OQK3" s="59"/>
      <c r="OQL3" s="59"/>
      <c r="OQM3" s="59"/>
      <c r="OQN3" s="59"/>
      <c r="OQO3" s="59"/>
      <c r="OQP3" s="59"/>
      <c r="OQQ3" s="59"/>
      <c r="OQR3" s="59"/>
      <c r="OQS3" s="59"/>
      <c r="OQT3" s="59"/>
      <c r="OQU3" s="59"/>
      <c r="OQV3" s="59"/>
      <c r="OQW3" s="59"/>
      <c r="OQX3" s="59"/>
      <c r="OQY3" s="59"/>
      <c r="OQZ3" s="59"/>
      <c r="ORA3" s="59"/>
      <c r="ORB3" s="59"/>
      <c r="ORC3" s="59"/>
      <c r="ORD3" s="59"/>
      <c r="ORE3" s="59"/>
      <c r="ORF3" s="59"/>
      <c r="ORG3" s="59"/>
      <c r="ORH3" s="59"/>
      <c r="ORI3" s="59"/>
      <c r="ORJ3" s="59"/>
      <c r="ORK3" s="59"/>
      <c r="ORL3" s="59"/>
      <c r="ORM3" s="59"/>
      <c r="ORN3" s="59"/>
      <c r="ORO3" s="59"/>
      <c r="ORP3" s="59"/>
      <c r="ORQ3" s="59"/>
      <c r="ORR3" s="59"/>
      <c r="ORS3" s="59"/>
      <c r="ORT3" s="59"/>
      <c r="ORU3" s="59"/>
      <c r="ORV3" s="59"/>
      <c r="ORW3" s="59"/>
      <c r="ORX3" s="59"/>
      <c r="ORY3" s="59"/>
      <c r="ORZ3" s="59"/>
      <c r="OSA3" s="59"/>
      <c r="OSB3" s="59"/>
      <c r="OSC3" s="59"/>
      <c r="OSD3" s="59"/>
      <c r="OSE3" s="59"/>
      <c r="OSF3" s="59"/>
      <c r="OSG3" s="59"/>
      <c r="OSH3" s="59"/>
      <c r="OSI3" s="59"/>
      <c r="OSJ3" s="59"/>
      <c r="OSK3" s="59"/>
      <c r="OSL3" s="59"/>
      <c r="OSM3" s="59"/>
      <c r="OSN3" s="59"/>
      <c r="OSO3" s="59"/>
      <c r="OSP3" s="59"/>
      <c r="OSQ3" s="59"/>
      <c r="OSR3" s="59"/>
      <c r="OSS3" s="59"/>
      <c r="OST3" s="59"/>
      <c r="OSU3" s="59"/>
      <c r="OSV3" s="59"/>
      <c r="OSW3" s="59"/>
      <c r="OSX3" s="59"/>
      <c r="OSY3" s="59"/>
      <c r="OSZ3" s="59"/>
      <c r="OTA3" s="59"/>
      <c r="OTB3" s="59"/>
      <c r="OTC3" s="59"/>
      <c r="OTD3" s="59"/>
      <c r="OTE3" s="59"/>
      <c r="OTF3" s="59"/>
      <c r="OTG3" s="59"/>
      <c r="OTH3" s="59"/>
      <c r="OTI3" s="59"/>
      <c r="OTJ3" s="59"/>
      <c r="OTK3" s="59"/>
      <c r="OTL3" s="59"/>
      <c r="OTM3" s="59"/>
      <c r="OTN3" s="59"/>
      <c r="OTO3" s="59"/>
      <c r="OTP3" s="59"/>
      <c r="OTQ3" s="59"/>
      <c r="OTR3" s="59"/>
      <c r="OTS3" s="59"/>
      <c r="OTT3" s="59"/>
      <c r="OTU3" s="59"/>
      <c r="OTV3" s="59"/>
      <c r="OTW3" s="59"/>
      <c r="OTX3" s="59"/>
      <c r="OTY3" s="59"/>
      <c r="OTZ3" s="59"/>
      <c r="OUA3" s="59"/>
      <c r="OUB3" s="59"/>
      <c r="OUC3" s="59"/>
      <c r="OUD3" s="59"/>
      <c r="OUE3" s="59"/>
      <c r="OUF3" s="59"/>
      <c r="OUG3" s="59"/>
      <c r="OUH3" s="59"/>
      <c r="OUI3" s="59"/>
      <c r="OUJ3" s="59"/>
      <c r="OUK3" s="59"/>
      <c r="OUL3" s="59"/>
      <c r="OUM3" s="59"/>
      <c r="OUN3" s="59"/>
      <c r="OUO3" s="59"/>
      <c r="OUP3" s="59"/>
      <c r="OUQ3" s="59"/>
      <c r="OUR3" s="59"/>
      <c r="OUS3" s="59"/>
      <c r="OUT3" s="59"/>
      <c r="OUU3" s="59"/>
      <c r="OUV3" s="59"/>
      <c r="OUW3" s="59"/>
      <c r="OUX3" s="59"/>
      <c r="OUY3" s="59"/>
      <c r="OUZ3" s="59"/>
      <c r="OVA3" s="59"/>
      <c r="OVB3" s="59"/>
      <c r="OVC3" s="59"/>
      <c r="OVD3" s="59"/>
      <c r="OVE3" s="59"/>
      <c r="OVF3" s="59"/>
      <c r="OVG3" s="59"/>
      <c r="OVH3" s="59"/>
      <c r="OVI3" s="59"/>
      <c r="OVJ3" s="59"/>
      <c r="OVK3" s="59"/>
      <c r="OVL3" s="59"/>
      <c r="OVM3" s="59"/>
      <c r="OVN3" s="59"/>
      <c r="OVO3" s="59"/>
      <c r="OVP3" s="59"/>
      <c r="OVQ3" s="59"/>
      <c r="OVR3" s="59"/>
      <c r="OVS3" s="59"/>
      <c r="OVT3" s="59"/>
      <c r="OVU3" s="59"/>
      <c r="OVV3" s="59"/>
      <c r="OVW3" s="59"/>
      <c r="OVX3" s="59"/>
      <c r="OVY3" s="59"/>
      <c r="OVZ3" s="59"/>
      <c r="OWA3" s="59"/>
      <c r="OWB3" s="59"/>
      <c r="OWC3" s="59"/>
      <c r="OWD3" s="59"/>
      <c r="OWE3" s="59"/>
      <c r="OWF3" s="59"/>
      <c r="OWG3" s="59"/>
      <c r="OWH3" s="59"/>
      <c r="OWI3" s="59"/>
      <c r="OWJ3" s="59"/>
      <c r="OWK3" s="59"/>
      <c r="OWL3" s="59"/>
      <c r="OWM3" s="59"/>
      <c r="OWN3" s="59"/>
      <c r="OWO3" s="59"/>
      <c r="OWP3" s="59"/>
      <c r="OWQ3" s="59"/>
      <c r="OWR3" s="59"/>
      <c r="OWS3" s="59"/>
      <c r="OWT3" s="59"/>
      <c r="OWU3" s="59"/>
      <c r="OWV3" s="59"/>
      <c r="OWW3" s="59"/>
      <c r="OWX3" s="59"/>
      <c r="OWY3" s="59"/>
      <c r="OWZ3" s="59"/>
      <c r="OXA3" s="59"/>
      <c r="OXB3" s="59"/>
      <c r="OXC3" s="59"/>
      <c r="OXD3" s="59"/>
      <c r="OXE3" s="59"/>
      <c r="OXF3" s="59"/>
      <c r="OXG3" s="59"/>
      <c r="OXH3" s="59"/>
      <c r="OXI3" s="59"/>
      <c r="OXJ3" s="59"/>
      <c r="OXK3" s="59"/>
      <c r="OXL3" s="59"/>
      <c r="OXM3" s="59"/>
      <c r="OXN3" s="59"/>
      <c r="OXO3" s="59"/>
      <c r="OXP3" s="59"/>
      <c r="OXQ3" s="59"/>
      <c r="OXR3" s="59"/>
      <c r="OXS3" s="59"/>
      <c r="OXT3" s="59"/>
      <c r="OXU3" s="59"/>
      <c r="OXV3" s="59"/>
      <c r="OXW3" s="59"/>
      <c r="OXX3" s="59"/>
      <c r="OXY3" s="59"/>
      <c r="OXZ3" s="59"/>
      <c r="OYA3" s="59"/>
      <c r="OYB3" s="59"/>
      <c r="OYC3" s="59"/>
      <c r="OYD3" s="59"/>
      <c r="OYE3" s="59"/>
      <c r="OYF3" s="59"/>
      <c r="OYG3" s="59"/>
      <c r="OYH3" s="59"/>
      <c r="OYI3" s="59"/>
      <c r="OYJ3" s="59"/>
      <c r="OYK3" s="59"/>
      <c r="OYL3" s="59"/>
      <c r="OYM3" s="59"/>
      <c r="OYN3" s="59"/>
      <c r="OYO3" s="59"/>
      <c r="OYP3" s="59"/>
      <c r="OYQ3" s="59"/>
      <c r="OYR3" s="59"/>
      <c r="OYS3" s="59"/>
      <c r="OYT3" s="59"/>
      <c r="OYU3" s="59"/>
      <c r="OYV3" s="59"/>
      <c r="OYW3" s="59"/>
      <c r="OYX3" s="59"/>
      <c r="OYY3" s="59"/>
      <c r="OYZ3" s="59"/>
      <c r="OZA3" s="59"/>
      <c r="OZB3" s="59"/>
      <c r="OZC3" s="59"/>
      <c r="OZD3" s="59"/>
      <c r="OZE3" s="59"/>
      <c r="OZF3" s="59"/>
      <c r="OZG3" s="59"/>
      <c r="OZH3" s="59"/>
      <c r="OZI3" s="59"/>
      <c r="OZJ3" s="59"/>
      <c r="OZK3" s="59"/>
      <c r="OZL3" s="59"/>
      <c r="OZM3" s="59"/>
      <c r="OZN3" s="59"/>
      <c r="OZO3" s="59"/>
      <c r="OZP3" s="59"/>
      <c r="OZQ3" s="59"/>
      <c r="OZR3" s="59"/>
      <c r="OZS3" s="59"/>
      <c r="OZT3" s="59"/>
      <c r="OZU3" s="59"/>
      <c r="OZV3" s="59"/>
      <c r="OZW3" s="59"/>
      <c r="OZX3" s="59"/>
      <c r="OZY3" s="59"/>
      <c r="OZZ3" s="59"/>
      <c r="PAA3" s="59"/>
      <c r="PAB3" s="59"/>
      <c r="PAC3" s="59"/>
      <c r="PAD3" s="59"/>
      <c r="PAE3" s="59"/>
      <c r="PAF3" s="59"/>
      <c r="PAG3" s="59"/>
      <c r="PAH3" s="59"/>
      <c r="PAI3" s="59"/>
      <c r="PAJ3" s="59"/>
      <c r="PAK3" s="59"/>
      <c r="PAL3" s="59"/>
      <c r="PAM3" s="59"/>
      <c r="PAN3" s="59"/>
      <c r="PAO3" s="59"/>
      <c r="PAP3" s="59"/>
      <c r="PAQ3" s="59"/>
      <c r="PAR3" s="59"/>
      <c r="PAS3" s="59"/>
      <c r="PAT3" s="59"/>
      <c r="PAU3" s="59"/>
      <c r="PAV3" s="59"/>
      <c r="PAW3" s="59"/>
      <c r="PAX3" s="59"/>
      <c r="PAY3" s="59"/>
      <c r="PAZ3" s="59"/>
      <c r="PBA3" s="59"/>
      <c r="PBB3" s="59"/>
      <c r="PBC3" s="59"/>
      <c r="PBD3" s="59"/>
      <c r="PBE3" s="59"/>
      <c r="PBF3" s="59"/>
      <c r="PBG3" s="59"/>
      <c r="PBH3" s="59"/>
      <c r="PBI3" s="59"/>
      <c r="PBJ3" s="59"/>
      <c r="PBK3" s="59"/>
      <c r="PBL3" s="59"/>
      <c r="PBM3" s="59"/>
      <c r="PBN3" s="59"/>
      <c r="PBO3" s="59"/>
      <c r="PBP3" s="59"/>
      <c r="PBQ3" s="59"/>
      <c r="PBR3" s="59"/>
      <c r="PBS3" s="59"/>
      <c r="PBT3" s="59"/>
      <c r="PBU3" s="59"/>
      <c r="PBV3" s="59"/>
      <c r="PBW3" s="59"/>
      <c r="PBX3" s="59"/>
      <c r="PBY3" s="59"/>
      <c r="PBZ3" s="59"/>
      <c r="PCA3" s="59"/>
      <c r="PCB3" s="59"/>
      <c r="PCC3" s="59"/>
      <c r="PCD3" s="59"/>
      <c r="PCE3" s="59"/>
      <c r="PCF3" s="59"/>
      <c r="PCG3" s="59"/>
      <c r="PCH3" s="59"/>
      <c r="PCI3" s="59"/>
      <c r="PCJ3" s="59"/>
      <c r="PCK3" s="59"/>
      <c r="PCL3" s="59"/>
      <c r="PCM3" s="59"/>
      <c r="PCN3" s="59"/>
      <c r="PCO3" s="59"/>
      <c r="PCP3" s="59"/>
      <c r="PCQ3" s="59"/>
      <c r="PCR3" s="59"/>
      <c r="PCS3" s="59"/>
      <c r="PCT3" s="59"/>
      <c r="PCU3" s="59"/>
      <c r="PCV3" s="59"/>
      <c r="PCW3" s="59"/>
      <c r="PCX3" s="59"/>
      <c r="PCY3" s="59"/>
      <c r="PCZ3" s="59"/>
      <c r="PDA3" s="59"/>
      <c r="PDB3" s="59"/>
      <c r="PDC3" s="59"/>
      <c r="PDD3" s="59"/>
      <c r="PDE3" s="59"/>
      <c r="PDF3" s="59"/>
      <c r="PDG3" s="59"/>
      <c r="PDH3" s="59"/>
      <c r="PDI3" s="59"/>
      <c r="PDJ3" s="59"/>
      <c r="PDK3" s="59"/>
      <c r="PDL3" s="59"/>
      <c r="PDM3" s="59"/>
      <c r="PDN3" s="59"/>
      <c r="PDO3" s="59"/>
      <c r="PDP3" s="59"/>
      <c r="PDQ3" s="59"/>
      <c r="PDR3" s="59"/>
      <c r="PDS3" s="59"/>
      <c r="PDT3" s="59"/>
      <c r="PDU3" s="59"/>
      <c r="PDV3" s="59"/>
      <c r="PDW3" s="59"/>
      <c r="PDX3" s="59"/>
      <c r="PDY3" s="59"/>
      <c r="PDZ3" s="59"/>
      <c r="PEA3" s="59"/>
      <c r="PEB3" s="59"/>
      <c r="PEC3" s="59"/>
      <c r="PED3" s="59"/>
      <c r="PEE3" s="59"/>
      <c r="PEF3" s="59"/>
      <c r="PEG3" s="59"/>
      <c r="PEH3" s="59"/>
      <c r="PEI3" s="59"/>
      <c r="PEJ3" s="59"/>
      <c r="PEK3" s="59"/>
      <c r="PEL3" s="59"/>
      <c r="PEM3" s="59"/>
      <c r="PEN3" s="59"/>
      <c r="PEO3" s="59"/>
      <c r="PEP3" s="59"/>
      <c r="PEQ3" s="59"/>
      <c r="PER3" s="59"/>
      <c r="PES3" s="59"/>
      <c r="PET3" s="59"/>
      <c r="PEU3" s="59"/>
      <c r="PEV3" s="59"/>
      <c r="PEW3" s="59"/>
      <c r="PEX3" s="59"/>
      <c r="PEY3" s="59"/>
      <c r="PEZ3" s="59"/>
      <c r="PFA3" s="59"/>
      <c r="PFB3" s="59"/>
      <c r="PFC3" s="59"/>
      <c r="PFD3" s="59"/>
      <c r="PFE3" s="59"/>
      <c r="PFF3" s="59"/>
      <c r="PFG3" s="59"/>
      <c r="PFH3" s="59"/>
      <c r="PFI3" s="59"/>
      <c r="PFJ3" s="59"/>
      <c r="PFK3" s="59"/>
      <c r="PFL3" s="59"/>
      <c r="PFM3" s="59"/>
      <c r="PFN3" s="59"/>
      <c r="PFO3" s="59"/>
      <c r="PFP3" s="59"/>
      <c r="PFQ3" s="59"/>
      <c r="PFR3" s="59"/>
      <c r="PFS3" s="59"/>
      <c r="PFT3" s="59"/>
      <c r="PFU3" s="59"/>
      <c r="PFV3" s="59"/>
      <c r="PFW3" s="59"/>
      <c r="PFX3" s="59"/>
      <c r="PFY3" s="59"/>
      <c r="PFZ3" s="59"/>
      <c r="PGA3" s="59"/>
      <c r="PGB3" s="59"/>
      <c r="PGC3" s="59"/>
      <c r="PGD3" s="59"/>
      <c r="PGE3" s="59"/>
      <c r="PGF3" s="59"/>
      <c r="PGG3" s="59"/>
      <c r="PGH3" s="59"/>
      <c r="PGI3" s="59"/>
      <c r="PGJ3" s="59"/>
      <c r="PGK3" s="59"/>
      <c r="PGL3" s="59"/>
      <c r="PGM3" s="59"/>
      <c r="PGN3" s="59"/>
      <c r="PGO3" s="59"/>
      <c r="PGP3" s="59"/>
      <c r="PGQ3" s="59"/>
      <c r="PGR3" s="59"/>
      <c r="PGS3" s="59"/>
      <c r="PGT3" s="59"/>
      <c r="PGU3" s="59"/>
      <c r="PGV3" s="59"/>
      <c r="PGW3" s="59"/>
      <c r="PGX3" s="59"/>
      <c r="PGY3" s="59"/>
      <c r="PGZ3" s="59"/>
      <c r="PHA3" s="59"/>
      <c r="PHB3" s="59"/>
      <c r="PHC3" s="59"/>
      <c r="PHD3" s="59"/>
      <c r="PHE3" s="59"/>
      <c r="PHF3" s="59"/>
      <c r="PHG3" s="59"/>
      <c r="PHH3" s="59"/>
      <c r="PHI3" s="59"/>
      <c r="PHJ3" s="59"/>
      <c r="PHK3" s="59"/>
      <c r="PHL3" s="59"/>
      <c r="PHM3" s="59"/>
      <c r="PHN3" s="59"/>
      <c r="PHO3" s="59"/>
      <c r="PHP3" s="59"/>
      <c r="PHQ3" s="59"/>
      <c r="PHR3" s="59"/>
      <c r="PHS3" s="59"/>
      <c r="PHT3" s="59"/>
      <c r="PHU3" s="59"/>
      <c r="PHV3" s="59"/>
      <c r="PHW3" s="59"/>
      <c r="PHX3" s="59"/>
      <c r="PHY3" s="59"/>
      <c r="PHZ3" s="59"/>
      <c r="PIA3" s="59"/>
      <c r="PIB3" s="59"/>
      <c r="PIC3" s="59"/>
      <c r="PID3" s="59"/>
      <c r="PIE3" s="59"/>
      <c r="PIF3" s="59"/>
      <c r="PIG3" s="59"/>
      <c r="PIH3" s="59"/>
      <c r="PII3" s="59"/>
      <c r="PIJ3" s="59"/>
      <c r="PIK3" s="59"/>
      <c r="PIL3" s="59"/>
      <c r="PIM3" s="59"/>
      <c r="PIN3" s="59"/>
      <c r="PIO3" s="59"/>
      <c r="PIP3" s="59"/>
      <c r="PIQ3" s="59"/>
      <c r="PIR3" s="59"/>
      <c r="PIS3" s="59"/>
      <c r="PIT3" s="59"/>
      <c r="PIU3" s="59"/>
      <c r="PIV3" s="59"/>
      <c r="PIW3" s="59"/>
      <c r="PIX3" s="59"/>
      <c r="PIY3" s="59"/>
      <c r="PIZ3" s="59"/>
      <c r="PJA3" s="59"/>
      <c r="PJB3" s="59"/>
      <c r="PJC3" s="59"/>
      <c r="PJD3" s="59"/>
      <c r="PJE3" s="59"/>
      <c r="PJF3" s="59"/>
      <c r="PJG3" s="59"/>
      <c r="PJH3" s="59"/>
      <c r="PJI3" s="59"/>
      <c r="PJJ3" s="59"/>
      <c r="PJK3" s="59"/>
      <c r="PJL3" s="59"/>
      <c r="PJM3" s="59"/>
      <c r="PJN3" s="59"/>
      <c r="PJO3" s="59"/>
      <c r="PJP3" s="59"/>
      <c r="PJQ3" s="59"/>
      <c r="PJR3" s="59"/>
      <c r="PJS3" s="59"/>
      <c r="PJT3" s="59"/>
      <c r="PJU3" s="59"/>
      <c r="PJV3" s="59"/>
      <c r="PJW3" s="59"/>
      <c r="PJX3" s="59"/>
      <c r="PJY3" s="59"/>
      <c r="PJZ3" s="59"/>
      <c r="PKA3" s="59"/>
      <c r="PKB3" s="59"/>
      <c r="PKC3" s="59"/>
      <c r="PKD3" s="59"/>
      <c r="PKE3" s="59"/>
      <c r="PKF3" s="59"/>
      <c r="PKG3" s="59"/>
      <c r="PKH3" s="59"/>
      <c r="PKI3" s="59"/>
      <c r="PKJ3" s="59"/>
      <c r="PKK3" s="59"/>
      <c r="PKL3" s="59"/>
      <c r="PKM3" s="59"/>
      <c r="PKN3" s="59"/>
      <c r="PKO3" s="59"/>
      <c r="PKP3" s="59"/>
      <c r="PKQ3" s="59"/>
      <c r="PKR3" s="59"/>
      <c r="PKS3" s="59"/>
      <c r="PKT3" s="59"/>
      <c r="PKU3" s="59"/>
      <c r="PKV3" s="59"/>
      <c r="PKW3" s="59"/>
      <c r="PKX3" s="59"/>
      <c r="PKY3" s="59"/>
      <c r="PKZ3" s="59"/>
      <c r="PLA3" s="59"/>
      <c r="PLB3" s="59"/>
      <c r="PLC3" s="59"/>
      <c r="PLD3" s="59"/>
      <c r="PLE3" s="59"/>
      <c r="PLF3" s="59"/>
      <c r="PLG3" s="59"/>
      <c r="PLH3" s="59"/>
      <c r="PLI3" s="59"/>
      <c r="PLJ3" s="59"/>
      <c r="PLK3" s="59"/>
      <c r="PLL3" s="59"/>
      <c r="PLM3" s="59"/>
      <c r="PLN3" s="59"/>
      <c r="PLO3" s="59"/>
      <c r="PLP3" s="59"/>
      <c r="PLQ3" s="59"/>
      <c r="PLR3" s="59"/>
      <c r="PLS3" s="59"/>
      <c r="PLT3" s="59"/>
      <c r="PLU3" s="59"/>
      <c r="PLV3" s="59"/>
      <c r="PLW3" s="59"/>
      <c r="PLX3" s="59"/>
      <c r="PLY3" s="59"/>
      <c r="PLZ3" s="59"/>
      <c r="PMA3" s="59"/>
      <c r="PMB3" s="59"/>
      <c r="PMC3" s="59"/>
      <c r="PMD3" s="59"/>
      <c r="PME3" s="59"/>
      <c r="PMF3" s="59"/>
      <c r="PMG3" s="59"/>
      <c r="PMH3" s="59"/>
      <c r="PMI3" s="59"/>
      <c r="PMJ3" s="59"/>
      <c r="PMK3" s="59"/>
      <c r="PML3" s="59"/>
      <c r="PMM3" s="59"/>
      <c r="PMN3" s="59"/>
      <c r="PMO3" s="59"/>
      <c r="PMP3" s="59"/>
      <c r="PMQ3" s="59"/>
      <c r="PMR3" s="59"/>
      <c r="PMS3" s="59"/>
      <c r="PMT3" s="59"/>
      <c r="PMU3" s="59"/>
      <c r="PMV3" s="59"/>
      <c r="PMW3" s="59"/>
      <c r="PMX3" s="59"/>
      <c r="PMY3" s="59"/>
      <c r="PMZ3" s="59"/>
      <c r="PNA3" s="59"/>
      <c r="PNB3" s="59"/>
      <c r="PNC3" s="59"/>
      <c r="PND3" s="59"/>
      <c r="PNE3" s="59"/>
      <c r="PNF3" s="59"/>
      <c r="PNG3" s="59"/>
      <c r="PNH3" s="59"/>
      <c r="PNI3" s="59"/>
      <c r="PNJ3" s="59"/>
      <c r="PNK3" s="59"/>
      <c r="PNL3" s="59"/>
      <c r="PNM3" s="59"/>
      <c r="PNN3" s="59"/>
      <c r="PNO3" s="59"/>
      <c r="PNP3" s="59"/>
      <c r="PNQ3" s="59"/>
      <c r="PNR3" s="59"/>
      <c r="PNS3" s="59"/>
      <c r="PNT3" s="59"/>
      <c r="PNU3" s="59"/>
      <c r="PNV3" s="59"/>
      <c r="PNW3" s="59"/>
      <c r="PNX3" s="59"/>
      <c r="PNY3" s="59"/>
      <c r="PNZ3" s="59"/>
      <c r="POA3" s="59"/>
      <c r="POB3" s="59"/>
      <c r="POC3" s="59"/>
      <c r="POD3" s="59"/>
      <c r="POE3" s="59"/>
      <c r="POF3" s="59"/>
      <c r="POG3" s="59"/>
      <c r="POH3" s="59"/>
      <c r="POI3" s="59"/>
      <c r="POJ3" s="59"/>
      <c r="POK3" s="59"/>
      <c r="POL3" s="59"/>
      <c r="POM3" s="59"/>
      <c r="PON3" s="59"/>
      <c r="POO3" s="59"/>
      <c r="POP3" s="59"/>
      <c r="POQ3" s="59"/>
      <c r="POR3" s="59"/>
      <c r="POS3" s="59"/>
      <c r="POT3" s="59"/>
      <c r="POU3" s="59"/>
      <c r="POV3" s="59"/>
      <c r="POW3" s="59"/>
      <c r="POX3" s="59"/>
      <c r="POY3" s="59"/>
      <c r="POZ3" s="59"/>
      <c r="PPA3" s="59"/>
      <c r="PPB3" s="59"/>
      <c r="PPC3" s="59"/>
      <c r="PPD3" s="59"/>
      <c r="PPE3" s="59"/>
      <c r="PPF3" s="59"/>
      <c r="PPG3" s="59"/>
      <c r="PPH3" s="59"/>
      <c r="PPI3" s="59"/>
      <c r="PPJ3" s="59"/>
      <c r="PPK3" s="59"/>
      <c r="PPL3" s="59"/>
      <c r="PPM3" s="59"/>
      <c r="PPN3" s="59"/>
      <c r="PPO3" s="59"/>
      <c r="PPP3" s="59"/>
      <c r="PPQ3" s="59"/>
      <c r="PPR3" s="59"/>
      <c r="PPS3" s="59"/>
      <c r="PPT3" s="59"/>
      <c r="PPU3" s="59"/>
      <c r="PPV3" s="59"/>
      <c r="PPW3" s="59"/>
      <c r="PPX3" s="59"/>
      <c r="PPY3" s="59"/>
      <c r="PPZ3" s="59"/>
      <c r="PQA3" s="59"/>
      <c r="PQB3" s="59"/>
      <c r="PQC3" s="59"/>
      <c r="PQD3" s="59"/>
      <c r="PQE3" s="59"/>
      <c r="PQF3" s="59"/>
      <c r="PQG3" s="59"/>
      <c r="PQH3" s="59"/>
      <c r="PQI3" s="59"/>
      <c r="PQJ3" s="59"/>
      <c r="PQK3" s="59"/>
      <c r="PQL3" s="59"/>
      <c r="PQM3" s="59"/>
      <c r="PQN3" s="59"/>
      <c r="PQO3" s="59"/>
      <c r="PQP3" s="59"/>
      <c r="PQQ3" s="59"/>
      <c r="PQR3" s="59"/>
      <c r="PQS3" s="59"/>
      <c r="PQT3" s="59"/>
      <c r="PQU3" s="59"/>
      <c r="PQV3" s="59"/>
      <c r="PQW3" s="59"/>
      <c r="PQX3" s="59"/>
      <c r="PQY3" s="59"/>
      <c r="PQZ3" s="59"/>
      <c r="PRA3" s="59"/>
      <c r="PRB3" s="59"/>
      <c r="PRC3" s="59"/>
      <c r="PRD3" s="59"/>
      <c r="PRE3" s="59"/>
      <c r="PRF3" s="59"/>
      <c r="PRG3" s="59"/>
      <c r="PRH3" s="59"/>
      <c r="PRI3" s="59"/>
      <c r="PRJ3" s="59"/>
      <c r="PRK3" s="59"/>
      <c r="PRL3" s="59"/>
      <c r="PRM3" s="59"/>
      <c r="PRN3" s="59"/>
      <c r="PRO3" s="59"/>
      <c r="PRP3" s="59"/>
      <c r="PRQ3" s="59"/>
      <c r="PRR3" s="59"/>
      <c r="PRS3" s="59"/>
      <c r="PRT3" s="59"/>
      <c r="PRU3" s="59"/>
      <c r="PRV3" s="59"/>
      <c r="PRW3" s="59"/>
      <c r="PRX3" s="59"/>
      <c r="PRY3" s="59"/>
      <c r="PRZ3" s="59"/>
      <c r="PSA3" s="59"/>
      <c r="PSB3" s="59"/>
      <c r="PSC3" s="59"/>
      <c r="PSD3" s="59"/>
      <c r="PSE3" s="59"/>
      <c r="PSF3" s="59"/>
      <c r="PSG3" s="59"/>
      <c r="PSH3" s="59"/>
      <c r="PSI3" s="59"/>
      <c r="PSJ3" s="59"/>
      <c r="PSK3" s="59"/>
      <c r="PSL3" s="59"/>
      <c r="PSM3" s="59"/>
      <c r="PSN3" s="59"/>
      <c r="PSO3" s="59"/>
      <c r="PSP3" s="59"/>
      <c r="PSQ3" s="59"/>
      <c r="PSR3" s="59"/>
      <c r="PSS3" s="59"/>
      <c r="PST3" s="59"/>
      <c r="PSU3" s="59"/>
      <c r="PSV3" s="59"/>
      <c r="PSW3" s="59"/>
      <c r="PSX3" s="59"/>
      <c r="PSY3" s="59"/>
      <c r="PSZ3" s="59"/>
      <c r="PTA3" s="59"/>
      <c r="PTB3" s="59"/>
      <c r="PTC3" s="59"/>
      <c r="PTD3" s="59"/>
      <c r="PTE3" s="59"/>
      <c r="PTF3" s="59"/>
      <c r="PTG3" s="59"/>
      <c r="PTH3" s="59"/>
      <c r="PTI3" s="59"/>
      <c r="PTJ3" s="59"/>
      <c r="PTK3" s="59"/>
      <c r="PTL3" s="59"/>
      <c r="PTM3" s="59"/>
      <c r="PTN3" s="59"/>
      <c r="PTO3" s="59"/>
      <c r="PTP3" s="59"/>
      <c r="PTQ3" s="59"/>
      <c r="PTR3" s="59"/>
      <c r="PTS3" s="59"/>
      <c r="PTT3" s="59"/>
      <c r="PTU3" s="59"/>
      <c r="PTV3" s="59"/>
      <c r="PTW3" s="59"/>
      <c r="PTX3" s="59"/>
      <c r="PTY3" s="59"/>
      <c r="PTZ3" s="59"/>
      <c r="PUA3" s="59"/>
      <c r="PUB3" s="59"/>
      <c r="PUC3" s="59"/>
      <c r="PUD3" s="59"/>
      <c r="PUE3" s="59"/>
      <c r="PUF3" s="59"/>
      <c r="PUG3" s="59"/>
      <c r="PUH3" s="59"/>
      <c r="PUI3" s="59"/>
      <c r="PUJ3" s="59"/>
      <c r="PUK3" s="59"/>
      <c r="PUL3" s="59"/>
      <c r="PUM3" s="59"/>
      <c r="PUN3" s="59"/>
      <c r="PUO3" s="59"/>
      <c r="PUP3" s="59"/>
      <c r="PUQ3" s="59"/>
      <c r="PUR3" s="59"/>
      <c r="PUS3" s="59"/>
      <c r="PUT3" s="59"/>
      <c r="PUU3" s="59"/>
      <c r="PUV3" s="59"/>
      <c r="PUW3" s="59"/>
      <c r="PUX3" s="59"/>
      <c r="PUY3" s="59"/>
      <c r="PUZ3" s="59"/>
      <c r="PVA3" s="59"/>
      <c r="PVB3" s="59"/>
      <c r="PVC3" s="59"/>
      <c r="PVD3" s="59"/>
      <c r="PVE3" s="59"/>
      <c r="PVF3" s="59"/>
      <c r="PVG3" s="59"/>
      <c r="PVH3" s="59"/>
      <c r="PVI3" s="59"/>
      <c r="PVJ3" s="59"/>
      <c r="PVK3" s="59"/>
      <c r="PVL3" s="59"/>
      <c r="PVM3" s="59"/>
      <c r="PVN3" s="59"/>
      <c r="PVO3" s="59"/>
      <c r="PVP3" s="59"/>
      <c r="PVQ3" s="59"/>
      <c r="PVR3" s="59"/>
      <c r="PVS3" s="59"/>
      <c r="PVT3" s="59"/>
      <c r="PVU3" s="59"/>
      <c r="PVV3" s="59"/>
      <c r="PVW3" s="59"/>
      <c r="PVX3" s="59"/>
      <c r="PVY3" s="59"/>
      <c r="PVZ3" s="59"/>
      <c r="PWA3" s="59"/>
      <c r="PWB3" s="59"/>
      <c r="PWC3" s="59"/>
      <c r="PWD3" s="59"/>
      <c r="PWE3" s="59"/>
      <c r="PWF3" s="59"/>
      <c r="PWG3" s="59"/>
      <c r="PWH3" s="59"/>
      <c r="PWI3" s="59"/>
      <c r="PWJ3" s="59"/>
      <c r="PWK3" s="59"/>
      <c r="PWL3" s="59"/>
      <c r="PWM3" s="59"/>
      <c r="PWN3" s="59"/>
      <c r="PWO3" s="59"/>
      <c r="PWP3" s="59"/>
      <c r="PWQ3" s="59"/>
      <c r="PWR3" s="59"/>
      <c r="PWS3" s="59"/>
      <c r="PWT3" s="59"/>
      <c r="PWU3" s="59"/>
      <c r="PWV3" s="59"/>
      <c r="PWW3" s="59"/>
      <c r="PWX3" s="59"/>
      <c r="PWY3" s="59"/>
      <c r="PWZ3" s="59"/>
      <c r="PXA3" s="59"/>
      <c r="PXB3" s="59"/>
      <c r="PXC3" s="59"/>
      <c r="PXD3" s="59"/>
      <c r="PXE3" s="59"/>
      <c r="PXF3" s="59"/>
      <c r="PXG3" s="59"/>
      <c r="PXH3" s="59"/>
      <c r="PXI3" s="59"/>
      <c r="PXJ3" s="59"/>
      <c r="PXK3" s="59"/>
      <c r="PXL3" s="59"/>
      <c r="PXM3" s="59"/>
      <c r="PXN3" s="59"/>
      <c r="PXO3" s="59"/>
      <c r="PXP3" s="59"/>
      <c r="PXQ3" s="59"/>
      <c r="PXR3" s="59"/>
      <c r="PXS3" s="59"/>
      <c r="PXT3" s="59"/>
      <c r="PXU3" s="59"/>
      <c r="PXV3" s="59"/>
      <c r="PXW3" s="59"/>
      <c r="PXX3" s="59"/>
      <c r="PXY3" s="59"/>
      <c r="PXZ3" s="59"/>
      <c r="PYA3" s="59"/>
      <c r="PYB3" s="59"/>
      <c r="PYC3" s="59"/>
      <c r="PYD3" s="59"/>
      <c r="PYE3" s="59"/>
      <c r="PYF3" s="59"/>
      <c r="PYG3" s="59"/>
      <c r="PYH3" s="59"/>
      <c r="PYI3" s="59"/>
      <c r="PYJ3" s="59"/>
      <c r="PYK3" s="59"/>
      <c r="PYL3" s="59"/>
      <c r="PYM3" s="59"/>
      <c r="PYN3" s="59"/>
      <c r="PYO3" s="59"/>
      <c r="PYP3" s="59"/>
      <c r="PYQ3" s="59"/>
      <c r="PYR3" s="59"/>
      <c r="PYS3" s="59"/>
      <c r="PYT3" s="59"/>
      <c r="PYU3" s="59"/>
      <c r="PYV3" s="59"/>
      <c r="PYW3" s="59"/>
      <c r="PYX3" s="59"/>
      <c r="PYY3" s="59"/>
      <c r="PYZ3" s="59"/>
      <c r="PZA3" s="59"/>
      <c r="PZB3" s="59"/>
      <c r="PZC3" s="59"/>
      <c r="PZD3" s="59"/>
      <c r="PZE3" s="59"/>
      <c r="PZF3" s="59"/>
      <c r="PZG3" s="59"/>
      <c r="PZH3" s="59"/>
      <c r="PZI3" s="59"/>
      <c r="PZJ3" s="59"/>
      <c r="PZK3" s="59"/>
      <c r="PZL3" s="59"/>
      <c r="PZM3" s="59"/>
      <c r="PZN3" s="59"/>
      <c r="PZO3" s="59"/>
      <c r="PZP3" s="59"/>
      <c r="PZQ3" s="59"/>
      <c r="PZR3" s="59"/>
      <c r="PZS3" s="59"/>
      <c r="PZT3" s="59"/>
      <c r="PZU3" s="59"/>
      <c r="PZV3" s="59"/>
      <c r="PZW3" s="59"/>
      <c r="PZX3" s="59"/>
      <c r="PZY3" s="59"/>
      <c r="PZZ3" s="59"/>
      <c r="QAA3" s="59"/>
      <c r="QAB3" s="59"/>
      <c r="QAC3" s="59"/>
      <c r="QAD3" s="59"/>
      <c r="QAE3" s="59"/>
      <c r="QAF3" s="59"/>
      <c r="QAG3" s="59"/>
      <c r="QAH3" s="59"/>
      <c r="QAI3" s="59"/>
      <c r="QAJ3" s="59"/>
      <c r="QAK3" s="59"/>
      <c r="QAL3" s="59"/>
      <c r="QAM3" s="59"/>
      <c r="QAN3" s="59"/>
      <c r="QAO3" s="59"/>
      <c r="QAP3" s="59"/>
      <c r="QAQ3" s="59"/>
      <c r="QAR3" s="59"/>
      <c r="QAS3" s="59"/>
      <c r="QAT3" s="59"/>
      <c r="QAU3" s="59"/>
      <c r="QAV3" s="59"/>
      <c r="QAW3" s="59"/>
      <c r="QAX3" s="59"/>
      <c r="QAY3" s="59"/>
      <c r="QAZ3" s="59"/>
      <c r="QBA3" s="59"/>
      <c r="QBB3" s="59"/>
      <c r="QBC3" s="59"/>
      <c r="QBD3" s="59"/>
      <c r="QBE3" s="59"/>
      <c r="QBF3" s="59"/>
      <c r="QBG3" s="59"/>
      <c r="QBH3" s="59"/>
      <c r="QBI3" s="59"/>
      <c r="QBJ3" s="59"/>
      <c r="QBK3" s="59"/>
      <c r="QBL3" s="59"/>
      <c r="QBM3" s="59"/>
      <c r="QBN3" s="59"/>
      <c r="QBO3" s="59"/>
      <c r="QBP3" s="59"/>
      <c r="QBQ3" s="59"/>
      <c r="QBR3" s="59"/>
      <c r="QBS3" s="59"/>
      <c r="QBT3" s="59"/>
      <c r="QBU3" s="59"/>
      <c r="QBV3" s="59"/>
      <c r="QBW3" s="59"/>
      <c r="QBX3" s="59"/>
      <c r="QBY3" s="59"/>
      <c r="QBZ3" s="59"/>
      <c r="QCA3" s="59"/>
      <c r="QCB3" s="59"/>
      <c r="QCC3" s="59"/>
      <c r="QCD3" s="59"/>
      <c r="QCE3" s="59"/>
      <c r="QCF3" s="59"/>
      <c r="QCG3" s="59"/>
      <c r="QCH3" s="59"/>
      <c r="QCI3" s="59"/>
      <c r="QCJ3" s="59"/>
      <c r="QCK3" s="59"/>
      <c r="QCL3" s="59"/>
      <c r="QCM3" s="59"/>
      <c r="QCN3" s="59"/>
      <c r="QCO3" s="59"/>
      <c r="QCP3" s="59"/>
      <c r="QCQ3" s="59"/>
      <c r="QCR3" s="59"/>
      <c r="QCS3" s="59"/>
      <c r="QCT3" s="59"/>
      <c r="QCU3" s="59"/>
      <c r="QCV3" s="59"/>
      <c r="QCW3" s="59"/>
      <c r="QCX3" s="59"/>
      <c r="QCY3" s="59"/>
      <c r="QCZ3" s="59"/>
      <c r="QDA3" s="59"/>
      <c r="QDB3" s="59"/>
      <c r="QDC3" s="59"/>
      <c r="QDD3" s="59"/>
      <c r="QDE3" s="59"/>
      <c r="QDF3" s="59"/>
      <c r="QDG3" s="59"/>
      <c r="QDH3" s="59"/>
      <c r="QDI3" s="59"/>
      <c r="QDJ3" s="59"/>
      <c r="QDK3" s="59"/>
      <c r="QDL3" s="59"/>
      <c r="QDM3" s="59"/>
      <c r="QDN3" s="59"/>
      <c r="QDO3" s="59"/>
      <c r="QDP3" s="59"/>
      <c r="QDQ3" s="59"/>
      <c r="QDR3" s="59"/>
      <c r="QDS3" s="59"/>
      <c r="QDT3" s="59"/>
      <c r="QDU3" s="59"/>
      <c r="QDV3" s="59"/>
      <c r="QDW3" s="59"/>
      <c r="QDX3" s="59"/>
      <c r="QDY3" s="59"/>
      <c r="QDZ3" s="59"/>
      <c r="QEA3" s="59"/>
      <c r="QEB3" s="59"/>
      <c r="QEC3" s="59"/>
      <c r="QED3" s="59"/>
      <c r="QEE3" s="59"/>
      <c r="QEF3" s="59"/>
      <c r="QEG3" s="59"/>
      <c r="QEH3" s="59"/>
      <c r="QEI3" s="59"/>
      <c r="QEJ3" s="59"/>
      <c r="QEK3" s="59"/>
      <c r="QEL3" s="59"/>
      <c r="QEM3" s="59"/>
      <c r="QEN3" s="59"/>
      <c r="QEO3" s="59"/>
      <c r="QEP3" s="59"/>
      <c r="QEQ3" s="59"/>
      <c r="QER3" s="59"/>
      <c r="QES3" s="59"/>
      <c r="QET3" s="59"/>
      <c r="QEU3" s="59"/>
      <c r="QEV3" s="59"/>
      <c r="QEW3" s="59"/>
      <c r="QEX3" s="59"/>
      <c r="QEY3" s="59"/>
      <c r="QEZ3" s="59"/>
      <c r="QFA3" s="59"/>
      <c r="QFB3" s="59"/>
      <c r="QFC3" s="59"/>
      <c r="QFD3" s="59"/>
      <c r="QFE3" s="59"/>
      <c r="QFF3" s="59"/>
      <c r="QFG3" s="59"/>
      <c r="QFH3" s="59"/>
      <c r="QFI3" s="59"/>
      <c r="QFJ3" s="59"/>
      <c r="QFK3" s="59"/>
      <c r="QFL3" s="59"/>
      <c r="QFM3" s="59"/>
      <c r="QFN3" s="59"/>
      <c r="QFO3" s="59"/>
      <c r="QFP3" s="59"/>
      <c r="QFQ3" s="59"/>
      <c r="QFR3" s="59"/>
      <c r="QFS3" s="59"/>
      <c r="QFT3" s="59"/>
      <c r="QFU3" s="59"/>
      <c r="QFV3" s="59"/>
      <c r="QFW3" s="59"/>
      <c r="QFX3" s="59"/>
      <c r="QFY3" s="59"/>
      <c r="QFZ3" s="59"/>
      <c r="QGA3" s="59"/>
      <c r="QGB3" s="59"/>
      <c r="QGC3" s="59"/>
      <c r="QGD3" s="59"/>
      <c r="QGE3" s="59"/>
      <c r="QGF3" s="59"/>
      <c r="QGG3" s="59"/>
      <c r="QGH3" s="59"/>
      <c r="QGI3" s="59"/>
      <c r="QGJ3" s="59"/>
      <c r="QGK3" s="59"/>
      <c r="QGL3" s="59"/>
      <c r="QGM3" s="59"/>
      <c r="QGN3" s="59"/>
      <c r="QGO3" s="59"/>
      <c r="QGP3" s="59"/>
      <c r="QGQ3" s="59"/>
      <c r="QGR3" s="59"/>
      <c r="QGS3" s="59"/>
      <c r="QGT3" s="59"/>
      <c r="QGU3" s="59"/>
      <c r="QGV3" s="59"/>
      <c r="QGW3" s="59"/>
      <c r="QGX3" s="59"/>
      <c r="QGY3" s="59"/>
      <c r="QGZ3" s="59"/>
      <c r="QHA3" s="59"/>
      <c r="QHB3" s="59"/>
      <c r="QHC3" s="59"/>
      <c r="QHD3" s="59"/>
      <c r="QHE3" s="59"/>
      <c r="QHF3" s="59"/>
      <c r="QHG3" s="59"/>
      <c r="QHH3" s="59"/>
      <c r="QHI3" s="59"/>
      <c r="QHJ3" s="59"/>
      <c r="QHK3" s="59"/>
      <c r="QHL3" s="59"/>
      <c r="QHM3" s="59"/>
      <c r="QHN3" s="59"/>
      <c r="QHO3" s="59"/>
      <c r="QHP3" s="59"/>
      <c r="QHQ3" s="59"/>
      <c r="QHR3" s="59"/>
      <c r="QHS3" s="59"/>
      <c r="QHT3" s="59"/>
      <c r="QHU3" s="59"/>
      <c r="QHV3" s="59"/>
      <c r="QHW3" s="59"/>
      <c r="QHX3" s="59"/>
      <c r="QHY3" s="59"/>
      <c r="QHZ3" s="59"/>
      <c r="QIA3" s="59"/>
      <c r="QIB3" s="59"/>
      <c r="QIC3" s="59"/>
      <c r="QID3" s="59"/>
      <c r="QIE3" s="59"/>
      <c r="QIF3" s="59"/>
      <c r="QIG3" s="59"/>
      <c r="QIH3" s="59"/>
      <c r="QII3" s="59"/>
      <c r="QIJ3" s="59"/>
      <c r="QIK3" s="59"/>
      <c r="QIL3" s="59"/>
      <c r="QIM3" s="59"/>
      <c r="QIN3" s="59"/>
      <c r="QIO3" s="59"/>
      <c r="QIP3" s="59"/>
      <c r="QIQ3" s="59"/>
      <c r="QIR3" s="59"/>
      <c r="QIS3" s="59"/>
      <c r="QIT3" s="59"/>
      <c r="QIU3" s="59"/>
      <c r="QIV3" s="59"/>
      <c r="QIW3" s="59"/>
      <c r="QIX3" s="59"/>
      <c r="QIY3" s="59"/>
      <c r="QIZ3" s="59"/>
      <c r="QJA3" s="59"/>
      <c r="QJB3" s="59"/>
      <c r="QJC3" s="59"/>
      <c r="QJD3" s="59"/>
      <c r="QJE3" s="59"/>
      <c r="QJF3" s="59"/>
      <c r="QJG3" s="59"/>
      <c r="QJH3" s="59"/>
      <c r="QJI3" s="59"/>
      <c r="QJJ3" s="59"/>
      <c r="QJK3" s="59"/>
      <c r="QJL3" s="59"/>
      <c r="QJM3" s="59"/>
      <c r="QJN3" s="59"/>
      <c r="QJO3" s="59"/>
      <c r="QJP3" s="59"/>
      <c r="QJQ3" s="59"/>
      <c r="QJR3" s="59"/>
      <c r="QJS3" s="59"/>
      <c r="QJT3" s="59"/>
      <c r="QJU3" s="59"/>
      <c r="QJV3" s="59"/>
      <c r="QJW3" s="59"/>
      <c r="QJX3" s="59"/>
      <c r="QJY3" s="59"/>
      <c r="QJZ3" s="59"/>
      <c r="QKA3" s="59"/>
      <c r="QKB3" s="59"/>
      <c r="QKC3" s="59"/>
      <c r="QKD3" s="59"/>
      <c r="QKE3" s="59"/>
      <c r="QKF3" s="59"/>
      <c r="QKG3" s="59"/>
      <c r="QKH3" s="59"/>
      <c r="QKI3" s="59"/>
      <c r="QKJ3" s="59"/>
      <c r="QKK3" s="59"/>
      <c r="QKL3" s="59"/>
      <c r="QKM3" s="59"/>
      <c r="QKN3" s="59"/>
      <c r="QKO3" s="59"/>
      <c r="QKP3" s="59"/>
      <c r="QKQ3" s="59"/>
      <c r="QKR3" s="59"/>
      <c r="QKS3" s="59"/>
      <c r="QKT3" s="59"/>
      <c r="QKU3" s="59"/>
      <c r="QKV3" s="59"/>
      <c r="QKW3" s="59"/>
      <c r="QKX3" s="59"/>
      <c r="QKY3" s="59"/>
      <c r="QKZ3" s="59"/>
      <c r="QLA3" s="59"/>
      <c r="QLB3" s="59"/>
      <c r="QLC3" s="59"/>
      <c r="QLD3" s="59"/>
      <c r="QLE3" s="59"/>
      <c r="QLF3" s="59"/>
      <c r="QLG3" s="59"/>
      <c r="QLH3" s="59"/>
      <c r="QLI3" s="59"/>
      <c r="QLJ3" s="59"/>
      <c r="QLK3" s="59"/>
      <c r="QLL3" s="59"/>
      <c r="QLM3" s="59"/>
      <c r="QLN3" s="59"/>
      <c r="QLO3" s="59"/>
      <c r="QLP3" s="59"/>
      <c r="QLQ3" s="59"/>
      <c r="QLR3" s="59"/>
      <c r="QLS3" s="59"/>
      <c r="QLT3" s="59"/>
      <c r="QLU3" s="59"/>
      <c r="QLV3" s="59"/>
      <c r="QLW3" s="59"/>
      <c r="QLX3" s="59"/>
      <c r="QLY3" s="59"/>
      <c r="QLZ3" s="59"/>
      <c r="QMA3" s="59"/>
      <c r="QMB3" s="59"/>
      <c r="QMC3" s="59"/>
      <c r="QMD3" s="59"/>
      <c r="QME3" s="59"/>
      <c r="QMF3" s="59"/>
      <c r="QMG3" s="59"/>
      <c r="QMH3" s="59"/>
      <c r="QMI3" s="59"/>
      <c r="QMJ3" s="59"/>
      <c r="QMK3" s="59"/>
      <c r="QML3" s="59"/>
      <c r="QMM3" s="59"/>
      <c r="QMN3" s="59"/>
      <c r="QMO3" s="59"/>
      <c r="QMP3" s="59"/>
      <c r="QMQ3" s="59"/>
      <c r="QMR3" s="59"/>
      <c r="QMS3" s="59"/>
      <c r="QMT3" s="59"/>
      <c r="QMU3" s="59"/>
      <c r="QMV3" s="59"/>
      <c r="QMW3" s="59"/>
      <c r="QMX3" s="59"/>
      <c r="QMY3" s="59"/>
      <c r="QMZ3" s="59"/>
      <c r="QNA3" s="59"/>
      <c r="QNB3" s="59"/>
      <c r="QNC3" s="59"/>
      <c r="QND3" s="59"/>
      <c r="QNE3" s="59"/>
      <c r="QNF3" s="59"/>
      <c r="QNG3" s="59"/>
      <c r="QNH3" s="59"/>
      <c r="QNI3" s="59"/>
      <c r="QNJ3" s="59"/>
      <c r="QNK3" s="59"/>
      <c r="QNL3" s="59"/>
      <c r="QNM3" s="59"/>
      <c r="QNN3" s="59"/>
      <c r="QNO3" s="59"/>
      <c r="QNP3" s="59"/>
      <c r="QNQ3" s="59"/>
      <c r="QNR3" s="59"/>
      <c r="QNS3" s="59"/>
      <c r="QNT3" s="59"/>
      <c r="QNU3" s="59"/>
      <c r="QNV3" s="59"/>
      <c r="QNW3" s="59"/>
      <c r="QNX3" s="59"/>
      <c r="QNY3" s="59"/>
      <c r="QNZ3" s="59"/>
      <c r="QOA3" s="59"/>
      <c r="QOB3" s="59"/>
      <c r="QOC3" s="59"/>
      <c r="QOD3" s="59"/>
      <c r="QOE3" s="59"/>
      <c r="QOF3" s="59"/>
      <c r="QOG3" s="59"/>
      <c r="QOH3" s="59"/>
      <c r="QOI3" s="59"/>
      <c r="QOJ3" s="59"/>
      <c r="QOK3" s="59"/>
      <c r="QOL3" s="59"/>
      <c r="QOM3" s="59"/>
      <c r="QON3" s="59"/>
      <c r="QOO3" s="59"/>
      <c r="QOP3" s="59"/>
      <c r="QOQ3" s="59"/>
      <c r="QOR3" s="59"/>
      <c r="QOS3" s="59"/>
      <c r="QOT3" s="59"/>
      <c r="QOU3" s="59"/>
      <c r="QOV3" s="59"/>
      <c r="QOW3" s="59"/>
      <c r="QOX3" s="59"/>
      <c r="QOY3" s="59"/>
      <c r="QOZ3" s="59"/>
      <c r="QPA3" s="59"/>
      <c r="QPB3" s="59"/>
      <c r="QPC3" s="59"/>
      <c r="QPD3" s="59"/>
      <c r="QPE3" s="59"/>
      <c r="QPF3" s="59"/>
      <c r="QPG3" s="59"/>
      <c r="QPH3" s="59"/>
      <c r="QPI3" s="59"/>
      <c r="QPJ3" s="59"/>
      <c r="QPK3" s="59"/>
      <c r="QPL3" s="59"/>
      <c r="QPM3" s="59"/>
      <c r="QPN3" s="59"/>
      <c r="QPO3" s="59"/>
      <c r="QPP3" s="59"/>
      <c r="QPQ3" s="59"/>
      <c r="QPR3" s="59"/>
      <c r="QPS3" s="59"/>
      <c r="QPT3" s="59"/>
      <c r="QPU3" s="59"/>
      <c r="QPV3" s="59"/>
      <c r="QPW3" s="59"/>
      <c r="QPX3" s="59"/>
      <c r="QPY3" s="59"/>
      <c r="QPZ3" s="59"/>
      <c r="QQA3" s="59"/>
      <c r="QQB3" s="59"/>
      <c r="QQC3" s="59"/>
      <c r="QQD3" s="59"/>
      <c r="QQE3" s="59"/>
      <c r="QQF3" s="59"/>
      <c r="QQG3" s="59"/>
      <c r="QQH3" s="59"/>
      <c r="QQI3" s="59"/>
      <c r="QQJ3" s="59"/>
      <c r="QQK3" s="59"/>
      <c r="QQL3" s="59"/>
      <c r="QQM3" s="59"/>
      <c r="QQN3" s="59"/>
      <c r="QQO3" s="59"/>
      <c r="QQP3" s="59"/>
      <c r="QQQ3" s="59"/>
      <c r="QQR3" s="59"/>
      <c r="QQS3" s="59"/>
      <c r="QQT3" s="59"/>
      <c r="QQU3" s="59"/>
      <c r="QQV3" s="59"/>
      <c r="QQW3" s="59"/>
      <c r="QQX3" s="59"/>
      <c r="QQY3" s="59"/>
      <c r="QQZ3" s="59"/>
      <c r="QRA3" s="59"/>
      <c r="QRB3" s="59"/>
      <c r="QRC3" s="59"/>
      <c r="QRD3" s="59"/>
      <c r="QRE3" s="59"/>
      <c r="QRF3" s="59"/>
      <c r="QRG3" s="59"/>
      <c r="QRH3" s="59"/>
      <c r="QRI3" s="59"/>
      <c r="QRJ3" s="59"/>
      <c r="QRK3" s="59"/>
      <c r="QRL3" s="59"/>
      <c r="QRM3" s="59"/>
      <c r="QRN3" s="59"/>
      <c r="QRO3" s="59"/>
      <c r="QRP3" s="59"/>
      <c r="QRQ3" s="59"/>
      <c r="QRR3" s="59"/>
      <c r="QRS3" s="59"/>
      <c r="QRT3" s="59"/>
      <c r="QRU3" s="59"/>
      <c r="QRV3" s="59"/>
      <c r="QRW3" s="59"/>
      <c r="QRX3" s="59"/>
      <c r="QRY3" s="59"/>
      <c r="QRZ3" s="59"/>
      <c r="QSA3" s="59"/>
      <c r="QSB3" s="59"/>
      <c r="QSC3" s="59"/>
      <c r="QSD3" s="59"/>
      <c r="QSE3" s="59"/>
      <c r="QSF3" s="59"/>
      <c r="QSG3" s="59"/>
      <c r="QSH3" s="59"/>
      <c r="QSI3" s="59"/>
      <c r="QSJ3" s="59"/>
      <c r="QSK3" s="59"/>
      <c r="QSL3" s="59"/>
      <c r="QSM3" s="59"/>
      <c r="QSN3" s="59"/>
      <c r="QSO3" s="59"/>
      <c r="QSP3" s="59"/>
      <c r="QSQ3" s="59"/>
      <c r="QSR3" s="59"/>
      <c r="QSS3" s="59"/>
      <c r="QST3" s="59"/>
      <c r="QSU3" s="59"/>
      <c r="QSV3" s="59"/>
      <c r="QSW3" s="59"/>
      <c r="QSX3" s="59"/>
      <c r="QSY3" s="59"/>
      <c r="QSZ3" s="59"/>
      <c r="QTA3" s="59"/>
      <c r="QTB3" s="59"/>
      <c r="QTC3" s="59"/>
      <c r="QTD3" s="59"/>
      <c r="QTE3" s="59"/>
      <c r="QTF3" s="59"/>
      <c r="QTG3" s="59"/>
      <c r="QTH3" s="59"/>
      <c r="QTI3" s="59"/>
      <c r="QTJ3" s="59"/>
      <c r="QTK3" s="59"/>
      <c r="QTL3" s="59"/>
      <c r="QTM3" s="59"/>
      <c r="QTN3" s="59"/>
      <c r="QTO3" s="59"/>
      <c r="QTP3" s="59"/>
      <c r="QTQ3" s="59"/>
      <c r="QTR3" s="59"/>
      <c r="QTS3" s="59"/>
      <c r="QTT3" s="59"/>
      <c r="QTU3" s="59"/>
      <c r="QTV3" s="59"/>
      <c r="QTW3" s="59"/>
      <c r="QTX3" s="59"/>
      <c r="QTY3" s="59"/>
      <c r="QTZ3" s="59"/>
      <c r="QUA3" s="59"/>
      <c r="QUB3" s="59"/>
      <c r="QUC3" s="59"/>
      <c r="QUD3" s="59"/>
      <c r="QUE3" s="59"/>
      <c r="QUF3" s="59"/>
      <c r="QUG3" s="59"/>
      <c r="QUH3" s="59"/>
      <c r="QUI3" s="59"/>
      <c r="QUJ3" s="59"/>
      <c r="QUK3" s="59"/>
      <c r="QUL3" s="59"/>
      <c r="QUM3" s="59"/>
      <c r="QUN3" s="59"/>
      <c r="QUO3" s="59"/>
      <c r="QUP3" s="59"/>
      <c r="QUQ3" s="59"/>
      <c r="QUR3" s="59"/>
      <c r="QUS3" s="59"/>
      <c r="QUT3" s="59"/>
      <c r="QUU3" s="59"/>
      <c r="QUV3" s="59"/>
      <c r="QUW3" s="59"/>
      <c r="QUX3" s="59"/>
      <c r="QUY3" s="59"/>
      <c r="QUZ3" s="59"/>
      <c r="QVA3" s="59"/>
      <c r="QVB3" s="59"/>
      <c r="QVC3" s="59"/>
      <c r="QVD3" s="59"/>
      <c r="QVE3" s="59"/>
      <c r="QVF3" s="59"/>
      <c r="QVG3" s="59"/>
      <c r="QVH3" s="59"/>
      <c r="QVI3" s="59"/>
      <c r="QVJ3" s="59"/>
      <c r="QVK3" s="59"/>
      <c r="QVL3" s="59"/>
      <c r="QVM3" s="59"/>
      <c r="QVN3" s="59"/>
      <c r="QVO3" s="59"/>
      <c r="QVP3" s="59"/>
      <c r="QVQ3" s="59"/>
      <c r="QVR3" s="59"/>
      <c r="QVS3" s="59"/>
      <c r="QVT3" s="59"/>
      <c r="QVU3" s="59"/>
      <c r="QVV3" s="59"/>
      <c r="QVW3" s="59"/>
      <c r="QVX3" s="59"/>
      <c r="QVY3" s="59"/>
      <c r="QVZ3" s="59"/>
      <c r="QWA3" s="59"/>
      <c r="QWB3" s="59"/>
      <c r="QWC3" s="59"/>
      <c r="QWD3" s="59"/>
      <c r="QWE3" s="59"/>
      <c r="QWF3" s="59"/>
      <c r="QWG3" s="59"/>
      <c r="QWH3" s="59"/>
      <c r="QWI3" s="59"/>
      <c r="QWJ3" s="59"/>
      <c r="QWK3" s="59"/>
      <c r="QWL3" s="59"/>
      <c r="QWM3" s="59"/>
      <c r="QWN3" s="59"/>
      <c r="QWO3" s="59"/>
      <c r="QWP3" s="59"/>
      <c r="QWQ3" s="59"/>
      <c r="QWR3" s="59"/>
      <c r="QWS3" s="59"/>
      <c r="QWT3" s="59"/>
      <c r="QWU3" s="59"/>
      <c r="QWV3" s="59"/>
      <c r="QWW3" s="59"/>
      <c r="QWX3" s="59"/>
      <c r="QWY3" s="59"/>
      <c r="QWZ3" s="59"/>
      <c r="QXA3" s="59"/>
      <c r="QXB3" s="59"/>
      <c r="QXC3" s="59"/>
      <c r="QXD3" s="59"/>
      <c r="QXE3" s="59"/>
      <c r="QXF3" s="59"/>
      <c r="QXG3" s="59"/>
      <c r="QXH3" s="59"/>
      <c r="QXI3" s="59"/>
      <c r="QXJ3" s="59"/>
      <c r="QXK3" s="59"/>
      <c r="QXL3" s="59"/>
      <c r="QXM3" s="59"/>
      <c r="QXN3" s="59"/>
      <c r="QXO3" s="59"/>
      <c r="QXP3" s="59"/>
      <c r="QXQ3" s="59"/>
      <c r="QXR3" s="59"/>
      <c r="QXS3" s="59"/>
      <c r="QXT3" s="59"/>
      <c r="QXU3" s="59"/>
      <c r="QXV3" s="59"/>
      <c r="QXW3" s="59"/>
      <c r="QXX3" s="59"/>
      <c r="QXY3" s="59"/>
      <c r="QXZ3" s="59"/>
      <c r="QYA3" s="59"/>
      <c r="QYB3" s="59"/>
      <c r="QYC3" s="59"/>
      <c r="QYD3" s="59"/>
      <c r="QYE3" s="59"/>
      <c r="QYF3" s="59"/>
      <c r="QYG3" s="59"/>
      <c r="QYH3" s="59"/>
      <c r="QYI3" s="59"/>
      <c r="QYJ3" s="59"/>
      <c r="QYK3" s="59"/>
      <c r="QYL3" s="59"/>
      <c r="QYM3" s="59"/>
      <c r="QYN3" s="59"/>
      <c r="QYO3" s="59"/>
      <c r="QYP3" s="59"/>
      <c r="QYQ3" s="59"/>
      <c r="QYR3" s="59"/>
      <c r="QYS3" s="59"/>
      <c r="QYT3" s="59"/>
      <c r="QYU3" s="59"/>
      <c r="QYV3" s="59"/>
      <c r="QYW3" s="59"/>
      <c r="QYX3" s="59"/>
      <c r="QYY3" s="59"/>
      <c r="QYZ3" s="59"/>
      <c r="QZA3" s="59"/>
      <c r="QZB3" s="59"/>
      <c r="QZC3" s="59"/>
      <c r="QZD3" s="59"/>
      <c r="QZE3" s="59"/>
      <c r="QZF3" s="59"/>
      <c r="QZG3" s="59"/>
      <c r="QZH3" s="59"/>
      <c r="QZI3" s="59"/>
      <c r="QZJ3" s="59"/>
      <c r="QZK3" s="59"/>
      <c r="QZL3" s="59"/>
      <c r="QZM3" s="59"/>
      <c r="QZN3" s="59"/>
      <c r="QZO3" s="59"/>
      <c r="QZP3" s="59"/>
      <c r="QZQ3" s="59"/>
      <c r="QZR3" s="59"/>
      <c r="QZS3" s="59"/>
      <c r="QZT3" s="59"/>
      <c r="QZU3" s="59"/>
      <c r="QZV3" s="59"/>
      <c r="QZW3" s="59"/>
      <c r="QZX3" s="59"/>
      <c r="QZY3" s="59"/>
      <c r="QZZ3" s="59"/>
      <c r="RAA3" s="59"/>
      <c r="RAB3" s="59"/>
      <c r="RAC3" s="59"/>
      <c r="RAD3" s="59"/>
      <c r="RAE3" s="59"/>
      <c r="RAF3" s="59"/>
      <c r="RAG3" s="59"/>
      <c r="RAH3" s="59"/>
      <c r="RAI3" s="59"/>
      <c r="RAJ3" s="59"/>
      <c r="RAK3" s="59"/>
      <c r="RAL3" s="59"/>
      <c r="RAM3" s="59"/>
      <c r="RAN3" s="59"/>
      <c r="RAO3" s="59"/>
      <c r="RAP3" s="59"/>
      <c r="RAQ3" s="59"/>
      <c r="RAR3" s="59"/>
      <c r="RAS3" s="59"/>
      <c r="RAT3" s="59"/>
      <c r="RAU3" s="59"/>
      <c r="RAV3" s="59"/>
      <c r="RAW3" s="59"/>
      <c r="RAX3" s="59"/>
      <c r="RAY3" s="59"/>
      <c r="RAZ3" s="59"/>
      <c r="RBA3" s="59"/>
      <c r="RBB3" s="59"/>
      <c r="RBC3" s="59"/>
      <c r="RBD3" s="59"/>
      <c r="RBE3" s="59"/>
      <c r="RBF3" s="59"/>
      <c r="RBG3" s="59"/>
      <c r="RBH3" s="59"/>
      <c r="RBI3" s="59"/>
      <c r="RBJ3" s="59"/>
      <c r="RBK3" s="59"/>
      <c r="RBL3" s="59"/>
      <c r="RBM3" s="59"/>
      <c r="RBN3" s="59"/>
      <c r="RBO3" s="59"/>
      <c r="RBP3" s="59"/>
      <c r="RBQ3" s="59"/>
      <c r="RBR3" s="59"/>
      <c r="RBS3" s="59"/>
      <c r="RBT3" s="59"/>
      <c r="RBU3" s="59"/>
      <c r="RBV3" s="59"/>
      <c r="RBW3" s="59"/>
      <c r="RBX3" s="59"/>
      <c r="RBY3" s="59"/>
      <c r="RBZ3" s="59"/>
      <c r="RCA3" s="59"/>
      <c r="RCB3" s="59"/>
      <c r="RCC3" s="59"/>
      <c r="RCD3" s="59"/>
      <c r="RCE3" s="59"/>
      <c r="RCF3" s="59"/>
      <c r="RCG3" s="59"/>
      <c r="RCH3" s="59"/>
      <c r="RCI3" s="59"/>
      <c r="RCJ3" s="59"/>
      <c r="RCK3" s="59"/>
      <c r="RCL3" s="59"/>
      <c r="RCM3" s="59"/>
      <c r="RCN3" s="59"/>
      <c r="RCO3" s="59"/>
      <c r="RCP3" s="59"/>
      <c r="RCQ3" s="59"/>
      <c r="RCR3" s="59"/>
      <c r="RCS3" s="59"/>
      <c r="RCT3" s="59"/>
      <c r="RCU3" s="59"/>
      <c r="RCV3" s="59"/>
      <c r="RCW3" s="59"/>
      <c r="RCX3" s="59"/>
      <c r="RCY3" s="59"/>
      <c r="RCZ3" s="59"/>
      <c r="RDA3" s="59"/>
      <c r="RDB3" s="59"/>
      <c r="RDC3" s="59"/>
      <c r="RDD3" s="59"/>
      <c r="RDE3" s="59"/>
      <c r="RDF3" s="59"/>
      <c r="RDG3" s="59"/>
      <c r="RDH3" s="59"/>
      <c r="RDI3" s="59"/>
      <c r="RDJ3" s="59"/>
      <c r="RDK3" s="59"/>
      <c r="RDL3" s="59"/>
      <c r="RDM3" s="59"/>
      <c r="RDN3" s="59"/>
      <c r="RDO3" s="59"/>
      <c r="RDP3" s="59"/>
      <c r="RDQ3" s="59"/>
      <c r="RDR3" s="59"/>
      <c r="RDS3" s="59"/>
      <c r="RDT3" s="59"/>
      <c r="RDU3" s="59"/>
      <c r="RDV3" s="59"/>
      <c r="RDW3" s="59"/>
      <c r="RDX3" s="59"/>
      <c r="RDY3" s="59"/>
      <c r="RDZ3" s="59"/>
      <c r="REA3" s="59"/>
      <c r="REB3" s="59"/>
      <c r="REC3" s="59"/>
      <c r="RED3" s="59"/>
      <c r="REE3" s="59"/>
      <c r="REF3" s="59"/>
      <c r="REG3" s="59"/>
      <c r="REH3" s="59"/>
      <c r="REI3" s="59"/>
      <c r="REJ3" s="59"/>
      <c r="REK3" s="59"/>
      <c r="REL3" s="59"/>
      <c r="REM3" s="59"/>
      <c r="REN3" s="59"/>
      <c r="REO3" s="59"/>
      <c r="REP3" s="59"/>
      <c r="REQ3" s="59"/>
      <c r="RER3" s="59"/>
      <c r="RES3" s="59"/>
      <c r="RET3" s="59"/>
      <c r="REU3" s="59"/>
      <c r="REV3" s="59"/>
      <c r="REW3" s="59"/>
      <c r="REX3" s="59"/>
      <c r="REY3" s="59"/>
      <c r="REZ3" s="59"/>
      <c r="RFA3" s="59"/>
      <c r="RFB3" s="59"/>
      <c r="RFC3" s="59"/>
      <c r="RFD3" s="59"/>
      <c r="RFE3" s="59"/>
      <c r="RFF3" s="59"/>
      <c r="RFG3" s="59"/>
      <c r="RFH3" s="59"/>
      <c r="RFI3" s="59"/>
      <c r="RFJ3" s="59"/>
      <c r="RFK3" s="59"/>
      <c r="RFL3" s="59"/>
      <c r="RFM3" s="59"/>
      <c r="RFN3" s="59"/>
      <c r="RFO3" s="59"/>
      <c r="RFP3" s="59"/>
      <c r="RFQ3" s="59"/>
      <c r="RFR3" s="59"/>
      <c r="RFS3" s="59"/>
      <c r="RFT3" s="59"/>
      <c r="RFU3" s="59"/>
      <c r="RFV3" s="59"/>
      <c r="RFW3" s="59"/>
      <c r="RFX3" s="59"/>
      <c r="RFY3" s="59"/>
      <c r="RFZ3" s="59"/>
      <c r="RGA3" s="59"/>
      <c r="RGB3" s="59"/>
      <c r="RGC3" s="59"/>
      <c r="RGD3" s="59"/>
      <c r="RGE3" s="59"/>
      <c r="RGF3" s="59"/>
      <c r="RGG3" s="59"/>
      <c r="RGH3" s="59"/>
      <c r="RGI3" s="59"/>
      <c r="RGJ3" s="59"/>
      <c r="RGK3" s="59"/>
      <c r="RGL3" s="59"/>
      <c r="RGM3" s="59"/>
      <c r="RGN3" s="59"/>
      <c r="RGO3" s="59"/>
      <c r="RGP3" s="59"/>
      <c r="RGQ3" s="59"/>
      <c r="RGR3" s="59"/>
      <c r="RGS3" s="59"/>
      <c r="RGT3" s="59"/>
      <c r="RGU3" s="59"/>
      <c r="RGV3" s="59"/>
      <c r="RGW3" s="59"/>
      <c r="RGX3" s="59"/>
      <c r="RGY3" s="59"/>
      <c r="RGZ3" s="59"/>
      <c r="RHA3" s="59"/>
      <c r="RHB3" s="59"/>
      <c r="RHC3" s="59"/>
      <c r="RHD3" s="59"/>
      <c r="RHE3" s="59"/>
      <c r="RHF3" s="59"/>
      <c r="RHG3" s="59"/>
      <c r="RHH3" s="59"/>
      <c r="RHI3" s="59"/>
      <c r="RHJ3" s="59"/>
      <c r="RHK3" s="59"/>
      <c r="RHL3" s="59"/>
      <c r="RHM3" s="59"/>
      <c r="RHN3" s="59"/>
      <c r="RHO3" s="59"/>
      <c r="RHP3" s="59"/>
      <c r="RHQ3" s="59"/>
      <c r="RHR3" s="59"/>
      <c r="RHS3" s="59"/>
      <c r="RHT3" s="59"/>
      <c r="RHU3" s="59"/>
      <c r="RHV3" s="59"/>
      <c r="RHW3" s="59"/>
      <c r="RHX3" s="59"/>
      <c r="RHY3" s="59"/>
      <c r="RHZ3" s="59"/>
      <c r="RIA3" s="59"/>
      <c r="RIB3" s="59"/>
      <c r="RIC3" s="59"/>
      <c r="RID3" s="59"/>
      <c r="RIE3" s="59"/>
      <c r="RIF3" s="59"/>
      <c r="RIG3" s="59"/>
      <c r="RIH3" s="59"/>
      <c r="RII3" s="59"/>
      <c r="RIJ3" s="59"/>
      <c r="RIK3" s="59"/>
      <c r="RIL3" s="59"/>
      <c r="RIM3" s="59"/>
      <c r="RIN3" s="59"/>
      <c r="RIO3" s="59"/>
      <c r="RIP3" s="59"/>
      <c r="RIQ3" s="59"/>
      <c r="RIR3" s="59"/>
      <c r="RIS3" s="59"/>
      <c r="RIT3" s="59"/>
      <c r="RIU3" s="59"/>
      <c r="RIV3" s="59"/>
      <c r="RIW3" s="59"/>
      <c r="RIX3" s="59"/>
      <c r="RIY3" s="59"/>
      <c r="RIZ3" s="59"/>
      <c r="RJA3" s="59"/>
      <c r="RJB3" s="59"/>
      <c r="RJC3" s="59"/>
      <c r="RJD3" s="59"/>
      <c r="RJE3" s="59"/>
      <c r="RJF3" s="59"/>
      <c r="RJG3" s="59"/>
      <c r="RJH3" s="59"/>
      <c r="RJI3" s="59"/>
      <c r="RJJ3" s="59"/>
      <c r="RJK3" s="59"/>
      <c r="RJL3" s="59"/>
      <c r="RJM3" s="59"/>
      <c r="RJN3" s="59"/>
      <c r="RJO3" s="59"/>
      <c r="RJP3" s="59"/>
      <c r="RJQ3" s="59"/>
      <c r="RJR3" s="59"/>
      <c r="RJS3" s="59"/>
      <c r="RJT3" s="59"/>
      <c r="RJU3" s="59"/>
      <c r="RJV3" s="59"/>
      <c r="RJW3" s="59"/>
      <c r="RJX3" s="59"/>
      <c r="RJY3" s="59"/>
      <c r="RJZ3" s="59"/>
      <c r="RKA3" s="59"/>
      <c r="RKB3" s="59"/>
      <c r="RKC3" s="59"/>
      <c r="RKD3" s="59"/>
      <c r="RKE3" s="59"/>
      <c r="RKF3" s="59"/>
      <c r="RKG3" s="59"/>
      <c r="RKH3" s="59"/>
      <c r="RKI3" s="59"/>
      <c r="RKJ3" s="59"/>
      <c r="RKK3" s="59"/>
      <c r="RKL3" s="59"/>
      <c r="RKM3" s="59"/>
      <c r="RKN3" s="59"/>
      <c r="RKO3" s="59"/>
      <c r="RKP3" s="59"/>
      <c r="RKQ3" s="59"/>
      <c r="RKR3" s="59"/>
      <c r="RKS3" s="59"/>
      <c r="RKT3" s="59"/>
      <c r="RKU3" s="59"/>
      <c r="RKV3" s="59"/>
      <c r="RKW3" s="59"/>
      <c r="RKX3" s="59"/>
      <c r="RKY3" s="59"/>
      <c r="RKZ3" s="59"/>
      <c r="RLA3" s="59"/>
      <c r="RLB3" s="59"/>
      <c r="RLC3" s="59"/>
      <c r="RLD3" s="59"/>
      <c r="RLE3" s="59"/>
      <c r="RLF3" s="59"/>
      <c r="RLG3" s="59"/>
      <c r="RLH3" s="59"/>
      <c r="RLI3" s="59"/>
      <c r="RLJ3" s="59"/>
      <c r="RLK3" s="59"/>
      <c r="RLL3" s="59"/>
      <c r="RLM3" s="59"/>
      <c r="RLN3" s="59"/>
      <c r="RLO3" s="59"/>
      <c r="RLP3" s="59"/>
      <c r="RLQ3" s="59"/>
      <c r="RLR3" s="59"/>
      <c r="RLS3" s="59"/>
      <c r="RLT3" s="59"/>
      <c r="RLU3" s="59"/>
      <c r="RLV3" s="59"/>
      <c r="RLW3" s="59"/>
      <c r="RLX3" s="59"/>
      <c r="RLY3" s="59"/>
      <c r="RLZ3" s="59"/>
      <c r="RMA3" s="59"/>
      <c r="RMB3" s="59"/>
      <c r="RMC3" s="59"/>
      <c r="RMD3" s="59"/>
      <c r="RME3" s="59"/>
      <c r="RMF3" s="59"/>
      <c r="RMG3" s="59"/>
      <c r="RMH3" s="59"/>
      <c r="RMI3" s="59"/>
      <c r="RMJ3" s="59"/>
      <c r="RMK3" s="59"/>
      <c r="RML3" s="59"/>
      <c r="RMM3" s="59"/>
      <c r="RMN3" s="59"/>
      <c r="RMO3" s="59"/>
      <c r="RMP3" s="59"/>
      <c r="RMQ3" s="59"/>
      <c r="RMR3" s="59"/>
      <c r="RMS3" s="59"/>
      <c r="RMT3" s="59"/>
      <c r="RMU3" s="59"/>
      <c r="RMV3" s="59"/>
      <c r="RMW3" s="59"/>
      <c r="RMX3" s="59"/>
      <c r="RMY3" s="59"/>
      <c r="RMZ3" s="59"/>
      <c r="RNA3" s="59"/>
      <c r="RNB3" s="59"/>
      <c r="RNC3" s="59"/>
      <c r="RND3" s="59"/>
      <c r="RNE3" s="59"/>
      <c r="RNF3" s="59"/>
      <c r="RNG3" s="59"/>
      <c r="RNH3" s="59"/>
      <c r="RNI3" s="59"/>
      <c r="RNJ3" s="59"/>
      <c r="RNK3" s="59"/>
      <c r="RNL3" s="59"/>
      <c r="RNM3" s="59"/>
      <c r="RNN3" s="59"/>
      <c r="RNO3" s="59"/>
      <c r="RNP3" s="59"/>
      <c r="RNQ3" s="59"/>
      <c r="RNR3" s="59"/>
      <c r="RNS3" s="59"/>
      <c r="RNT3" s="59"/>
      <c r="RNU3" s="59"/>
      <c r="RNV3" s="59"/>
      <c r="RNW3" s="59"/>
      <c r="RNX3" s="59"/>
      <c r="RNY3" s="59"/>
      <c r="RNZ3" s="59"/>
      <c r="ROA3" s="59"/>
      <c r="ROB3" s="59"/>
      <c r="ROC3" s="59"/>
      <c r="ROD3" s="59"/>
      <c r="ROE3" s="59"/>
      <c r="ROF3" s="59"/>
      <c r="ROG3" s="59"/>
      <c r="ROH3" s="59"/>
      <c r="ROI3" s="59"/>
      <c r="ROJ3" s="59"/>
      <c r="ROK3" s="59"/>
      <c r="ROL3" s="59"/>
      <c r="ROM3" s="59"/>
      <c r="RON3" s="59"/>
      <c r="ROO3" s="59"/>
      <c r="ROP3" s="59"/>
      <c r="ROQ3" s="59"/>
      <c r="ROR3" s="59"/>
      <c r="ROS3" s="59"/>
      <c r="ROT3" s="59"/>
      <c r="ROU3" s="59"/>
      <c r="ROV3" s="59"/>
      <c r="ROW3" s="59"/>
      <c r="ROX3" s="59"/>
      <c r="ROY3" s="59"/>
      <c r="ROZ3" s="59"/>
      <c r="RPA3" s="59"/>
      <c r="RPB3" s="59"/>
      <c r="RPC3" s="59"/>
      <c r="RPD3" s="59"/>
      <c r="RPE3" s="59"/>
      <c r="RPF3" s="59"/>
      <c r="RPG3" s="59"/>
      <c r="RPH3" s="59"/>
      <c r="RPI3" s="59"/>
      <c r="RPJ3" s="59"/>
      <c r="RPK3" s="59"/>
      <c r="RPL3" s="59"/>
      <c r="RPM3" s="59"/>
      <c r="RPN3" s="59"/>
      <c r="RPO3" s="59"/>
      <c r="RPP3" s="59"/>
      <c r="RPQ3" s="59"/>
      <c r="RPR3" s="59"/>
      <c r="RPS3" s="59"/>
      <c r="RPT3" s="59"/>
      <c r="RPU3" s="59"/>
      <c r="RPV3" s="59"/>
      <c r="RPW3" s="59"/>
      <c r="RPX3" s="59"/>
      <c r="RPY3" s="59"/>
      <c r="RPZ3" s="59"/>
      <c r="RQA3" s="59"/>
      <c r="RQB3" s="59"/>
      <c r="RQC3" s="59"/>
      <c r="RQD3" s="59"/>
      <c r="RQE3" s="59"/>
      <c r="RQF3" s="59"/>
      <c r="RQG3" s="59"/>
      <c r="RQH3" s="59"/>
      <c r="RQI3" s="59"/>
      <c r="RQJ3" s="59"/>
      <c r="RQK3" s="59"/>
      <c r="RQL3" s="59"/>
      <c r="RQM3" s="59"/>
      <c r="RQN3" s="59"/>
      <c r="RQO3" s="59"/>
      <c r="RQP3" s="59"/>
      <c r="RQQ3" s="59"/>
      <c r="RQR3" s="59"/>
      <c r="RQS3" s="59"/>
      <c r="RQT3" s="59"/>
      <c r="RQU3" s="59"/>
      <c r="RQV3" s="59"/>
      <c r="RQW3" s="59"/>
      <c r="RQX3" s="59"/>
      <c r="RQY3" s="59"/>
      <c r="RQZ3" s="59"/>
      <c r="RRA3" s="59"/>
      <c r="RRB3" s="59"/>
      <c r="RRC3" s="59"/>
      <c r="RRD3" s="59"/>
      <c r="RRE3" s="59"/>
      <c r="RRF3" s="59"/>
      <c r="RRG3" s="59"/>
      <c r="RRH3" s="59"/>
      <c r="RRI3" s="59"/>
      <c r="RRJ3" s="59"/>
      <c r="RRK3" s="59"/>
      <c r="RRL3" s="59"/>
      <c r="RRM3" s="59"/>
      <c r="RRN3" s="59"/>
      <c r="RRO3" s="59"/>
      <c r="RRP3" s="59"/>
      <c r="RRQ3" s="59"/>
      <c r="RRR3" s="59"/>
      <c r="RRS3" s="59"/>
      <c r="RRT3" s="59"/>
      <c r="RRU3" s="59"/>
      <c r="RRV3" s="59"/>
      <c r="RRW3" s="59"/>
      <c r="RRX3" s="59"/>
      <c r="RRY3" s="59"/>
      <c r="RRZ3" s="59"/>
      <c r="RSA3" s="59"/>
      <c r="RSB3" s="59"/>
      <c r="RSC3" s="59"/>
      <c r="RSD3" s="59"/>
      <c r="RSE3" s="59"/>
      <c r="RSF3" s="59"/>
      <c r="RSG3" s="59"/>
      <c r="RSH3" s="59"/>
      <c r="RSI3" s="59"/>
      <c r="RSJ3" s="59"/>
      <c r="RSK3" s="59"/>
      <c r="RSL3" s="59"/>
      <c r="RSM3" s="59"/>
      <c r="RSN3" s="59"/>
      <c r="RSO3" s="59"/>
      <c r="RSP3" s="59"/>
      <c r="RSQ3" s="59"/>
      <c r="RSR3" s="59"/>
      <c r="RSS3" s="59"/>
      <c r="RST3" s="59"/>
      <c r="RSU3" s="59"/>
      <c r="RSV3" s="59"/>
      <c r="RSW3" s="59"/>
      <c r="RSX3" s="59"/>
      <c r="RSY3" s="59"/>
      <c r="RSZ3" s="59"/>
      <c r="RTA3" s="59"/>
      <c r="RTB3" s="59"/>
      <c r="RTC3" s="59"/>
      <c r="RTD3" s="59"/>
      <c r="RTE3" s="59"/>
      <c r="RTF3" s="59"/>
      <c r="RTG3" s="59"/>
      <c r="RTH3" s="59"/>
      <c r="RTI3" s="59"/>
      <c r="RTJ3" s="59"/>
      <c r="RTK3" s="59"/>
      <c r="RTL3" s="59"/>
      <c r="RTM3" s="59"/>
      <c r="RTN3" s="59"/>
      <c r="RTO3" s="59"/>
      <c r="RTP3" s="59"/>
      <c r="RTQ3" s="59"/>
      <c r="RTR3" s="59"/>
      <c r="RTS3" s="59"/>
      <c r="RTT3" s="59"/>
      <c r="RTU3" s="59"/>
      <c r="RTV3" s="59"/>
      <c r="RTW3" s="59"/>
      <c r="RTX3" s="59"/>
      <c r="RTY3" s="59"/>
      <c r="RTZ3" s="59"/>
      <c r="RUA3" s="59"/>
      <c r="RUB3" s="59"/>
      <c r="RUC3" s="59"/>
      <c r="RUD3" s="59"/>
      <c r="RUE3" s="59"/>
      <c r="RUF3" s="59"/>
      <c r="RUG3" s="59"/>
      <c r="RUH3" s="59"/>
      <c r="RUI3" s="59"/>
      <c r="RUJ3" s="59"/>
      <c r="RUK3" s="59"/>
      <c r="RUL3" s="59"/>
      <c r="RUM3" s="59"/>
      <c r="RUN3" s="59"/>
      <c r="RUO3" s="59"/>
      <c r="RUP3" s="59"/>
      <c r="RUQ3" s="59"/>
      <c r="RUR3" s="59"/>
      <c r="RUS3" s="59"/>
      <c r="RUT3" s="59"/>
      <c r="RUU3" s="59"/>
      <c r="RUV3" s="59"/>
      <c r="RUW3" s="59"/>
      <c r="RUX3" s="59"/>
      <c r="RUY3" s="59"/>
      <c r="RUZ3" s="59"/>
      <c r="RVA3" s="59"/>
      <c r="RVB3" s="59"/>
      <c r="RVC3" s="59"/>
      <c r="RVD3" s="59"/>
      <c r="RVE3" s="59"/>
      <c r="RVF3" s="59"/>
      <c r="RVG3" s="59"/>
      <c r="RVH3" s="59"/>
      <c r="RVI3" s="59"/>
      <c r="RVJ3" s="59"/>
      <c r="RVK3" s="59"/>
      <c r="RVL3" s="59"/>
      <c r="RVM3" s="59"/>
      <c r="RVN3" s="59"/>
      <c r="RVO3" s="59"/>
      <c r="RVP3" s="59"/>
      <c r="RVQ3" s="59"/>
      <c r="RVR3" s="59"/>
      <c r="RVS3" s="59"/>
      <c r="RVT3" s="59"/>
      <c r="RVU3" s="59"/>
      <c r="RVV3" s="59"/>
      <c r="RVW3" s="59"/>
      <c r="RVX3" s="59"/>
      <c r="RVY3" s="59"/>
      <c r="RVZ3" s="59"/>
      <c r="RWA3" s="59"/>
      <c r="RWB3" s="59"/>
      <c r="RWC3" s="59"/>
      <c r="RWD3" s="59"/>
      <c r="RWE3" s="59"/>
      <c r="RWF3" s="59"/>
      <c r="RWG3" s="59"/>
      <c r="RWH3" s="59"/>
      <c r="RWI3" s="59"/>
      <c r="RWJ3" s="59"/>
      <c r="RWK3" s="59"/>
      <c r="RWL3" s="59"/>
      <c r="RWM3" s="59"/>
      <c r="RWN3" s="59"/>
      <c r="RWO3" s="59"/>
      <c r="RWP3" s="59"/>
      <c r="RWQ3" s="59"/>
      <c r="RWR3" s="59"/>
      <c r="RWS3" s="59"/>
      <c r="RWT3" s="59"/>
      <c r="RWU3" s="59"/>
      <c r="RWV3" s="59"/>
      <c r="RWW3" s="59"/>
      <c r="RWX3" s="59"/>
      <c r="RWY3" s="59"/>
      <c r="RWZ3" s="59"/>
      <c r="RXA3" s="59"/>
      <c r="RXB3" s="59"/>
      <c r="RXC3" s="59"/>
      <c r="RXD3" s="59"/>
      <c r="RXE3" s="59"/>
      <c r="RXF3" s="59"/>
      <c r="RXG3" s="59"/>
      <c r="RXH3" s="59"/>
      <c r="RXI3" s="59"/>
      <c r="RXJ3" s="59"/>
      <c r="RXK3" s="59"/>
      <c r="RXL3" s="59"/>
      <c r="RXM3" s="59"/>
      <c r="RXN3" s="59"/>
      <c r="RXO3" s="59"/>
      <c r="RXP3" s="59"/>
      <c r="RXQ3" s="59"/>
      <c r="RXR3" s="59"/>
      <c r="RXS3" s="59"/>
      <c r="RXT3" s="59"/>
      <c r="RXU3" s="59"/>
      <c r="RXV3" s="59"/>
      <c r="RXW3" s="59"/>
      <c r="RXX3" s="59"/>
      <c r="RXY3" s="59"/>
      <c r="RXZ3" s="59"/>
      <c r="RYA3" s="59"/>
      <c r="RYB3" s="59"/>
      <c r="RYC3" s="59"/>
      <c r="RYD3" s="59"/>
      <c r="RYE3" s="59"/>
      <c r="RYF3" s="59"/>
      <c r="RYG3" s="59"/>
      <c r="RYH3" s="59"/>
      <c r="RYI3" s="59"/>
      <c r="RYJ3" s="59"/>
      <c r="RYK3" s="59"/>
      <c r="RYL3" s="59"/>
      <c r="RYM3" s="59"/>
      <c r="RYN3" s="59"/>
      <c r="RYO3" s="59"/>
      <c r="RYP3" s="59"/>
      <c r="RYQ3" s="59"/>
      <c r="RYR3" s="59"/>
      <c r="RYS3" s="59"/>
      <c r="RYT3" s="59"/>
      <c r="RYU3" s="59"/>
      <c r="RYV3" s="59"/>
      <c r="RYW3" s="59"/>
      <c r="RYX3" s="59"/>
      <c r="RYY3" s="59"/>
      <c r="RYZ3" s="59"/>
      <c r="RZA3" s="59"/>
      <c r="RZB3" s="59"/>
      <c r="RZC3" s="59"/>
      <c r="RZD3" s="59"/>
      <c r="RZE3" s="59"/>
      <c r="RZF3" s="59"/>
      <c r="RZG3" s="59"/>
      <c r="RZH3" s="59"/>
      <c r="RZI3" s="59"/>
      <c r="RZJ3" s="59"/>
      <c r="RZK3" s="59"/>
      <c r="RZL3" s="59"/>
      <c r="RZM3" s="59"/>
      <c r="RZN3" s="59"/>
      <c r="RZO3" s="59"/>
      <c r="RZP3" s="59"/>
      <c r="RZQ3" s="59"/>
      <c r="RZR3" s="59"/>
      <c r="RZS3" s="59"/>
      <c r="RZT3" s="59"/>
      <c r="RZU3" s="59"/>
      <c r="RZV3" s="59"/>
      <c r="RZW3" s="59"/>
      <c r="RZX3" s="59"/>
      <c r="RZY3" s="59"/>
      <c r="RZZ3" s="59"/>
      <c r="SAA3" s="59"/>
      <c r="SAB3" s="59"/>
      <c r="SAC3" s="59"/>
      <c r="SAD3" s="59"/>
      <c r="SAE3" s="59"/>
      <c r="SAF3" s="59"/>
      <c r="SAG3" s="59"/>
      <c r="SAH3" s="59"/>
      <c r="SAI3" s="59"/>
      <c r="SAJ3" s="59"/>
      <c r="SAK3" s="59"/>
      <c r="SAL3" s="59"/>
      <c r="SAM3" s="59"/>
      <c r="SAN3" s="59"/>
      <c r="SAO3" s="59"/>
      <c r="SAP3" s="59"/>
      <c r="SAQ3" s="59"/>
      <c r="SAR3" s="59"/>
      <c r="SAS3" s="59"/>
      <c r="SAT3" s="59"/>
      <c r="SAU3" s="59"/>
      <c r="SAV3" s="59"/>
      <c r="SAW3" s="59"/>
      <c r="SAX3" s="59"/>
      <c r="SAY3" s="59"/>
      <c r="SAZ3" s="59"/>
      <c r="SBA3" s="59"/>
      <c r="SBB3" s="59"/>
      <c r="SBC3" s="59"/>
      <c r="SBD3" s="59"/>
      <c r="SBE3" s="59"/>
      <c r="SBF3" s="59"/>
      <c r="SBG3" s="59"/>
      <c r="SBH3" s="59"/>
      <c r="SBI3" s="59"/>
      <c r="SBJ3" s="59"/>
      <c r="SBK3" s="59"/>
      <c r="SBL3" s="59"/>
      <c r="SBM3" s="59"/>
      <c r="SBN3" s="59"/>
      <c r="SBO3" s="59"/>
      <c r="SBP3" s="59"/>
      <c r="SBQ3" s="59"/>
      <c r="SBR3" s="59"/>
      <c r="SBS3" s="59"/>
      <c r="SBT3" s="59"/>
      <c r="SBU3" s="59"/>
      <c r="SBV3" s="59"/>
      <c r="SBW3" s="59"/>
      <c r="SBX3" s="59"/>
      <c r="SBY3" s="59"/>
      <c r="SBZ3" s="59"/>
      <c r="SCA3" s="59"/>
      <c r="SCB3" s="59"/>
      <c r="SCC3" s="59"/>
      <c r="SCD3" s="59"/>
      <c r="SCE3" s="59"/>
      <c r="SCF3" s="59"/>
      <c r="SCG3" s="59"/>
      <c r="SCH3" s="59"/>
      <c r="SCI3" s="59"/>
      <c r="SCJ3" s="59"/>
      <c r="SCK3" s="59"/>
      <c r="SCL3" s="59"/>
      <c r="SCM3" s="59"/>
      <c r="SCN3" s="59"/>
      <c r="SCO3" s="59"/>
      <c r="SCP3" s="59"/>
      <c r="SCQ3" s="59"/>
      <c r="SCR3" s="59"/>
      <c r="SCS3" s="59"/>
      <c r="SCT3" s="59"/>
      <c r="SCU3" s="59"/>
      <c r="SCV3" s="59"/>
      <c r="SCW3" s="59"/>
      <c r="SCX3" s="59"/>
      <c r="SCY3" s="59"/>
      <c r="SCZ3" s="59"/>
      <c r="SDA3" s="59"/>
      <c r="SDB3" s="59"/>
      <c r="SDC3" s="59"/>
      <c r="SDD3" s="59"/>
      <c r="SDE3" s="59"/>
      <c r="SDF3" s="59"/>
      <c r="SDG3" s="59"/>
      <c r="SDH3" s="59"/>
      <c r="SDI3" s="59"/>
      <c r="SDJ3" s="59"/>
      <c r="SDK3" s="59"/>
      <c r="SDL3" s="59"/>
      <c r="SDM3" s="59"/>
      <c r="SDN3" s="59"/>
      <c r="SDO3" s="59"/>
      <c r="SDP3" s="59"/>
      <c r="SDQ3" s="59"/>
      <c r="SDR3" s="59"/>
      <c r="SDS3" s="59"/>
      <c r="SDT3" s="59"/>
      <c r="SDU3" s="59"/>
      <c r="SDV3" s="59"/>
      <c r="SDW3" s="59"/>
      <c r="SDX3" s="59"/>
      <c r="SDY3" s="59"/>
      <c r="SDZ3" s="59"/>
      <c r="SEA3" s="59"/>
      <c r="SEB3" s="59"/>
      <c r="SEC3" s="59"/>
      <c r="SED3" s="59"/>
      <c r="SEE3" s="59"/>
      <c r="SEF3" s="59"/>
      <c r="SEG3" s="59"/>
      <c r="SEH3" s="59"/>
      <c r="SEI3" s="59"/>
      <c r="SEJ3" s="59"/>
      <c r="SEK3" s="59"/>
      <c r="SEL3" s="59"/>
      <c r="SEM3" s="59"/>
      <c r="SEN3" s="59"/>
      <c r="SEO3" s="59"/>
      <c r="SEP3" s="59"/>
      <c r="SEQ3" s="59"/>
      <c r="SER3" s="59"/>
      <c r="SES3" s="59"/>
      <c r="SET3" s="59"/>
      <c r="SEU3" s="59"/>
      <c r="SEV3" s="59"/>
      <c r="SEW3" s="59"/>
      <c r="SEX3" s="59"/>
      <c r="SEY3" s="59"/>
      <c r="SEZ3" s="59"/>
      <c r="SFA3" s="59"/>
      <c r="SFB3" s="59"/>
      <c r="SFC3" s="59"/>
      <c r="SFD3" s="59"/>
      <c r="SFE3" s="59"/>
      <c r="SFF3" s="59"/>
      <c r="SFG3" s="59"/>
      <c r="SFH3" s="59"/>
      <c r="SFI3" s="59"/>
      <c r="SFJ3" s="59"/>
      <c r="SFK3" s="59"/>
      <c r="SFL3" s="59"/>
      <c r="SFM3" s="59"/>
      <c r="SFN3" s="59"/>
      <c r="SFO3" s="59"/>
      <c r="SFP3" s="59"/>
      <c r="SFQ3" s="59"/>
      <c r="SFR3" s="59"/>
      <c r="SFS3" s="59"/>
      <c r="SFT3" s="59"/>
      <c r="SFU3" s="59"/>
      <c r="SFV3" s="59"/>
      <c r="SFW3" s="59"/>
      <c r="SFX3" s="59"/>
      <c r="SFY3" s="59"/>
      <c r="SFZ3" s="59"/>
      <c r="SGA3" s="59"/>
      <c r="SGB3" s="59"/>
      <c r="SGC3" s="59"/>
      <c r="SGD3" s="59"/>
      <c r="SGE3" s="59"/>
      <c r="SGF3" s="59"/>
      <c r="SGG3" s="59"/>
      <c r="SGH3" s="59"/>
      <c r="SGI3" s="59"/>
      <c r="SGJ3" s="59"/>
      <c r="SGK3" s="59"/>
      <c r="SGL3" s="59"/>
      <c r="SGM3" s="59"/>
      <c r="SGN3" s="59"/>
      <c r="SGO3" s="59"/>
      <c r="SGP3" s="59"/>
      <c r="SGQ3" s="59"/>
      <c r="SGR3" s="59"/>
      <c r="SGS3" s="59"/>
      <c r="SGT3" s="59"/>
      <c r="SGU3" s="59"/>
      <c r="SGV3" s="59"/>
      <c r="SGW3" s="59"/>
      <c r="SGX3" s="59"/>
      <c r="SGY3" s="59"/>
      <c r="SGZ3" s="59"/>
      <c r="SHA3" s="59"/>
      <c r="SHB3" s="59"/>
      <c r="SHC3" s="59"/>
      <c r="SHD3" s="59"/>
      <c r="SHE3" s="59"/>
      <c r="SHF3" s="59"/>
      <c r="SHG3" s="59"/>
      <c r="SHH3" s="59"/>
      <c r="SHI3" s="59"/>
      <c r="SHJ3" s="59"/>
      <c r="SHK3" s="59"/>
      <c r="SHL3" s="59"/>
      <c r="SHM3" s="59"/>
      <c r="SHN3" s="59"/>
      <c r="SHO3" s="59"/>
      <c r="SHP3" s="59"/>
      <c r="SHQ3" s="59"/>
      <c r="SHR3" s="59"/>
      <c r="SHS3" s="59"/>
      <c r="SHT3" s="59"/>
      <c r="SHU3" s="59"/>
      <c r="SHV3" s="59"/>
      <c r="SHW3" s="59"/>
      <c r="SHX3" s="59"/>
      <c r="SHY3" s="59"/>
      <c r="SHZ3" s="59"/>
      <c r="SIA3" s="59"/>
      <c r="SIB3" s="59"/>
      <c r="SIC3" s="59"/>
      <c r="SID3" s="59"/>
      <c r="SIE3" s="59"/>
      <c r="SIF3" s="59"/>
      <c r="SIG3" s="59"/>
      <c r="SIH3" s="59"/>
      <c r="SII3" s="59"/>
      <c r="SIJ3" s="59"/>
      <c r="SIK3" s="59"/>
      <c r="SIL3" s="59"/>
      <c r="SIM3" s="59"/>
      <c r="SIN3" s="59"/>
      <c r="SIO3" s="59"/>
      <c r="SIP3" s="59"/>
      <c r="SIQ3" s="59"/>
      <c r="SIR3" s="59"/>
      <c r="SIS3" s="59"/>
      <c r="SIT3" s="59"/>
      <c r="SIU3" s="59"/>
      <c r="SIV3" s="59"/>
      <c r="SIW3" s="59"/>
      <c r="SIX3" s="59"/>
      <c r="SIY3" s="59"/>
      <c r="SIZ3" s="59"/>
      <c r="SJA3" s="59"/>
      <c r="SJB3" s="59"/>
      <c r="SJC3" s="59"/>
      <c r="SJD3" s="59"/>
      <c r="SJE3" s="59"/>
      <c r="SJF3" s="59"/>
      <c r="SJG3" s="59"/>
      <c r="SJH3" s="59"/>
      <c r="SJI3" s="59"/>
      <c r="SJJ3" s="59"/>
      <c r="SJK3" s="59"/>
      <c r="SJL3" s="59"/>
      <c r="SJM3" s="59"/>
      <c r="SJN3" s="59"/>
      <c r="SJO3" s="59"/>
      <c r="SJP3" s="59"/>
      <c r="SJQ3" s="59"/>
      <c r="SJR3" s="59"/>
      <c r="SJS3" s="59"/>
      <c r="SJT3" s="59"/>
      <c r="SJU3" s="59"/>
      <c r="SJV3" s="59"/>
      <c r="SJW3" s="59"/>
      <c r="SJX3" s="59"/>
      <c r="SJY3" s="59"/>
      <c r="SJZ3" s="59"/>
      <c r="SKA3" s="59"/>
      <c r="SKB3" s="59"/>
      <c r="SKC3" s="59"/>
      <c r="SKD3" s="59"/>
      <c r="SKE3" s="59"/>
      <c r="SKF3" s="59"/>
      <c r="SKG3" s="59"/>
      <c r="SKH3" s="59"/>
      <c r="SKI3" s="59"/>
      <c r="SKJ3" s="59"/>
      <c r="SKK3" s="59"/>
      <c r="SKL3" s="59"/>
      <c r="SKM3" s="59"/>
      <c r="SKN3" s="59"/>
      <c r="SKO3" s="59"/>
      <c r="SKP3" s="59"/>
      <c r="SKQ3" s="59"/>
      <c r="SKR3" s="59"/>
      <c r="SKS3" s="59"/>
      <c r="SKT3" s="59"/>
      <c r="SKU3" s="59"/>
      <c r="SKV3" s="59"/>
      <c r="SKW3" s="59"/>
      <c r="SKX3" s="59"/>
      <c r="SKY3" s="59"/>
      <c r="SKZ3" s="59"/>
      <c r="SLA3" s="59"/>
      <c r="SLB3" s="59"/>
      <c r="SLC3" s="59"/>
      <c r="SLD3" s="59"/>
      <c r="SLE3" s="59"/>
      <c r="SLF3" s="59"/>
      <c r="SLG3" s="59"/>
      <c r="SLH3" s="59"/>
      <c r="SLI3" s="59"/>
      <c r="SLJ3" s="59"/>
      <c r="SLK3" s="59"/>
      <c r="SLL3" s="59"/>
      <c r="SLM3" s="59"/>
      <c r="SLN3" s="59"/>
      <c r="SLO3" s="59"/>
      <c r="SLP3" s="59"/>
      <c r="SLQ3" s="59"/>
      <c r="SLR3" s="59"/>
      <c r="SLS3" s="59"/>
      <c r="SLT3" s="59"/>
      <c r="SLU3" s="59"/>
      <c r="SLV3" s="59"/>
      <c r="SLW3" s="59"/>
      <c r="SLX3" s="59"/>
      <c r="SLY3" s="59"/>
      <c r="SLZ3" s="59"/>
      <c r="SMA3" s="59"/>
      <c r="SMB3" s="59"/>
      <c r="SMC3" s="59"/>
      <c r="SMD3" s="59"/>
      <c r="SME3" s="59"/>
      <c r="SMF3" s="59"/>
      <c r="SMG3" s="59"/>
      <c r="SMH3" s="59"/>
      <c r="SMI3" s="59"/>
      <c r="SMJ3" s="59"/>
      <c r="SMK3" s="59"/>
      <c r="SML3" s="59"/>
      <c r="SMM3" s="59"/>
      <c r="SMN3" s="59"/>
      <c r="SMO3" s="59"/>
      <c r="SMP3" s="59"/>
      <c r="SMQ3" s="59"/>
      <c r="SMR3" s="59"/>
      <c r="SMS3" s="59"/>
      <c r="SMT3" s="59"/>
      <c r="SMU3" s="59"/>
      <c r="SMV3" s="59"/>
      <c r="SMW3" s="59"/>
      <c r="SMX3" s="59"/>
      <c r="SMY3" s="59"/>
      <c r="SMZ3" s="59"/>
      <c r="SNA3" s="59"/>
      <c r="SNB3" s="59"/>
      <c r="SNC3" s="59"/>
      <c r="SND3" s="59"/>
      <c r="SNE3" s="59"/>
      <c r="SNF3" s="59"/>
      <c r="SNG3" s="59"/>
      <c r="SNH3" s="59"/>
      <c r="SNI3" s="59"/>
      <c r="SNJ3" s="59"/>
      <c r="SNK3" s="59"/>
      <c r="SNL3" s="59"/>
      <c r="SNM3" s="59"/>
      <c r="SNN3" s="59"/>
      <c r="SNO3" s="59"/>
      <c r="SNP3" s="59"/>
      <c r="SNQ3" s="59"/>
      <c r="SNR3" s="59"/>
      <c r="SNS3" s="59"/>
      <c r="SNT3" s="59"/>
      <c r="SNU3" s="59"/>
      <c r="SNV3" s="59"/>
      <c r="SNW3" s="59"/>
      <c r="SNX3" s="59"/>
      <c r="SNY3" s="59"/>
      <c r="SNZ3" s="59"/>
      <c r="SOA3" s="59"/>
      <c r="SOB3" s="59"/>
      <c r="SOC3" s="59"/>
      <c r="SOD3" s="59"/>
      <c r="SOE3" s="59"/>
      <c r="SOF3" s="59"/>
      <c r="SOG3" s="59"/>
      <c r="SOH3" s="59"/>
      <c r="SOI3" s="59"/>
      <c r="SOJ3" s="59"/>
      <c r="SOK3" s="59"/>
      <c r="SOL3" s="59"/>
      <c r="SOM3" s="59"/>
      <c r="SON3" s="59"/>
      <c r="SOO3" s="59"/>
      <c r="SOP3" s="59"/>
      <c r="SOQ3" s="59"/>
      <c r="SOR3" s="59"/>
      <c r="SOS3" s="59"/>
      <c r="SOT3" s="59"/>
      <c r="SOU3" s="59"/>
      <c r="SOV3" s="59"/>
      <c r="SOW3" s="59"/>
      <c r="SOX3" s="59"/>
      <c r="SOY3" s="59"/>
      <c r="SOZ3" s="59"/>
      <c r="SPA3" s="59"/>
      <c r="SPB3" s="59"/>
      <c r="SPC3" s="59"/>
      <c r="SPD3" s="59"/>
      <c r="SPE3" s="59"/>
      <c r="SPF3" s="59"/>
      <c r="SPG3" s="59"/>
      <c r="SPH3" s="59"/>
      <c r="SPI3" s="59"/>
      <c r="SPJ3" s="59"/>
      <c r="SPK3" s="59"/>
      <c r="SPL3" s="59"/>
      <c r="SPM3" s="59"/>
      <c r="SPN3" s="59"/>
      <c r="SPO3" s="59"/>
      <c r="SPP3" s="59"/>
      <c r="SPQ3" s="59"/>
      <c r="SPR3" s="59"/>
      <c r="SPS3" s="59"/>
      <c r="SPT3" s="59"/>
      <c r="SPU3" s="59"/>
      <c r="SPV3" s="59"/>
      <c r="SPW3" s="59"/>
      <c r="SPX3" s="59"/>
      <c r="SPY3" s="59"/>
      <c r="SPZ3" s="59"/>
      <c r="SQA3" s="59"/>
      <c r="SQB3" s="59"/>
      <c r="SQC3" s="59"/>
      <c r="SQD3" s="59"/>
      <c r="SQE3" s="59"/>
      <c r="SQF3" s="59"/>
      <c r="SQG3" s="59"/>
      <c r="SQH3" s="59"/>
      <c r="SQI3" s="59"/>
      <c r="SQJ3" s="59"/>
      <c r="SQK3" s="59"/>
      <c r="SQL3" s="59"/>
      <c r="SQM3" s="59"/>
      <c r="SQN3" s="59"/>
      <c r="SQO3" s="59"/>
      <c r="SQP3" s="59"/>
      <c r="SQQ3" s="59"/>
      <c r="SQR3" s="59"/>
      <c r="SQS3" s="59"/>
      <c r="SQT3" s="59"/>
      <c r="SQU3" s="59"/>
      <c r="SQV3" s="59"/>
      <c r="SQW3" s="59"/>
      <c r="SQX3" s="59"/>
      <c r="SQY3" s="59"/>
      <c r="SQZ3" s="59"/>
      <c r="SRA3" s="59"/>
      <c r="SRB3" s="59"/>
      <c r="SRC3" s="59"/>
      <c r="SRD3" s="59"/>
      <c r="SRE3" s="59"/>
      <c r="SRF3" s="59"/>
      <c r="SRG3" s="59"/>
      <c r="SRH3" s="59"/>
      <c r="SRI3" s="59"/>
      <c r="SRJ3" s="59"/>
      <c r="SRK3" s="59"/>
      <c r="SRL3" s="59"/>
      <c r="SRM3" s="59"/>
      <c r="SRN3" s="59"/>
      <c r="SRO3" s="59"/>
      <c r="SRP3" s="59"/>
      <c r="SRQ3" s="59"/>
      <c r="SRR3" s="59"/>
      <c r="SRS3" s="59"/>
      <c r="SRT3" s="59"/>
      <c r="SRU3" s="59"/>
      <c r="SRV3" s="59"/>
      <c r="SRW3" s="59"/>
      <c r="SRX3" s="59"/>
      <c r="SRY3" s="59"/>
      <c r="SRZ3" s="59"/>
      <c r="SSA3" s="59"/>
      <c r="SSB3" s="59"/>
      <c r="SSC3" s="59"/>
      <c r="SSD3" s="59"/>
      <c r="SSE3" s="59"/>
      <c r="SSF3" s="59"/>
      <c r="SSG3" s="59"/>
      <c r="SSH3" s="59"/>
      <c r="SSI3" s="59"/>
      <c r="SSJ3" s="59"/>
      <c r="SSK3" s="59"/>
      <c r="SSL3" s="59"/>
      <c r="SSM3" s="59"/>
      <c r="SSN3" s="59"/>
      <c r="SSO3" s="59"/>
      <c r="SSP3" s="59"/>
      <c r="SSQ3" s="59"/>
      <c r="SSR3" s="59"/>
      <c r="SSS3" s="59"/>
      <c r="SST3" s="59"/>
      <c r="SSU3" s="59"/>
      <c r="SSV3" s="59"/>
      <c r="SSW3" s="59"/>
      <c r="SSX3" s="59"/>
      <c r="SSY3" s="59"/>
      <c r="SSZ3" s="59"/>
      <c r="STA3" s="59"/>
      <c r="STB3" s="59"/>
      <c r="STC3" s="59"/>
      <c r="STD3" s="59"/>
      <c r="STE3" s="59"/>
      <c r="STF3" s="59"/>
      <c r="STG3" s="59"/>
      <c r="STH3" s="59"/>
      <c r="STI3" s="59"/>
      <c r="STJ3" s="59"/>
      <c r="STK3" s="59"/>
      <c r="STL3" s="59"/>
      <c r="STM3" s="59"/>
      <c r="STN3" s="59"/>
      <c r="STO3" s="59"/>
      <c r="STP3" s="59"/>
      <c r="STQ3" s="59"/>
      <c r="STR3" s="59"/>
      <c r="STS3" s="59"/>
      <c r="STT3" s="59"/>
      <c r="STU3" s="59"/>
      <c r="STV3" s="59"/>
      <c r="STW3" s="59"/>
      <c r="STX3" s="59"/>
      <c r="STY3" s="59"/>
      <c r="STZ3" s="59"/>
      <c r="SUA3" s="59"/>
      <c r="SUB3" s="59"/>
      <c r="SUC3" s="59"/>
      <c r="SUD3" s="59"/>
      <c r="SUE3" s="59"/>
      <c r="SUF3" s="59"/>
      <c r="SUG3" s="59"/>
      <c r="SUH3" s="59"/>
      <c r="SUI3" s="59"/>
      <c r="SUJ3" s="59"/>
      <c r="SUK3" s="59"/>
      <c r="SUL3" s="59"/>
      <c r="SUM3" s="59"/>
      <c r="SUN3" s="59"/>
      <c r="SUO3" s="59"/>
      <c r="SUP3" s="59"/>
      <c r="SUQ3" s="59"/>
      <c r="SUR3" s="59"/>
      <c r="SUS3" s="59"/>
      <c r="SUT3" s="59"/>
      <c r="SUU3" s="59"/>
      <c r="SUV3" s="59"/>
      <c r="SUW3" s="59"/>
      <c r="SUX3" s="59"/>
      <c r="SUY3" s="59"/>
      <c r="SUZ3" s="59"/>
      <c r="SVA3" s="59"/>
      <c r="SVB3" s="59"/>
      <c r="SVC3" s="59"/>
      <c r="SVD3" s="59"/>
      <c r="SVE3" s="59"/>
      <c r="SVF3" s="59"/>
      <c r="SVG3" s="59"/>
      <c r="SVH3" s="59"/>
      <c r="SVI3" s="59"/>
      <c r="SVJ3" s="59"/>
      <c r="SVK3" s="59"/>
      <c r="SVL3" s="59"/>
      <c r="SVM3" s="59"/>
      <c r="SVN3" s="59"/>
      <c r="SVO3" s="59"/>
      <c r="SVP3" s="59"/>
      <c r="SVQ3" s="59"/>
      <c r="SVR3" s="59"/>
      <c r="SVS3" s="59"/>
      <c r="SVT3" s="59"/>
      <c r="SVU3" s="59"/>
      <c r="SVV3" s="59"/>
      <c r="SVW3" s="59"/>
      <c r="SVX3" s="59"/>
      <c r="SVY3" s="59"/>
      <c r="SVZ3" s="59"/>
      <c r="SWA3" s="59"/>
      <c r="SWB3" s="59"/>
      <c r="SWC3" s="59"/>
      <c r="SWD3" s="59"/>
      <c r="SWE3" s="59"/>
      <c r="SWF3" s="59"/>
      <c r="SWG3" s="59"/>
      <c r="SWH3" s="59"/>
      <c r="SWI3" s="59"/>
      <c r="SWJ3" s="59"/>
      <c r="SWK3" s="59"/>
      <c r="SWL3" s="59"/>
      <c r="SWM3" s="59"/>
      <c r="SWN3" s="59"/>
      <c r="SWO3" s="59"/>
      <c r="SWP3" s="59"/>
      <c r="SWQ3" s="59"/>
      <c r="SWR3" s="59"/>
      <c r="SWS3" s="59"/>
      <c r="SWT3" s="59"/>
      <c r="SWU3" s="59"/>
      <c r="SWV3" s="59"/>
      <c r="SWW3" s="59"/>
      <c r="SWX3" s="59"/>
      <c r="SWY3" s="59"/>
      <c r="SWZ3" s="59"/>
      <c r="SXA3" s="59"/>
      <c r="SXB3" s="59"/>
      <c r="SXC3" s="59"/>
      <c r="SXD3" s="59"/>
      <c r="SXE3" s="59"/>
      <c r="SXF3" s="59"/>
      <c r="SXG3" s="59"/>
      <c r="SXH3" s="59"/>
      <c r="SXI3" s="59"/>
      <c r="SXJ3" s="59"/>
      <c r="SXK3" s="59"/>
      <c r="SXL3" s="59"/>
      <c r="SXM3" s="59"/>
      <c r="SXN3" s="59"/>
      <c r="SXO3" s="59"/>
      <c r="SXP3" s="59"/>
      <c r="SXQ3" s="59"/>
      <c r="SXR3" s="59"/>
      <c r="SXS3" s="59"/>
      <c r="SXT3" s="59"/>
      <c r="SXU3" s="59"/>
      <c r="SXV3" s="59"/>
      <c r="SXW3" s="59"/>
      <c r="SXX3" s="59"/>
      <c r="SXY3" s="59"/>
      <c r="SXZ3" s="59"/>
      <c r="SYA3" s="59"/>
      <c r="SYB3" s="59"/>
      <c r="SYC3" s="59"/>
      <c r="SYD3" s="59"/>
      <c r="SYE3" s="59"/>
      <c r="SYF3" s="59"/>
      <c r="SYG3" s="59"/>
      <c r="SYH3" s="59"/>
      <c r="SYI3" s="59"/>
      <c r="SYJ3" s="59"/>
      <c r="SYK3" s="59"/>
      <c r="SYL3" s="59"/>
      <c r="SYM3" s="59"/>
      <c r="SYN3" s="59"/>
      <c r="SYO3" s="59"/>
      <c r="SYP3" s="59"/>
      <c r="SYQ3" s="59"/>
      <c r="SYR3" s="59"/>
      <c r="SYS3" s="59"/>
      <c r="SYT3" s="59"/>
      <c r="SYU3" s="59"/>
      <c r="SYV3" s="59"/>
      <c r="SYW3" s="59"/>
      <c r="SYX3" s="59"/>
      <c r="SYY3" s="59"/>
      <c r="SYZ3" s="59"/>
      <c r="SZA3" s="59"/>
      <c r="SZB3" s="59"/>
      <c r="SZC3" s="59"/>
      <c r="SZD3" s="59"/>
      <c r="SZE3" s="59"/>
      <c r="SZF3" s="59"/>
      <c r="SZG3" s="59"/>
      <c r="SZH3" s="59"/>
      <c r="SZI3" s="59"/>
      <c r="SZJ3" s="59"/>
      <c r="SZK3" s="59"/>
      <c r="SZL3" s="59"/>
      <c r="SZM3" s="59"/>
      <c r="SZN3" s="59"/>
      <c r="SZO3" s="59"/>
      <c r="SZP3" s="59"/>
      <c r="SZQ3" s="59"/>
      <c r="SZR3" s="59"/>
      <c r="SZS3" s="59"/>
      <c r="SZT3" s="59"/>
      <c r="SZU3" s="59"/>
      <c r="SZV3" s="59"/>
      <c r="SZW3" s="59"/>
      <c r="SZX3" s="59"/>
      <c r="SZY3" s="59"/>
      <c r="SZZ3" s="59"/>
      <c r="TAA3" s="59"/>
      <c r="TAB3" s="59"/>
      <c r="TAC3" s="59"/>
      <c r="TAD3" s="59"/>
      <c r="TAE3" s="59"/>
      <c r="TAF3" s="59"/>
      <c r="TAG3" s="59"/>
      <c r="TAH3" s="59"/>
      <c r="TAI3" s="59"/>
      <c r="TAJ3" s="59"/>
      <c r="TAK3" s="59"/>
      <c r="TAL3" s="59"/>
      <c r="TAM3" s="59"/>
      <c r="TAN3" s="59"/>
      <c r="TAO3" s="59"/>
      <c r="TAP3" s="59"/>
      <c r="TAQ3" s="59"/>
      <c r="TAR3" s="59"/>
      <c r="TAS3" s="59"/>
      <c r="TAT3" s="59"/>
      <c r="TAU3" s="59"/>
      <c r="TAV3" s="59"/>
      <c r="TAW3" s="59"/>
      <c r="TAX3" s="59"/>
      <c r="TAY3" s="59"/>
      <c r="TAZ3" s="59"/>
      <c r="TBA3" s="59"/>
      <c r="TBB3" s="59"/>
      <c r="TBC3" s="59"/>
      <c r="TBD3" s="59"/>
      <c r="TBE3" s="59"/>
      <c r="TBF3" s="59"/>
      <c r="TBG3" s="59"/>
      <c r="TBH3" s="59"/>
      <c r="TBI3" s="59"/>
      <c r="TBJ3" s="59"/>
      <c r="TBK3" s="59"/>
      <c r="TBL3" s="59"/>
      <c r="TBM3" s="59"/>
      <c r="TBN3" s="59"/>
      <c r="TBO3" s="59"/>
      <c r="TBP3" s="59"/>
      <c r="TBQ3" s="59"/>
      <c r="TBR3" s="59"/>
      <c r="TBS3" s="59"/>
      <c r="TBT3" s="59"/>
      <c r="TBU3" s="59"/>
      <c r="TBV3" s="59"/>
      <c r="TBW3" s="59"/>
      <c r="TBX3" s="59"/>
      <c r="TBY3" s="59"/>
      <c r="TBZ3" s="59"/>
      <c r="TCA3" s="59"/>
      <c r="TCB3" s="59"/>
      <c r="TCC3" s="59"/>
      <c r="TCD3" s="59"/>
      <c r="TCE3" s="59"/>
      <c r="TCF3" s="59"/>
      <c r="TCG3" s="59"/>
      <c r="TCH3" s="59"/>
      <c r="TCI3" s="59"/>
      <c r="TCJ3" s="59"/>
      <c r="TCK3" s="59"/>
      <c r="TCL3" s="59"/>
      <c r="TCM3" s="59"/>
      <c r="TCN3" s="59"/>
      <c r="TCO3" s="59"/>
      <c r="TCP3" s="59"/>
      <c r="TCQ3" s="59"/>
      <c r="TCR3" s="59"/>
      <c r="TCS3" s="59"/>
      <c r="TCT3" s="59"/>
      <c r="TCU3" s="59"/>
      <c r="TCV3" s="59"/>
      <c r="TCW3" s="59"/>
      <c r="TCX3" s="59"/>
      <c r="TCY3" s="59"/>
      <c r="TCZ3" s="59"/>
      <c r="TDA3" s="59"/>
      <c r="TDB3" s="59"/>
      <c r="TDC3" s="59"/>
      <c r="TDD3" s="59"/>
      <c r="TDE3" s="59"/>
      <c r="TDF3" s="59"/>
      <c r="TDG3" s="59"/>
      <c r="TDH3" s="59"/>
      <c r="TDI3" s="59"/>
      <c r="TDJ3" s="59"/>
      <c r="TDK3" s="59"/>
      <c r="TDL3" s="59"/>
      <c r="TDM3" s="59"/>
      <c r="TDN3" s="59"/>
      <c r="TDO3" s="59"/>
      <c r="TDP3" s="59"/>
      <c r="TDQ3" s="59"/>
      <c r="TDR3" s="59"/>
      <c r="TDS3" s="59"/>
      <c r="TDT3" s="59"/>
      <c r="TDU3" s="59"/>
      <c r="TDV3" s="59"/>
      <c r="TDW3" s="59"/>
      <c r="TDX3" s="59"/>
      <c r="TDY3" s="59"/>
      <c r="TDZ3" s="59"/>
      <c r="TEA3" s="59"/>
      <c r="TEB3" s="59"/>
      <c r="TEC3" s="59"/>
      <c r="TED3" s="59"/>
      <c r="TEE3" s="59"/>
      <c r="TEF3" s="59"/>
      <c r="TEG3" s="59"/>
      <c r="TEH3" s="59"/>
      <c r="TEI3" s="59"/>
      <c r="TEJ3" s="59"/>
      <c r="TEK3" s="59"/>
      <c r="TEL3" s="59"/>
      <c r="TEM3" s="59"/>
      <c r="TEN3" s="59"/>
      <c r="TEO3" s="59"/>
      <c r="TEP3" s="59"/>
      <c r="TEQ3" s="59"/>
      <c r="TER3" s="59"/>
      <c r="TES3" s="59"/>
      <c r="TET3" s="59"/>
      <c r="TEU3" s="59"/>
      <c r="TEV3" s="59"/>
      <c r="TEW3" s="59"/>
      <c r="TEX3" s="59"/>
      <c r="TEY3" s="59"/>
      <c r="TEZ3" s="59"/>
      <c r="TFA3" s="59"/>
      <c r="TFB3" s="59"/>
      <c r="TFC3" s="59"/>
      <c r="TFD3" s="59"/>
      <c r="TFE3" s="59"/>
      <c r="TFF3" s="59"/>
      <c r="TFG3" s="59"/>
      <c r="TFH3" s="59"/>
      <c r="TFI3" s="59"/>
      <c r="TFJ3" s="59"/>
      <c r="TFK3" s="59"/>
      <c r="TFL3" s="59"/>
      <c r="TFM3" s="59"/>
      <c r="TFN3" s="59"/>
      <c r="TFO3" s="59"/>
      <c r="TFP3" s="59"/>
      <c r="TFQ3" s="59"/>
      <c r="TFR3" s="59"/>
      <c r="TFS3" s="59"/>
      <c r="TFT3" s="59"/>
      <c r="TFU3" s="59"/>
      <c r="TFV3" s="59"/>
      <c r="TFW3" s="59"/>
      <c r="TFX3" s="59"/>
      <c r="TFY3" s="59"/>
      <c r="TFZ3" s="59"/>
      <c r="TGA3" s="59"/>
      <c r="TGB3" s="59"/>
      <c r="TGC3" s="59"/>
      <c r="TGD3" s="59"/>
      <c r="TGE3" s="59"/>
      <c r="TGF3" s="59"/>
      <c r="TGG3" s="59"/>
      <c r="TGH3" s="59"/>
      <c r="TGI3" s="59"/>
      <c r="TGJ3" s="59"/>
      <c r="TGK3" s="59"/>
      <c r="TGL3" s="59"/>
      <c r="TGM3" s="59"/>
      <c r="TGN3" s="59"/>
      <c r="TGO3" s="59"/>
      <c r="TGP3" s="59"/>
      <c r="TGQ3" s="59"/>
      <c r="TGR3" s="59"/>
      <c r="TGS3" s="59"/>
      <c r="TGT3" s="59"/>
      <c r="TGU3" s="59"/>
      <c r="TGV3" s="59"/>
      <c r="TGW3" s="59"/>
      <c r="TGX3" s="59"/>
      <c r="TGY3" s="59"/>
      <c r="TGZ3" s="59"/>
      <c r="THA3" s="59"/>
      <c r="THB3" s="59"/>
      <c r="THC3" s="59"/>
      <c r="THD3" s="59"/>
      <c r="THE3" s="59"/>
      <c r="THF3" s="59"/>
      <c r="THG3" s="59"/>
      <c r="THH3" s="59"/>
      <c r="THI3" s="59"/>
      <c r="THJ3" s="59"/>
      <c r="THK3" s="59"/>
      <c r="THL3" s="59"/>
      <c r="THM3" s="59"/>
      <c r="THN3" s="59"/>
      <c r="THO3" s="59"/>
      <c r="THP3" s="59"/>
      <c r="THQ3" s="59"/>
      <c r="THR3" s="59"/>
      <c r="THS3" s="59"/>
      <c r="THT3" s="59"/>
      <c r="THU3" s="59"/>
      <c r="THV3" s="59"/>
      <c r="THW3" s="59"/>
      <c r="THX3" s="59"/>
      <c r="THY3" s="59"/>
      <c r="THZ3" s="59"/>
      <c r="TIA3" s="59"/>
      <c r="TIB3" s="59"/>
      <c r="TIC3" s="59"/>
      <c r="TID3" s="59"/>
      <c r="TIE3" s="59"/>
      <c r="TIF3" s="59"/>
      <c r="TIG3" s="59"/>
      <c r="TIH3" s="59"/>
      <c r="TII3" s="59"/>
      <c r="TIJ3" s="59"/>
      <c r="TIK3" s="59"/>
      <c r="TIL3" s="59"/>
      <c r="TIM3" s="59"/>
      <c r="TIN3" s="59"/>
      <c r="TIO3" s="59"/>
      <c r="TIP3" s="59"/>
      <c r="TIQ3" s="59"/>
      <c r="TIR3" s="59"/>
      <c r="TIS3" s="59"/>
      <c r="TIT3" s="59"/>
      <c r="TIU3" s="59"/>
      <c r="TIV3" s="59"/>
      <c r="TIW3" s="59"/>
      <c r="TIX3" s="59"/>
      <c r="TIY3" s="59"/>
      <c r="TIZ3" s="59"/>
      <c r="TJA3" s="59"/>
      <c r="TJB3" s="59"/>
      <c r="TJC3" s="59"/>
      <c r="TJD3" s="59"/>
      <c r="TJE3" s="59"/>
      <c r="TJF3" s="59"/>
      <c r="TJG3" s="59"/>
      <c r="TJH3" s="59"/>
      <c r="TJI3" s="59"/>
      <c r="TJJ3" s="59"/>
      <c r="TJK3" s="59"/>
      <c r="TJL3" s="59"/>
      <c r="TJM3" s="59"/>
      <c r="TJN3" s="59"/>
      <c r="TJO3" s="59"/>
      <c r="TJP3" s="59"/>
      <c r="TJQ3" s="59"/>
      <c r="TJR3" s="59"/>
      <c r="TJS3" s="59"/>
      <c r="TJT3" s="59"/>
      <c r="TJU3" s="59"/>
      <c r="TJV3" s="59"/>
      <c r="TJW3" s="59"/>
      <c r="TJX3" s="59"/>
      <c r="TJY3" s="59"/>
      <c r="TJZ3" s="59"/>
      <c r="TKA3" s="59"/>
      <c r="TKB3" s="59"/>
      <c r="TKC3" s="59"/>
      <c r="TKD3" s="59"/>
      <c r="TKE3" s="59"/>
      <c r="TKF3" s="59"/>
      <c r="TKG3" s="59"/>
      <c r="TKH3" s="59"/>
      <c r="TKI3" s="59"/>
      <c r="TKJ3" s="59"/>
      <c r="TKK3" s="59"/>
      <c r="TKL3" s="59"/>
      <c r="TKM3" s="59"/>
      <c r="TKN3" s="59"/>
      <c r="TKO3" s="59"/>
      <c r="TKP3" s="59"/>
      <c r="TKQ3" s="59"/>
      <c r="TKR3" s="59"/>
      <c r="TKS3" s="59"/>
      <c r="TKT3" s="59"/>
      <c r="TKU3" s="59"/>
      <c r="TKV3" s="59"/>
      <c r="TKW3" s="59"/>
      <c r="TKX3" s="59"/>
      <c r="TKY3" s="59"/>
      <c r="TKZ3" s="59"/>
      <c r="TLA3" s="59"/>
      <c r="TLB3" s="59"/>
      <c r="TLC3" s="59"/>
      <c r="TLD3" s="59"/>
      <c r="TLE3" s="59"/>
      <c r="TLF3" s="59"/>
      <c r="TLG3" s="59"/>
      <c r="TLH3" s="59"/>
      <c r="TLI3" s="59"/>
      <c r="TLJ3" s="59"/>
      <c r="TLK3" s="59"/>
      <c r="TLL3" s="59"/>
      <c r="TLM3" s="59"/>
      <c r="TLN3" s="59"/>
      <c r="TLO3" s="59"/>
      <c r="TLP3" s="59"/>
      <c r="TLQ3" s="59"/>
      <c r="TLR3" s="59"/>
      <c r="TLS3" s="59"/>
      <c r="TLT3" s="59"/>
      <c r="TLU3" s="59"/>
      <c r="TLV3" s="59"/>
      <c r="TLW3" s="59"/>
      <c r="TLX3" s="59"/>
      <c r="TLY3" s="59"/>
      <c r="TLZ3" s="59"/>
      <c r="TMA3" s="59"/>
      <c r="TMB3" s="59"/>
      <c r="TMC3" s="59"/>
      <c r="TMD3" s="59"/>
      <c r="TME3" s="59"/>
      <c r="TMF3" s="59"/>
      <c r="TMG3" s="59"/>
      <c r="TMH3" s="59"/>
      <c r="TMI3" s="59"/>
      <c r="TMJ3" s="59"/>
      <c r="TMK3" s="59"/>
      <c r="TML3" s="59"/>
      <c r="TMM3" s="59"/>
      <c r="TMN3" s="59"/>
      <c r="TMO3" s="59"/>
      <c r="TMP3" s="59"/>
      <c r="TMQ3" s="59"/>
      <c r="TMR3" s="59"/>
      <c r="TMS3" s="59"/>
      <c r="TMT3" s="59"/>
      <c r="TMU3" s="59"/>
      <c r="TMV3" s="59"/>
      <c r="TMW3" s="59"/>
      <c r="TMX3" s="59"/>
      <c r="TMY3" s="59"/>
      <c r="TMZ3" s="59"/>
      <c r="TNA3" s="59"/>
      <c r="TNB3" s="59"/>
      <c r="TNC3" s="59"/>
      <c r="TND3" s="59"/>
      <c r="TNE3" s="59"/>
      <c r="TNF3" s="59"/>
      <c r="TNG3" s="59"/>
      <c r="TNH3" s="59"/>
      <c r="TNI3" s="59"/>
      <c r="TNJ3" s="59"/>
      <c r="TNK3" s="59"/>
      <c r="TNL3" s="59"/>
      <c r="TNM3" s="59"/>
      <c r="TNN3" s="59"/>
      <c r="TNO3" s="59"/>
      <c r="TNP3" s="59"/>
      <c r="TNQ3" s="59"/>
      <c r="TNR3" s="59"/>
      <c r="TNS3" s="59"/>
      <c r="TNT3" s="59"/>
      <c r="TNU3" s="59"/>
      <c r="TNV3" s="59"/>
      <c r="TNW3" s="59"/>
      <c r="TNX3" s="59"/>
      <c r="TNY3" s="59"/>
      <c r="TNZ3" s="59"/>
      <c r="TOA3" s="59"/>
      <c r="TOB3" s="59"/>
      <c r="TOC3" s="59"/>
      <c r="TOD3" s="59"/>
      <c r="TOE3" s="59"/>
      <c r="TOF3" s="59"/>
      <c r="TOG3" s="59"/>
      <c r="TOH3" s="59"/>
      <c r="TOI3" s="59"/>
      <c r="TOJ3" s="59"/>
      <c r="TOK3" s="59"/>
      <c r="TOL3" s="59"/>
      <c r="TOM3" s="59"/>
      <c r="TON3" s="59"/>
      <c r="TOO3" s="59"/>
      <c r="TOP3" s="59"/>
      <c r="TOQ3" s="59"/>
      <c r="TOR3" s="59"/>
      <c r="TOS3" s="59"/>
      <c r="TOT3" s="59"/>
      <c r="TOU3" s="59"/>
      <c r="TOV3" s="59"/>
      <c r="TOW3" s="59"/>
      <c r="TOX3" s="59"/>
      <c r="TOY3" s="59"/>
      <c r="TOZ3" s="59"/>
      <c r="TPA3" s="59"/>
      <c r="TPB3" s="59"/>
      <c r="TPC3" s="59"/>
      <c r="TPD3" s="59"/>
      <c r="TPE3" s="59"/>
      <c r="TPF3" s="59"/>
      <c r="TPG3" s="59"/>
      <c r="TPH3" s="59"/>
      <c r="TPI3" s="59"/>
      <c r="TPJ3" s="59"/>
      <c r="TPK3" s="59"/>
      <c r="TPL3" s="59"/>
      <c r="TPM3" s="59"/>
      <c r="TPN3" s="59"/>
      <c r="TPO3" s="59"/>
      <c r="TPP3" s="59"/>
      <c r="TPQ3" s="59"/>
      <c r="TPR3" s="59"/>
      <c r="TPS3" s="59"/>
      <c r="TPT3" s="59"/>
      <c r="TPU3" s="59"/>
      <c r="TPV3" s="59"/>
      <c r="TPW3" s="59"/>
      <c r="TPX3" s="59"/>
      <c r="TPY3" s="59"/>
      <c r="TPZ3" s="59"/>
      <c r="TQA3" s="59"/>
      <c r="TQB3" s="59"/>
      <c r="TQC3" s="59"/>
      <c r="TQD3" s="59"/>
      <c r="TQE3" s="59"/>
      <c r="TQF3" s="59"/>
      <c r="TQG3" s="59"/>
      <c r="TQH3" s="59"/>
      <c r="TQI3" s="59"/>
      <c r="TQJ3" s="59"/>
      <c r="TQK3" s="59"/>
      <c r="TQL3" s="59"/>
      <c r="TQM3" s="59"/>
      <c r="TQN3" s="59"/>
      <c r="TQO3" s="59"/>
      <c r="TQP3" s="59"/>
      <c r="TQQ3" s="59"/>
      <c r="TQR3" s="59"/>
      <c r="TQS3" s="59"/>
      <c r="TQT3" s="59"/>
      <c r="TQU3" s="59"/>
      <c r="TQV3" s="59"/>
      <c r="TQW3" s="59"/>
      <c r="TQX3" s="59"/>
      <c r="TQY3" s="59"/>
      <c r="TQZ3" s="59"/>
      <c r="TRA3" s="59"/>
      <c r="TRB3" s="59"/>
      <c r="TRC3" s="59"/>
      <c r="TRD3" s="59"/>
      <c r="TRE3" s="59"/>
      <c r="TRF3" s="59"/>
      <c r="TRG3" s="59"/>
      <c r="TRH3" s="59"/>
      <c r="TRI3" s="59"/>
      <c r="TRJ3" s="59"/>
      <c r="TRK3" s="59"/>
      <c r="TRL3" s="59"/>
      <c r="TRM3" s="59"/>
      <c r="TRN3" s="59"/>
      <c r="TRO3" s="59"/>
      <c r="TRP3" s="59"/>
      <c r="TRQ3" s="59"/>
      <c r="TRR3" s="59"/>
      <c r="TRS3" s="59"/>
      <c r="TRT3" s="59"/>
      <c r="TRU3" s="59"/>
      <c r="TRV3" s="59"/>
      <c r="TRW3" s="59"/>
      <c r="TRX3" s="59"/>
      <c r="TRY3" s="59"/>
      <c r="TRZ3" s="59"/>
      <c r="TSA3" s="59"/>
      <c r="TSB3" s="59"/>
      <c r="TSC3" s="59"/>
      <c r="TSD3" s="59"/>
      <c r="TSE3" s="59"/>
      <c r="TSF3" s="59"/>
      <c r="TSG3" s="59"/>
      <c r="TSH3" s="59"/>
      <c r="TSI3" s="59"/>
      <c r="TSJ3" s="59"/>
      <c r="TSK3" s="59"/>
      <c r="TSL3" s="59"/>
      <c r="TSM3" s="59"/>
      <c r="TSN3" s="59"/>
      <c r="TSO3" s="59"/>
      <c r="TSP3" s="59"/>
      <c r="TSQ3" s="59"/>
      <c r="TSR3" s="59"/>
      <c r="TSS3" s="59"/>
      <c r="TST3" s="59"/>
      <c r="TSU3" s="59"/>
      <c r="TSV3" s="59"/>
      <c r="TSW3" s="59"/>
      <c r="TSX3" s="59"/>
      <c r="TSY3" s="59"/>
      <c r="TSZ3" s="59"/>
      <c r="TTA3" s="59"/>
      <c r="TTB3" s="59"/>
      <c r="TTC3" s="59"/>
      <c r="TTD3" s="59"/>
      <c r="TTE3" s="59"/>
      <c r="TTF3" s="59"/>
      <c r="TTG3" s="59"/>
      <c r="TTH3" s="59"/>
      <c r="TTI3" s="59"/>
      <c r="TTJ3" s="59"/>
      <c r="TTK3" s="59"/>
      <c r="TTL3" s="59"/>
      <c r="TTM3" s="59"/>
      <c r="TTN3" s="59"/>
      <c r="TTO3" s="59"/>
      <c r="TTP3" s="59"/>
      <c r="TTQ3" s="59"/>
      <c r="TTR3" s="59"/>
      <c r="TTS3" s="59"/>
      <c r="TTT3" s="59"/>
      <c r="TTU3" s="59"/>
      <c r="TTV3" s="59"/>
      <c r="TTW3" s="59"/>
      <c r="TTX3" s="59"/>
      <c r="TTY3" s="59"/>
      <c r="TTZ3" s="59"/>
      <c r="TUA3" s="59"/>
      <c r="TUB3" s="59"/>
      <c r="TUC3" s="59"/>
      <c r="TUD3" s="59"/>
      <c r="TUE3" s="59"/>
      <c r="TUF3" s="59"/>
      <c r="TUG3" s="59"/>
      <c r="TUH3" s="59"/>
      <c r="TUI3" s="59"/>
      <c r="TUJ3" s="59"/>
      <c r="TUK3" s="59"/>
      <c r="TUL3" s="59"/>
      <c r="TUM3" s="59"/>
      <c r="TUN3" s="59"/>
      <c r="TUO3" s="59"/>
      <c r="TUP3" s="59"/>
      <c r="TUQ3" s="59"/>
      <c r="TUR3" s="59"/>
      <c r="TUS3" s="59"/>
      <c r="TUT3" s="59"/>
      <c r="TUU3" s="59"/>
      <c r="TUV3" s="59"/>
      <c r="TUW3" s="59"/>
      <c r="TUX3" s="59"/>
      <c r="TUY3" s="59"/>
      <c r="TUZ3" s="59"/>
      <c r="TVA3" s="59"/>
      <c r="TVB3" s="59"/>
      <c r="TVC3" s="59"/>
      <c r="TVD3" s="59"/>
      <c r="TVE3" s="59"/>
      <c r="TVF3" s="59"/>
      <c r="TVG3" s="59"/>
      <c r="TVH3" s="59"/>
      <c r="TVI3" s="59"/>
      <c r="TVJ3" s="59"/>
      <c r="TVK3" s="59"/>
      <c r="TVL3" s="59"/>
      <c r="TVM3" s="59"/>
      <c r="TVN3" s="59"/>
      <c r="TVO3" s="59"/>
      <c r="TVP3" s="59"/>
      <c r="TVQ3" s="59"/>
      <c r="TVR3" s="59"/>
      <c r="TVS3" s="59"/>
      <c r="TVT3" s="59"/>
      <c r="TVU3" s="59"/>
      <c r="TVV3" s="59"/>
      <c r="TVW3" s="59"/>
      <c r="TVX3" s="59"/>
      <c r="TVY3" s="59"/>
      <c r="TVZ3" s="59"/>
      <c r="TWA3" s="59"/>
      <c r="TWB3" s="59"/>
      <c r="TWC3" s="59"/>
      <c r="TWD3" s="59"/>
      <c r="TWE3" s="59"/>
      <c r="TWF3" s="59"/>
      <c r="TWG3" s="59"/>
      <c r="TWH3" s="59"/>
      <c r="TWI3" s="59"/>
      <c r="TWJ3" s="59"/>
      <c r="TWK3" s="59"/>
      <c r="TWL3" s="59"/>
      <c r="TWM3" s="59"/>
      <c r="TWN3" s="59"/>
      <c r="TWO3" s="59"/>
      <c r="TWP3" s="59"/>
      <c r="TWQ3" s="59"/>
      <c r="TWR3" s="59"/>
      <c r="TWS3" s="59"/>
      <c r="TWT3" s="59"/>
      <c r="TWU3" s="59"/>
      <c r="TWV3" s="59"/>
      <c r="TWW3" s="59"/>
      <c r="TWX3" s="59"/>
      <c r="TWY3" s="59"/>
      <c r="TWZ3" s="59"/>
      <c r="TXA3" s="59"/>
      <c r="TXB3" s="59"/>
      <c r="TXC3" s="59"/>
      <c r="TXD3" s="59"/>
      <c r="TXE3" s="59"/>
      <c r="TXF3" s="59"/>
      <c r="TXG3" s="59"/>
      <c r="TXH3" s="59"/>
      <c r="TXI3" s="59"/>
      <c r="TXJ3" s="59"/>
      <c r="TXK3" s="59"/>
      <c r="TXL3" s="59"/>
      <c r="TXM3" s="59"/>
      <c r="TXN3" s="59"/>
      <c r="TXO3" s="59"/>
      <c r="TXP3" s="59"/>
      <c r="TXQ3" s="59"/>
      <c r="TXR3" s="59"/>
      <c r="TXS3" s="59"/>
      <c r="TXT3" s="59"/>
      <c r="TXU3" s="59"/>
      <c r="TXV3" s="59"/>
      <c r="TXW3" s="59"/>
      <c r="TXX3" s="59"/>
      <c r="TXY3" s="59"/>
      <c r="TXZ3" s="59"/>
      <c r="TYA3" s="59"/>
      <c r="TYB3" s="59"/>
      <c r="TYC3" s="59"/>
      <c r="TYD3" s="59"/>
      <c r="TYE3" s="59"/>
      <c r="TYF3" s="59"/>
      <c r="TYG3" s="59"/>
      <c r="TYH3" s="59"/>
      <c r="TYI3" s="59"/>
      <c r="TYJ3" s="59"/>
      <c r="TYK3" s="59"/>
      <c r="TYL3" s="59"/>
      <c r="TYM3" s="59"/>
      <c r="TYN3" s="59"/>
      <c r="TYO3" s="59"/>
      <c r="TYP3" s="59"/>
      <c r="TYQ3" s="59"/>
      <c r="TYR3" s="59"/>
      <c r="TYS3" s="59"/>
      <c r="TYT3" s="59"/>
      <c r="TYU3" s="59"/>
      <c r="TYV3" s="59"/>
      <c r="TYW3" s="59"/>
      <c r="TYX3" s="59"/>
      <c r="TYY3" s="59"/>
      <c r="TYZ3" s="59"/>
      <c r="TZA3" s="59"/>
      <c r="TZB3" s="59"/>
      <c r="TZC3" s="59"/>
      <c r="TZD3" s="59"/>
      <c r="TZE3" s="59"/>
      <c r="TZF3" s="59"/>
      <c r="TZG3" s="59"/>
      <c r="TZH3" s="59"/>
      <c r="TZI3" s="59"/>
      <c r="TZJ3" s="59"/>
      <c r="TZK3" s="59"/>
      <c r="TZL3" s="59"/>
      <c r="TZM3" s="59"/>
      <c r="TZN3" s="59"/>
      <c r="TZO3" s="59"/>
      <c r="TZP3" s="59"/>
      <c r="TZQ3" s="59"/>
      <c r="TZR3" s="59"/>
      <c r="TZS3" s="59"/>
      <c r="TZT3" s="59"/>
      <c r="TZU3" s="59"/>
      <c r="TZV3" s="59"/>
      <c r="TZW3" s="59"/>
      <c r="TZX3" s="59"/>
      <c r="TZY3" s="59"/>
      <c r="TZZ3" s="59"/>
      <c r="UAA3" s="59"/>
      <c r="UAB3" s="59"/>
      <c r="UAC3" s="59"/>
      <c r="UAD3" s="59"/>
      <c r="UAE3" s="59"/>
      <c r="UAF3" s="59"/>
      <c r="UAG3" s="59"/>
      <c r="UAH3" s="59"/>
      <c r="UAI3" s="59"/>
      <c r="UAJ3" s="59"/>
      <c r="UAK3" s="59"/>
      <c r="UAL3" s="59"/>
      <c r="UAM3" s="59"/>
      <c r="UAN3" s="59"/>
      <c r="UAO3" s="59"/>
      <c r="UAP3" s="59"/>
      <c r="UAQ3" s="59"/>
      <c r="UAR3" s="59"/>
      <c r="UAS3" s="59"/>
      <c r="UAT3" s="59"/>
      <c r="UAU3" s="59"/>
      <c r="UAV3" s="59"/>
      <c r="UAW3" s="59"/>
      <c r="UAX3" s="59"/>
      <c r="UAY3" s="59"/>
      <c r="UAZ3" s="59"/>
      <c r="UBA3" s="59"/>
      <c r="UBB3" s="59"/>
      <c r="UBC3" s="59"/>
      <c r="UBD3" s="59"/>
      <c r="UBE3" s="59"/>
      <c r="UBF3" s="59"/>
      <c r="UBG3" s="59"/>
      <c r="UBH3" s="59"/>
      <c r="UBI3" s="59"/>
      <c r="UBJ3" s="59"/>
      <c r="UBK3" s="59"/>
      <c r="UBL3" s="59"/>
      <c r="UBM3" s="59"/>
      <c r="UBN3" s="59"/>
      <c r="UBO3" s="59"/>
      <c r="UBP3" s="59"/>
      <c r="UBQ3" s="59"/>
      <c r="UBR3" s="59"/>
      <c r="UBS3" s="59"/>
      <c r="UBT3" s="59"/>
      <c r="UBU3" s="59"/>
      <c r="UBV3" s="59"/>
      <c r="UBW3" s="59"/>
      <c r="UBX3" s="59"/>
      <c r="UBY3" s="59"/>
      <c r="UBZ3" s="59"/>
      <c r="UCA3" s="59"/>
      <c r="UCB3" s="59"/>
      <c r="UCC3" s="59"/>
      <c r="UCD3" s="59"/>
      <c r="UCE3" s="59"/>
      <c r="UCF3" s="59"/>
      <c r="UCG3" s="59"/>
      <c r="UCH3" s="59"/>
      <c r="UCI3" s="59"/>
      <c r="UCJ3" s="59"/>
      <c r="UCK3" s="59"/>
      <c r="UCL3" s="59"/>
      <c r="UCM3" s="59"/>
      <c r="UCN3" s="59"/>
      <c r="UCO3" s="59"/>
      <c r="UCP3" s="59"/>
      <c r="UCQ3" s="59"/>
      <c r="UCR3" s="59"/>
      <c r="UCS3" s="59"/>
      <c r="UCT3" s="59"/>
      <c r="UCU3" s="59"/>
      <c r="UCV3" s="59"/>
      <c r="UCW3" s="59"/>
      <c r="UCX3" s="59"/>
      <c r="UCY3" s="59"/>
      <c r="UCZ3" s="59"/>
      <c r="UDA3" s="59"/>
      <c r="UDB3" s="59"/>
      <c r="UDC3" s="59"/>
      <c r="UDD3" s="59"/>
      <c r="UDE3" s="59"/>
      <c r="UDF3" s="59"/>
      <c r="UDG3" s="59"/>
      <c r="UDH3" s="59"/>
      <c r="UDI3" s="59"/>
      <c r="UDJ3" s="59"/>
      <c r="UDK3" s="59"/>
      <c r="UDL3" s="59"/>
      <c r="UDM3" s="59"/>
      <c r="UDN3" s="59"/>
      <c r="UDO3" s="59"/>
      <c r="UDP3" s="59"/>
      <c r="UDQ3" s="59"/>
      <c r="UDR3" s="59"/>
      <c r="UDS3" s="59"/>
      <c r="UDT3" s="59"/>
      <c r="UDU3" s="59"/>
      <c r="UDV3" s="59"/>
      <c r="UDW3" s="59"/>
      <c r="UDX3" s="59"/>
      <c r="UDY3" s="59"/>
      <c r="UDZ3" s="59"/>
      <c r="UEA3" s="59"/>
      <c r="UEB3" s="59"/>
      <c r="UEC3" s="59"/>
      <c r="UED3" s="59"/>
      <c r="UEE3" s="59"/>
      <c r="UEF3" s="59"/>
      <c r="UEG3" s="59"/>
      <c r="UEH3" s="59"/>
      <c r="UEI3" s="59"/>
      <c r="UEJ3" s="59"/>
      <c r="UEK3" s="59"/>
      <c r="UEL3" s="59"/>
      <c r="UEM3" s="59"/>
      <c r="UEN3" s="59"/>
      <c r="UEO3" s="59"/>
      <c r="UEP3" s="59"/>
      <c r="UEQ3" s="59"/>
      <c r="UER3" s="59"/>
      <c r="UES3" s="59"/>
      <c r="UET3" s="59"/>
      <c r="UEU3" s="59"/>
      <c r="UEV3" s="59"/>
      <c r="UEW3" s="59"/>
      <c r="UEX3" s="59"/>
      <c r="UEY3" s="59"/>
      <c r="UEZ3" s="59"/>
      <c r="UFA3" s="59"/>
      <c r="UFB3" s="59"/>
      <c r="UFC3" s="59"/>
      <c r="UFD3" s="59"/>
      <c r="UFE3" s="59"/>
      <c r="UFF3" s="59"/>
      <c r="UFG3" s="59"/>
      <c r="UFH3" s="59"/>
      <c r="UFI3" s="59"/>
      <c r="UFJ3" s="59"/>
      <c r="UFK3" s="59"/>
      <c r="UFL3" s="59"/>
      <c r="UFM3" s="59"/>
      <c r="UFN3" s="59"/>
      <c r="UFO3" s="59"/>
      <c r="UFP3" s="59"/>
      <c r="UFQ3" s="59"/>
      <c r="UFR3" s="59"/>
      <c r="UFS3" s="59"/>
      <c r="UFT3" s="59"/>
      <c r="UFU3" s="59"/>
      <c r="UFV3" s="59"/>
      <c r="UFW3" s="59"/>
      <c r="UFX3" s="59"/>
      <c r="UFY3" s="59"/>
      <c r="UFZ3" s="59"/>
      <c r="UGA3" s="59"/>
      <c r="UGB3" s="59"/>
      <c r="UGC3" s="59"/>
      <c r="UGD3" s="59"/>
      <c r="UGE3" s="59"/>
      <c r="UGF3" s="59"/>
      <c r="UGG3" s="59"/>
      <c r="UGH3" s="59"/>
      <c r="UGI3" s="59"/>
      <c r="UGJ3" s="59"/>
      <c r="UGK3" s="59"/>
      <c r="UGL3" s="59"/>
      <c r="UGM3" s="59"/>
      <c r="UGN3" s="59"/>
      <c r="UGO3" s="59"/>
      <c r="UGP3" s="59"/>
      <c r="UGQ3" s="59"/>
      <c r="UGR3" s="59"/>
      <c r="UGS3" s="59"/>
      <c r="UGT3" s="59"/>
      <c r="UGU3" s="59"/>
      <c r="UGV3" s="59"/>
      <c r="UGW3" s="59"/>
      <c r="UGX3" s="59"/>
      <c r="UGY3" s="59"/>
      <c r="UGZ3" s="59"/>
      <c r="UHA3" s="59"/>
      <c r="UHB3" s="59"/>
      <c r="UHC3" s="59"/>
      <c r="UHD3" s="59"/>
      <c r="UHE3" s="59"/>
      <c r="UHF3" s="59"/>
      <c r="UHG3" s="59"/>
      <c r="UHH3" s="59"/>
      <c r="UHI3" s="59"/>
      <c r="UHJ3" s="59"/>
      <c r="UHK3" s="59"/>
      <c r="UHL3" s="59"/>
      <c r="UHM3" s="59"/>
      <c r="UHN3" s="59"/>
      <c r="UHO3" s="59"/>
      <c r="UHP3" s="59"/>
      <c r="UHQ3" s="59"/>
      <c r="UHR3" s="59"/>
      <c r="UHS3" s="59"/>
      <c r="UHT3" s="59"/>
      <c r="UHU3" s="59"/>
      <c r="UHV3" s="59"/>
      <c r="UHW3" s="59"/>
      <c r="UHX3" s="59"/>
      <c r="UHY3" s="59"/>
      <c r="UHZ3" s="59"/>
      <c r="UIA3" s="59"/>
      <c r="UIB3" s="59"/>
      <c r="UIC3" s="59"/>
      <c r="UID3" s="59"/>
      <c r="UIE3" s="59"/>
      <c r="UIF3" s="59"/>
      <c r="UIG3" s="59"/>
      <c r="UIH3" s="59"/>
      <c r="UII3" s="59"/>
      <c r="UIJ3" s="59"/>
      <c r="UIK3" s="59"/>
      <c r="UIL3" s="59"/>
      <c r="UIM3" s="59"/>
      <c r="UIN3" s="59"/>
      <c r="UIO3" s="59"/>
      <c r="UIP3" s="59"/>
      <c r="UIQ3" s="59"/>
      <c r="UIR3" s="59"/>
      <c r="UIS3" s="59"/>
      <c r="UIT3" s="59"/>
      <c r="UIU3" s="59"/>
      <c r="UIV3" s="59"/>
      <c r="UIW3" s="59"/>
      <c r="UIX3" s="59"/>
      <c r="UIY3" s="59"/>
      <c r="UIZ3" s="59"/>
      <c r="UJA3" s="59"/>
      <c r="UJB3" s="59"/>
      <c r="UJC3" s="59"/>
      <c r="UJD3" s="59"/>
      <c r="UJE3" s="59"/>
      <c r="UJF3" s="59"/>
      <c r="UJG3" s="59"/>
      <c r="UJH3" s="59"/>
      <c r="UJI3" s="59"/>
      <c r="UJJ3" s="59"/>
      <c r="UJK3" s="59"/>
      <c r="UJL3" s="59"/>
      <c r="UJM3" s="59"/>
      <c r="UJN3" s="59"/>
      <c r="UJO3" s="59"/>
      <c r="UJP3" s="59"/>
      <c r="UJQ3" s="59"/>
      <c r="UJR3" s="59"/>
      <c r="UJS3" s="59"/>
      <c r="UJT3" s="59"/>
      <c r="UJU3" s="59"/>
      <c r="UJV3" s="59"/>
      <c r="UJW3" s="59"/>
      <c r="UJX3" s="59"/>
      <c r="UJY3" s="59"/>
      <c r="UJZ3" s="59"/>
      <c r="UKA3" s="59"/>
      <c r="UKB3" s="59"/>
      <c r="UKC3" s="59"/>
      <c r="UKD3" s="59"/>
      <c r="UKE3" s="59"/>
      <c r="UKF3" s="59"/>
      <c r="UKG3" s="59"/>
      <c r="UKH3" s="59"/>
      <c r="UKI3" s="59"/>
      <c r="UKJ3" s="59"/>
      <c r="UKK3" s="59"/>
      <c r="UKL3" s="59"/>
      <c r="UKM3" s="59"/>
      <c r="UKN3" s="59"/>
      <c r="UKO3" s="59"/>
      <c r="UKP3" s="59"/>
      <c r="UKQ3" s="59"/>
      <c r="UKR3" s="59"/>
      <c r="UKS3" s="59"/>
      <c r="UKT3" s="59"/>
      <c r="UKU3" s="59"/>
      <c r="UKV3" s="59"/>
      <c r="UKW3" s="59"/>
      <c r="UKX3" s="59"/>
      <c r="UKY3" s="59"/>
      <c r="UKZ3" s="59"/>
      <c r="ULA3" s="59"/>
      <c r="ULB3" s="59"/>
      <c r="ULC3" s="59"/>
      <c r="ULD3" s="59"/>
      <c r="ULE3" s="59"/>
      <c r="ULF3" s="59"/>
      <c r="ULG3" s="59"/>
      <c r="ULH3" s="59"/>
      <c r="ULI3" s="59"/>
      <c r="ULJ3" s="59"/>
      <c r="ULK3" s="59"/>
      <c r="ULL3" s="59"/>
      <c r="ULM3" s="59"/>
      <c r="ULN3" s="59"/>
      <c r="ULO3" s="59"/>
      <c r="ULP3" s="59"/>
      <c r="ULQ3" s="59"/>
      <c r="ULR3" s="59"/>
      <c r="ULS3" s="59"/>
      <c r="ULT3" s="59"/>
      <c r="ULU3" s="59"/>
      <c r="ULV3" s="59"/>
      <c r="ULW3" s="59"/>
      <c r="ULX3" s="59"/>
      <c r="ULY3" s="59"/>
      <c r="ULZ3" s="59"/>
      <c r="UMA3" s="59"/>
      <c r="UMB3" s="59"/>
      <c r="UMC3" s="59"/>
      <c r="UMD3" s="59"/>
      <c r="UME3" s="59"/>
      <c r="UMF3" s="59"/>
      <c r="UMG3" s="59"/>
      <c r="UMH3" s="59"/>
      <c r="UMI3" s="59"/>
      <c r="UMJ3" s="59"/>
      <c r="UMK3" s="59"/>
      <c r="UML3" s="59"/>
      <c r="UMM3" s="59"/>
      <c r="UMN3" s="59"/>
      <c r="UMO3" s="59"/>
      <c r="UMP3" s="59"/>
      <c r="UMQ3" s="59"/>
      <c r="UMR3" s="59"/>
      <c r="UMS3" s="59"/>
      <c r="UMT3" s="59"/>
      <c r="UMU3" s="59"/>
      <c r="UMV3" s="59"/>
      <c r="UMW3" s="59"/>
      <c r="UMX3" s="59"/>
      <c r="UMY3" s="59"/>
      <c r="UMZ3" s="59"/>
      <c r="UNA3" s="59"/>
      <c r="UNB3" s="59"/>
      <c r="UNC3" s="59"/>
      <c r="UND3" s="59"/>
      <c r="UNE3" s="59"/>
      <c r="UNF3" s="59"/>
      <c r="UNG3" s="59"/>
      <c r="UNH3" s="59"/>
      <c r="UNI3" s="59"/>
      <c r="UNJ3" s="59"/>
      <c r="UNK3" s="59"/>
      <c r="UNL3" s="59"/>
      <c r="UNM3" s="59"/>
      <c r="UNN3" s="59"/>
      <c r="UNO3" s="59"/>
      <c r="UNP3" s="59"/>
      <c r="UNQ3" s="59"/>
      <c r="UNR3" s="59"/>
      <c r="UNS3" s="59"/>
      <c r="UNT3" s="59"/>
      <c r="UNU3" s="59"/>
      <c r="UNV3" s="59"/>
      <c r="UNW3" s="59"/>
      <c r="UNX3" s="59"/>
      <c r="UNY3" s="59"/>
      <c r="UNZ3" s="59"/>
      <c r="UOA3" s="59"/>
      <c r="UOB3" s="59"/>
      <c r="UOC3" s="59"/>
      <c r="UOD3" s="59"/>
      <c r="UOE3" s="59"/>
      <c r="UOF3" s="59"/>
      <c r="UOG3" s="59"/>
      <c r="UOH3" s="59"/>
      <c r="UOI3" s="59"/>
      <c r="UOJ3" s="59"/>
      <c r="UOK3" s="59"/>
      <c r="UOL3" s="59"/>
      <c r="UOM3" s="59"/>
      <c r="UON3" s="59"/>
      <c r="UOO3" s="59"/>
      <c r="UOP3" s="59"/>
      <c r="UOQ3" s="59"/>
      <c r="UOR3" s="59"/>
      <c r="UOS3" s="59"/>
      <c r="UOT3" s="59"/>
      <c r="UOU3" s="59"/>
      <c r="UOV3" s="59"/>
      <c r="UOW3" s="59"/>
      <c r="UOX3" s="59"/>
      <c r="UOY3" s="59"/>
      <c r="UOZ3" s="59"/>
      <c r="UPA3" s="59"/>
      <c r="UPB3" s="59"/>
      <c r="UPC3" s="59"/>
      <c r="UPD3" s="59"/>
      <c r="UPE3" s="59"/>
      <c r="UPF3" s="59"/>
      <c r="UPG3" s="59"/>
      <c r="UPH3" s="59"/>
      <c r="UPI3" s="59"/>
      <c r="UPJ3" s="59"/>
      <c r="UPK3" s="59"/>
      <c r="UPL3" s="59"/>
      <c r="UPM3" s="59"/>
      <c r="UPN3" s="59"/>
      <c r="UPO3" s="59"/>
      <c r="UPP3" s="59"/>
      <c r="UPQ3" s="59"/>
      <c r="UPR3" s="59"/>
      <c r="UPS3" s="59"/>
      <c r="UPT3" s="59"/>
      <c r="UPU3" s="59"/>
      <c r="UPV3" s="59"/>
      <c r="UPW3" s="59"/>
      <c r="UPX3" s="59"/>
      <c r="UPY3" s="59"/>
      <c r="UPZ3" s="59"/>
      <c r="UQA3" s="59"/>
      <c r="UQB3" s="59"/>
      <c r="UQC3" s="59"/>
      <c r="UQD3" s="59"/>
      <c r="UQE3" s="59"/>
      <c r="UQF3" s="59"/>
      <c r="UQG3" s="59"/>
      <c r="UQH3" s="59"/>
      <c r="UQI3" s="59"/>
      <c r="UQJ3" s="59"/>
      <c r="UQK3" s="59"/>
      <c r="UQL3" s="59"/>
      <c r="UQM3" s="59"/>
      <c r="UQN3" s="59"/>
      <c r="UQO3" s="59"/>
      <c r="UQP3" s="59"/>
      <c r="UQQ3" s="59"/>
      <c r="UQR3" s="59"/>
      <c r="UQS3" s="59"/>
      <c r="UQT3" s="59"/>
      <c r="UQU3" s="59"/>
      <c r="UQV3" s="59"/>
      <c r="UQW3" s="59"/>
      <c r="UQX3" s="59"/>
      <c r="UQY3" s="59"/>
      <c r="UQZ3" s="59"/>
      <c r="URA3" s="59"/>
      <c r="URB3" s="59"/>
      <c r="URC3" s="59"/>
      <c r="URD3" s="59"/>
      <c r="URE3" s="59"/>
      <c r="URF3" s="59"/>
      <c r="URG3" s="59"/>
      <c r="URH3" s="59"/>
      <c r="URI3" s="59"/>
      <c r="URJ3" s="59"/>
      <c r="URK3" s="59"/>
      <c r="URL3" s="59"/>
      <c r="URM3" s="59"/>
      <c r="URN3" s="59"/>
      <c r="URO3" s="59"/>
      <c r="URP3" s="59"/>
      <c r="URQ3" s="59"/>
      <c r="URR3" s="59"/>
      <c r="URS3" s="59"/>
      <c r="URT3" s="59"/>
      <c r="URU3" s="59"/>
      <c r="URV3" s="59"/>
      <c r="URW3" s="59"/>
      <c r="URX3" s="59"/>
      <c r="URY3" s="59"/>
      <c r="URZ3" s="59"/>
      <c r="USA3" s="59"/>
      <c r="USB3" s="59"/>
      <c r="USC3" s="59"/>
      <c r="USD3" s="59"/>
      <c r="USE3" s="59"/>
      <c r="USF3" s="59"/>
      <c r="USG3" s="59"/>
      <c r="USH3" s="59"/>
      <c r="USI3" s="59"/>
      <c r="USJ3" s="59"/>
      <c r="USK3" s="59"/>
      <c r="USL3" s="59"/>
      <c r="USM3" s="59"/>
      <c r="USN3" s="59"/>
      <c r="USO3" s="59"/>
      <c r="USP3" s="59"/>
      <c r="USQ3" s="59"/>
      <c r="USR3" s="59"/>
      <c r="USS3" s="59"/>
      <c r="UST3" s="59"/>
      <c r="USU3" s="59"/>
      <c r="USV3" s="59"/>
      <c r="USW3" s="59"/>
      <c r="USX3" s="59"/>
      <c r="USY3" s="59"/>
      <c r="USZ3" s="59"/>
      <c r="UTA3" s="59"/>
      <c r="UTB3" s="59"/>
      <c r="UTC3" s="59"/>
      <c r="UTD3" s="59"/>
      <c r="UTE3" s="59"/>
      <c r="UTF3" s="59"/>
      <c r="UTG3" s="59"/>
      <c r="UTH3" s="59"/>
      <c r="UTI3" s="59"/>
      <c r="UTJ3" s="59"/>
      <c r="UTK3" s="59"/>
      <c r="UTL3" s="59"/>
      <c r="UTM3" s="59"/>
      <c r="UTN3" s="59"/>
      <c r="UTO3" s="59"/>
      <c r="UTP3" s="59"/>
      <c r="UTQ3" s="59"/>
      <c r="UTR3" s="59"/>
      <c r="UTS3" s="59"/>
      <c r="UTT3" s="59"/>
      <c r="UTU3" s="59"/>
      <c r="UTV3" s="59"/>
      <c r="UTW3" s="59"/>
      <c r="UTX3" s="59"/>
      <c r="UTY3" s="59"/>
      <c r="UTZ3" s="59"/>
      <c r="UUA3" s="59"/>
      <c r="UUB3" s="59"/>
      <c r="UUC3" s="59"/>
      <c r="UUD3" s="59"/>
      <c r="UUE3" s="59"/>
      <c r="UUF3" s="59"/>
      <c r="UUG3" s="59"/>
      <c r="UUH3" s="59"/>
      <c r="UUI3" s="59"/>
      <c r="UUJ3" s="59"/>
      <c r="UUK3" s="59"/>
      <c r="UUL3" s="59"/>
      <c r="UUM3" s="59"/>
      <c r="UUN3" s="59"/>
      <c r="UUO3" s="59"/>
      <c r="UUP3" s="59"/>
      <c r="UUQ3" s="59"/>
      <c r="UUR3" s="59"/>
      <c r="UUS3" s="59"/>
      <c r="UUT3" s="59"/>
      <c r="UUU3" s="59"/>
      <c r="UUV3" s="59"/>
      <c r="UUW3" s="59"/>
      <c r="UUX3" s="59"/>
      <c r="UUY3" s="59"/>
      <c r="UUZ3" s="59"/>
      <c r="UVA3" s="59"/>
      <c r="UVB3" s="59"/>
      <c r="UVC3" s="59"/>
      <c r="UVD3" s="59"/>
      <c r="UVE3" s="59"/>
      <c r="UVF3" s="59"/>
      <c r="UVG3" s="59"/>
      <c r="UVH3" s="59"/>
      <c r="UVI3" s="59"/>
      <c r="UVJ3" s="59"/>
      <c r="UVK3" s="59"/>
      <c r="UVL3" s="59"/>
      <c r="UVM3" s="59"/>
      <c r="UVN3" s="59"/>
      <c r="UVO3" s="59"/>
      <c r="UVP3" s="59"/>
      <c r="UVQ3" s="59"/>
      <c r="UVR3" s="59"/>
      <c r="UVS3" s="59"/>
      <c r="UVT3" s="59"/>
      <c r="UVU3" s="59"/>
      <c r="UVV3" s="59"/>
      <c r="UVW3" s="59"/>
      <c r="UVX3" s="59"/>
      <c r="UVY3" s="59"/>
      <c r="UVZ3" s="59"/>
      <c r="UWA3" s="59"/>
      <c r="UWB3" s="59"/>
      <c r="UWC3" s="59"/>
      <c r="UWD3" s="59"/>
      <c r="UWE3" s="59"/>
      <c r="UWF3" s="59"/>
      <c r="UWG3" s="59"/>
      <c r="UWH3" s="59"/>
      <c r="UWI3" s="59"/>
      <c r="UWJ3" s="59"/>
      <c r="UWK3" s="59"/>
      <c r="UWL3" s="59"/>
      <c r="UWM3" s="59"/>
      <c r="UWN3" s="59"/>
      <c r="UWO3" s="59"/>
      <c r="UWP3" s="59"/>
      <c r="UWQ3" s="59"/>
      <c r="UWR3" s="59"/>
      <c r="UWS3" s="59"/>
      <c r="UWT3" s="59"/>
      <c r="UWU3" s="59"/>
      <c r="UWV3" s="59"/>
      <c r="UWW3" s="59"/>
      <c r="UWX3" s="59"/>
      <c r="UWY3" s="59"/>
      <c r="UWZ3" s="59"/>
      <c r="UXA3" s="59"/>
      <c r="UXB3" s="59"/>
      <c r="UXC3" s="59"/>
      <c r="UXD3" s="59"/>
      <c r="UXE3" s="59"/>
      <c r="UXF3" s="59"/>
      <c r="UXG3" s="59"/>
      <c r="UXH3" s="59"/>
      <c r="UXI3" s="59"/>
      <c r="UXJ3" s="59"/>
      <c r="UXK3" s="59"/>
      <c r="UXL3" s="59"/>
      <c r="UXM3" s="59"/>
      <c r="UXN3" s="59"/>
      <c r="UXO3" s="59"/>
      <c r="UXP3" s="59"/>
      <c r="UXQ3" s="59"/>
      <c r="UXR3" s="59"/>
      <c r="UXS3" s="59"/>
      <c r="UXT3" s="59"/>
      <c r="UXU3" s="59"/>
      <c r="UXV3" s="59"/>
      <c r="UXW3" s="59"/>
      <c r="UXX3" s="59"/>
      <c r="UXY3" s="59"/>
      <c r="UXZ3" s="59"/>
      <c r="UYA3" s="59"/>
      <c r="UYB3" s="59"/>
      <c r="UYC3" s="59"/>
      <c r="UYD3" s="59"/>
      <c r="UYE3" s="59"/>
      <c r="UYF3" s="59"/>
      <c r="UYG3" s="59"/>
      <c r="UYH3" s="59"/>
      <c r="UYI3" s="59"/>
      <c r="UYJ3" s="59"/>
      <c r="UYK3" s="59"/>
      <c r="UYL3" s="59"/>
      <c r="UYM3" s="59"/>
      <c r="UYN3" s="59"/>
      <c r="UYO3" s="59"/>
      <c r="UYP3" s="59"/>
      <c r="UYQ3" s="59"/>
      <c r="UYR3" s="59"/>
      <c r="UYS3" s="59"/>
      <c r="UYT3" s="59"/>
      <c r="UYU3" s="59"/>
      <c r="UYV3" s="59"/>
      <c r="UYW3" s="59"/>
      <c r="UYX3" s="59"/>
      <c r="UYY3" s="59"/>
      <c r="UYZ3" s="59"/>
      <c r="UZA3" s="59"/>
      <c r="UZB3" s="59"/>
      <c r="UZC3" s="59"/>
      <c r="UZD3" s="59"/>
      <c r="UZE3" s="59"/>
      <c r="UZF3" s="59"/>
      <c r="UZG3" s="59"/>
      <c r="UZH3" s="59"/>
      <c r="UZI3" s="59"/>
      <c r="UZJ3" s="59"/>
      <c r="UZK3" s="59"/>
      <c r="UZL3" s="59"/>
      <c r="UZM3" s="59"/>
      <c r="UZN3" s="59"/>
      <c r="UZO3" s="59"/>
      <c r="UZP3" s="59"/>
      <c r="UZQ3" s="59"/>
      <c r="UZR3" s="59"/>
      <c r="UZS3" s="59"/>
      <c r="UZT3" s="59"/>
      <c r="UZU3" s="59"/>
      <c r="UZV3" s="59"/>
      <c r="UZW3" s="59"/>
      <c r="UZX3" s="59"/>
      <c r="UZY3" s="59"/>
      <c r="UZZ3" s="59"/>
      <c r="VAA3" s="59"/>
      <c r="VAB3" s="59"/>
      <c r="VAC3" s="59"/>
      <c r="VAD3" s="59"/>
      <c r="VAE3" s="59"/>
      <c r="VAF3" s="59"/>
      <c r="VAG3" s="59"/>
      <c r="VAH3" s="59"/>
      <c r="VAI3" s="59"/>
      <c r="VAJ3" s="59"/>
      <c r="VAK3" s="59"/>
      <c r="VAL3" s="59"/>
      <c r="VAM3" s="59"/>
      <c r="VAN3" s="59"/>
      <c r="VAO3" s="59"/>
      <c r="VAP3" s="59"/>
      <c r="VAQ3" s="59"/>
      <c r="VAR3" s="59"/>
      <c r="VAS3" s="59"/>
      <c r="VAT3" s="59"/>
      <c r="VAU3" s="59"/>
      <c r="VAV3" s="59"/>
      <c r="VAW3" s="59"/>
      <c r="VAX3" s="59"/>
      <c r="VAY3" s="59"/>
      <c r="VAZ3" s="59"/>
      <c r="VBA3" s="59"/>
      <c r="VBB3" s="59"/>
      <c r="VBC3" s="59"/>
      <c r="VBD3" s="59"/>
      <c r="VBE3" s="59"/>
      <c r="VBF3" s="59"/>
      <c r="VBG3" s="59"/>
      <c r="VBH3" s="59"/>
      <c r="VBI3" s="59"/>
      <c r="VBJ3" s="59"/>
      <c r="VBK3" s="59"/>
      <c r="VBL3" s="59"/>
      <c r="VBM3" s="59"/>
      <c r="VBN3" s="59"/>
      <c r="VBO3" s="59"/>
      <c r="VBP3" s="59"/>
      <c r="VBQ3" s="59"/>
      <c r="VBR3" s="59"/>
      <c r="VBS3" s="59"/>
      <c r="VBT3" s="59"/>
      <c r="VBU3" s="59"/>
      <c r="VBV3" s="59"/>
      <c r="VBW3" s="59"/>
      <c r="VBX3" s="59"/>
      <c r="VBY3" s="59"/>
      <c r="VBZ3" s="59"/>
      <c r="VCA3" s="59"/>
      <c r="VCB3" s="59"/>
      <c r="VCC3" s="59"/>
      <c r="VCD3" s="59"/>
      <c r="VCE3" s="59"/>
      <c r="VCF3" s="59"/>
      <c r="VCG3" s="59"/>
      <c r="VCH3" s="59"/>
      <c r="VCI3" s="59"/>
      <c r="VCJ3" s="59"/>
      <c r="VCK3" s="59"/>
      <c r="VCL3" s="59"/>
      <c r="VCM3" s="59"/>
      <c r="VCN3" s="59"/>
      <c r="VCO3" s="59"/>
      <c r="VCP3" s="59"/>
      <c r="VCQ3" s="59"/>
      <c r="VCR3" s="59"/>
      <c r="VCS3" s="59"/>
      <c r="VCT3" s="59"/>
      <c r="VCU3" s="59"/>
      <c r="VCV3" s="59"/>
      <c r="VCW3" s="59"/>
      <c r="VCX3" s="59"/>
      <c r="VCY3" s="59"/>
      <c r="VCZ3" s="59"/>
      <c r="VDA3" s="59"/>
      <c r="VDB3" s="59"/>
      <c r="VDC3" s="59"/>
      <c r="VDD3" s="59"/>
      <c r="VDE3" s="59"/>
      <c r="VDF3" s="59"/>
      <c r="VDG3" s="59"/>
      <c r="VDH3" s="59"/>
      <c r="VDI3" s="59"/>
      <c r="VDJ3" s="59"/>
      <c r="VDK3" s="59"/>
      <c r="VDL3" s="59"/>
      <c r="VDM3" s="59"/>
      <c r="VDN3" s="59"/>
      <c r="VDO3" s="59"/>
      <c r="VDP3" s="59"/>
      <c r="VDQ3" s="59"/>
      <c r="VDR3" s="59"/>
      <c r="VDS3" s="59"/>
      <c r="VDT3" s="59"/>
      <c r="VDU3" s="59"/>
      <c r="VDV3" s="59"/>
      <c r="VDW3" s="59"/>
      <c r="VDX3" s="59"/>
      <c r="VDY3" s="59"/>
      <c r="VDZ3" s="59"/>
      <c r="VEA3" s="59"/>
      <c r="VEB3" s="59"/>
      <c r="VEC3" s="59"/>
      <c r="VED3" s="59"/>
      <c r="VEE3" s="59"/>
      <c r="VEF3" s="59"/>
      <c r="VEG3" s="59"/>
      <c r="VEH3" s="59"/>
      <c r="VEI3" s="59"/>
      <c r="VEJ3" s="59"/>
      <c r="VEK3" s="59"/>
      <c r="VEL3" s="59"/>
      <c r="VEM3" s="59"/>
      <c r="VEN3" s="59"/>
      <c r="VEO3" s="59"/>
      <c r="VEP3" s="59"/>
      <c r="VEQ3" s="59"/>
      <c r="VER3" s="59"/>
      <c r="VES3" s="59"/>
      <c r="VET3" s="59"/>
      <c r="VEU3" s="59"/>
      <c r="VEV3" s="59"/>
      <c r="VEW3" s="59"/>
      <c r="VEX3" s="59"/>
      <c r="VEY3" s="59"/>
      <c r="VEZ3" s="59"/>
      <c r="VFA3" s="59"/>
      <c r="VFB3" s="59"/>
      <c r="VFC3" s="59"/>
      <c r="VFD3" s="59"/>
      <c r="VFE3" s="59"/>
      <c r="VFF3" s="59"/>
      <c r="VFG3" s="59"/>
      <c r="VFH3" s="59"/>
      <c r="VFI3" s="59"/>
      <c r="VFJ3" s="59"/>
      <c r="VFK3" s="59"/>
      <c r="VFL3" s="59"/>
      <c r="VFM3" s="59"/>
      <c r="VFN3" s="59"/>
      <c r="VFO3" s="59"/>
      <c r="VFP3" s="59"/>
      <c r="VFQ3" s="59"/>
      <c r="VFR3" s="59"/>
      <c r="VFS3" s="59"/>
      <c r="VFT3" s="59"/>
      <c r="VFU3" s="59"/>
      <c r="VFV3" s="59"/>
      <c r="VFW3" s="59"/>
      <c r="VFX3" s="59"/>
      <c r="VFY3" s="59"/>
      <c r="VFZ3" s="59"/>
      <c r="VGA3" s="59"/>
      <c r="VGB3" s="59"/>
      <c r="VGC3" s="59"/>
      <c r="VGD3" s="59"/>
      <c r="VGE3" s="59"/>
      <c r="VGF3" s="59"/>
      <c r="VGG3" s="59"/>
      <c r="VGH3" s="59"/>
      <c r="VGI3" s="59"/>
      <c r="VGJ3" s="59"/>
      <c r="VGK3" s="59"/>
      <c r="VGL3" s="59"/>
      <c r="VGM3" s="59"/>
      <c r="VGN3" s="59"/>
      <c r="VGO3" s="59"/>
      <c r="VGP3" s="59"/>
      <c r="VGQ3" s="59"/>
      <c r="VGR3" s="59"/>
      <c r="VGS3" s="59"/>
      <c r="VGT3" s="59"/>
      <c r="VGU3" s="59"/>
      <c r="VGV3" s="59"/>
      <c r="VGW3" s="59"/>
      <c r="VGX3" s="59"/>
      <c r="VGY3" s="59"/>
      <c r="VGZ3" s="59"/>
      <c r="VHA3" s="59"/>
      <c r="VHB3" s="59"/>
      <c r="VHC3" s="59"/>
      <c r="VHD3" s="59"/>
      <c r="VHE3" s="59"/>
      <c r="VHF3" s="59"/>
      <c r="VHG3" s="59"/>
      <c r="VHH3" s="59"/>
      <c r="VHI3" s="59"/>
      <c r="VHJ3" s="59"/>
      <c r="VHK3" s="59"/>
      <c r="VHL3" s="59"/>
      <c r="VHM3" s="59"/>
      <c r="VHN3" s="59"/>
      <c r="VHO3" s="59"/>
      <c r="VHP3" s="59"/>
      <c r="VHQ3" s="59"/>
      <c r="VHR3" s="59"/>
      <c r="VHS3" s="59"/>
      <c r="VHT3" s="59"/>
      <c r="VHU3" s="59"/>
      <c r="VHV3" s="59"/>
      <c r="VHW3" s="59"/>
      <c r="VHX3" s="59"/>
      <c r="VHY3" s="59"/>
      <c r="VHZ3" s="59"/>
      <c r="VIA3" s="59"/>
      <c r="VIB3" s="59"/>
      <c r="VIC3" s="59"/>
      <c r="VID3" s="59"/>
      <c r="VIE3" s="59"/>
      <c r="VIF3" s="59"/>
      <c r="VIG3" s="59"/>
      <c r="VIH3" s="59"/>
      <c r="VII3" s="59"/>
      <c r="VIJ3" s="59"/>
      <c r="VIK3" s="59"/>
      <c r="VIL3" s="59"/>
      <c r="VIM3" s="59"/>
      <c r="VIN3" s="59"/>
      <c r="VIO3" s="59"/>
      <c r="VIP3" s="59"/>
      <c r="VIQ3" s="59"/>
      <c r="VIR3" s="59"/>
      <c r="VIS3" s="59"/>
      <c r="VIT3" s="59"/>
      <c r="VIU3" s="59"/>
      <c r="VIV3" s="59"/>
      <c r="VIW3" s="59"/>
      <c r="VIX3" s="59"/>
      <c r="VIY3" s="59"/>
      <c r="VIZ3" s="59"/>
      <c r="VJA3" s="59"/>
      <c r="VJB3" s="59"/>
      <c r="VJC3" s="59"/>
      <c r="VJD3" s="59"/>
      <c r="VJE3" s="59"/>
      <c r="VJF3" s="59"/>
      <c r="VJG3" s="59"/>
      <c r="VJH3" s="59"/>
      <c r="VJI3" s="59"/>
      <c r="VJJ3" s="59"/>
      <c r="VJK3" s="59"/>
      <c r="VJL3" s="59"/>
      <c r="VJM3" s="59"/>
      <c r="VJN3" s="59"/>
      <c r="VJO3" s="59"/>
      <c r="VJP3" s="59"/>
      <c r="VJQ3" s="59"/>
      <c r="VJR3" s="59"/>
      <c r="VJS3" s="59"/>
      <c r="VJT3" s="59"/>
      <c r="VJU3" s="59"/>
      <c r="VJV3" s="59"/>
      <c r="VJW3" s="59"/>
      <c r="VJX3" s="59"/>
      <c r="VJY3" s="59"/>
      <c r="VJZ3" s="59"/>
      <c r="VKA3" s="59"/>
      <c r="VKB3" s="59"/>
      <c r="VKC3" s="59"/>
      <c r="VKD3" s="59"/>
      <c r="VKE3" s="59"/>
      <c r="VKF3" s="59"/>
      <c r="VKG3" s="59"/>
      <c r="VKH3" s="59"/>
      <c r="VKI3" s="59"/>
      <c r="VKJ3" s="59"/>
      <c r="VKK3" s="59"/>
      <c r="VKL3" s="59"/>
      <c r="VKM3" s="59"/>
      <c r="VKN3" s="59"/>
      <c r="VKO3" s="59"/>
      <c r="VKP3" s="59"/>
      <c r="VKQ3" s="59"/>
      <c r="VKR3" s="59"/>
      <c r="VKS3" s="59"/>
      <c r="VKT3" s="59"/>
      <c r="VKU3" s="59"/>
      <c r="VKV3" s="59"/>
      <c r="VKW3" s="59"/>
      <c r="VKX3" s="59"/>
      <c r="VKY3" s="59"/>
      <c r="VKZ3" s="59"/>
      <c r="VLA3" s="59"/>
      <c r="VLB3" s="59"/>
      <c r="VLC3" s="59"/>
      <c r="VLD3" s="59"/>
      <c r="VLE3" s="59"/>
      <c r="VLF3" s="59"/>
      <c r="VLG3" s="59"/>
      <c r="VLH3" s="59"/>
      <c r="VLI3" s="59"/>
      <c r="VLJ3" s="59"/>
      <c r="VLK3" s="59"/>
      <c r="VLL3" s="59"/>
      <c r="VLM3" s="59"/>
      <c r="VLN3" s="59"/>
      <c r="VLO3" s="59"/>
      <c r="VLP3" s="59"/>
      <c r="VLQ3" s="59"/>
      <c r="VLR3" s="59"/>
      <c r="VLS3" s="59"/>
      <c r="VLT3" s="59"/>
      <c r="VLU3" s="59"/>
      <c r="VLV3" s="59"/>
      <c r="VLW3" s="59"/>
      <c r="VLX3" s="59"/>
      <c r="VLY3" s="59"/>
      <c r="VLZ3" s="59"/>
      <c r="VMA3" s="59"/>
      <c r="VMB3" s="59"/>
      <c r="VMC3" s="59"/>
      <c r="VMD3" s="59"/>
      <c r="VME3" s="59"/>
      <c r="VMF3" s="59"/>
      <c r="VMG3" s="59"/>
      <c r="VMH3" s="59"/>
      <c r="VMI3" s="59"/>
      <c r="VMJ3" s="59"/>
      <c r="VMK3" s="59"/>
      <c r="VML3" s="59"/>
      <c r="VMM3" s="59"/>
      <c r="VMN3" s="59"/>
      <c r="VMO3" s="59"/>
      <c r="VMP3" s="59"/>
      <c r="VMQ3" s="59"/>
      <c r="VMR3" s="59"/>
      <c r="VMS3" s="59"/>
      <c r="VMT3" s="59"/>
      <c r="VMU3" s="59"/>
      <c r="VMV3" s="59"/>
      <c r="VMW3" s="59"/>
      <c r="VMX3" s="59"/>
      <c r="VMY3" s="59"/>
      <c r="VMZ3" s="59"/>
      <c r="VNA3" s="59"/>
      <c r="VNB3" s="59"/>
      <c r="VNC3" s="59"/>
      <c r="VND3" s="59"/>
      <c r="VNE3" s="59"/>
      <c r="VNF3" s="59"/>
      <c r="VNG3" s="59"/>
      <c r="VNH3" s="59"/>
      <c r="VNI3" s="59"/>
      <c r="VNJ3" s="59"/>
      <c r="VNK3" s="59"/>
      <c r="VNL3" s="59"/>
      <c r="VNM3" s="59"/>
      <c r="VNN3" s="59"/>
      <c r="VNO3" s="59"/>
      <c r="VNP3" s="59"/>
      <c r="VNQ3" s="59"/>
      <c r="VNR3" s="59"/>
      <c r="VNS3" s="59"/>
      <c r="VNT3" s="59"/>
      <c r="VNU3" s="59"/>
      <c r="VNV3" s="59"/>
      <c r="VNW3" s="59"/>
      <c r="VNX3" s="59"/>
      <c r="VNY3" s="59"/>
      <c r="VNZ3" s="59"/>
      <c r="VOA3" s="59"/>
      <c r="VOB3" s="59"/>
      <c r="VOC3" s="59"/>
      <c r="VOD3" s="59"/>
      <c r="VOE3" s="59"/>
      <c r="VOF3" s="59"/>
      <c r="VOG3" s="59"/>
      <c r="VOH3" s="59"/>
      <c r="VOI3" s="59"/>
      <c r="VOJ3" s="59"/>
      <c r="VOK3" s="59"/>
      <c r="VOL3" s="59"/>
      <c r="VOM3" s="59"/>
      <c r="VON3" s="59"/>
      <c r="VOO3" s="59"/>
      <c r="VOP3" s="59"/>
      <c r="VOQ3" s="59"/>
      <c r="VOR3" s="59"/>
      <c r="VOS3" s="59"/>
      <c r="VOT3" s="59"/>
      <c r="VOU3" s="59"/>
      <c r="VOV3" s="59"/>
      <c r="VOW3" s="59"/>
      <c r="VOX3" s="59"/>
      <c r="VOY3" s="59"/>
      <c r="VOZ3" s="59"/>
      <c r="VPA3" s="59"/>
      <c r="VPB3" s="59"/>
      <c r="VPC3" s="59"/>
      <c r="VPD3" s="59"/>
      <c r="VPE3" s="59"/>
      <c r="VPF3" s="59"/>
      <c r="VPG3" s="59"/>
      <c r="VPH3" s="59"/>
      <c r="VPI3" s="59"/>
      <c r="VPJ3" s="59"/>
      <c r="VPK3" s="59"/>
      <c r="VPL3" s="59"/>
      <c r="VPM3" s="59"/>
      <c r="VPN3" s="59"/>
      <c r="VPO3" s="59"/>
      <c r="VPP3" s="59"/>
      <c r="VPQ3" s="59"/>
      <c r="VPR3" s="59"/>
      <c r="VPS3" s="59"/>
      <c r="VPT3" s="59"/>
      <c r="VPU3" s="59"/>
      <c r="VPV3" s="59"/>
      <c r="VPW3" s="59"/>
      <c r="VPX3" s="59"/>
      <c r="VPY3" s="59"/>
      <c r="VPZ3" s="59"/>
      <c r="VQA3" s="59"/>
      <c r="VQB3" s="59"/>
      <c r="VQC3" s="59"/>
      <c r="VQD3" s="59"/>
      <c r="VQE3" s="59"/>
      <c r="VQF3" s="59"/>
      <c r="VQG3" s="59"/>
      <c r="VQH3" s="59"/>
      <c r="VQI3" s="59"/>
      <c r="VQJ3" s="59"/>
      <c r="VQK3" s="59"/>
      <c r="VQL3" s="59"/>
      <c r="VQM3" s="59"/>
      <c r="VQN3" s="59"/>
      <c r="VQO3" s="59"/>
      <c r="VQP3" s="59"/>
      <c r="VQQ3" s="59"/>
      <c r="VQR3" s="59"/>
      <c r="VQS3" s="59"/>
      <c r="VQT3" s="59"/>
      <c r="VQU3" s="59"/>
      <c r="VQV3" s="59"/>
      <c r="VQW3" s="59"/>
      <c r="VQX3" s="59"/>
      <c r="VQY3" s="59"/>
      <c r="VQZ3" s="59"/>
      <c r="VRA3" s="59"/>
      <c r="VRB3" s="59"/>
      <c r="VRC3" s="59"/>
      <c r="VRD3" s="59"/>
      <c r="VRE3" s="59"/>
      <c r="VRF3" s="59"/>
      <c r="VRG3" s="59"/>
      <c r="VRH3" s="59"/>
      <c r="VRI3" s="59"/>
      <c r="VRJ3" s="59"/>
      <c r="VRK3" s="59"/>
      <c r="VRL3" s="59"/>
      <c r="VRM3" s="59"/>
      <c r="VRN3" s="59"/>
      <c r="VRO3" s="59"/>
      <c r="VRP3" s="59"/>
      <c r="VRQ3" s="59"/>
      <c r="VRR3" s="59"/>
      <c r="VRS3" s="59"/>
      <c r="VRT3" s="59"/>
      <c r="VRU3" s="59"/>
      <c r="VRV3" s="59"/>
      <c r="VRW3" s="59"/>
      <c r="VRX3" s="59"/>
      <c r="VRY3" s="59"/>
      <c r="VRZ3" s="59"/>
      <c r="VSA3" s="59"/>
      <c r="VSB3" s="59"/>
      <c r="VSC3" s="59"/>
      <c r="VSD3" s="59"/>
      <c r="VSE3" s="59"/>
      <c r="VSF3" s="59"/>
      <c r="VSG3" s="59"/>
      <c r="VSH3" s="59"/>
      <c r="VSI3" s="59"/>
      <c r="VSJ3" s="59"/>
      <c r="VSK3" s="59"/>
      <c r="VSL3" s="59"/>
      <c r="VSM3" s="59"/>
      <c r="VSN3" s="59"/>
      <c r="VSO3" s="59"/>
      <c r="VSP3" s="59"/>
      <c r="VSQ3" s="59"/>
      <c r="VSR3" s="59"/>
      <c r="VSS3" s="59"/>
      <c r="VST3" s="59"/>
      <c r="VSU3" s="59"/>
      <c r="VSV3" s="59"/>
      <c r="VSW3" s="59"/>
      <c r="VSX3" s="59"/>
      <c r="VSY3" s="59"/>
      <c r="VSZ3" s="59"/>
      <c r="VTA3" s="59"/>
      <c r="VTB3" s="59"/>
      <c r="VTC3" s="59"/>
      <c r="VTD3" s="59"/>
      <c r="VTE3" s="59"/>
      <c r="VTF3" s="59"/>
      <c r="VTG3" s="59"/>
      <c r="VTH3" s="59"/>
      <c r="VTI3" s="59"/>
      <c r="VTJ3" s="59"/>
      <c r="VTK3" s="59"/>
      <c r="VTL3" s="59"/>
      <c r="VTM3" s="59"/>
      <c r="VTN3" s="59"/>
      <c r="VTO3" s="59"/>
      <c r="VTP3" s="59"/>
      <c r="VTQ3" s="59"/>
      <c r="VTR3" s="59"/>
      <c r="VTS3" s="59"/>
      <c r="VTT3" s="59"/>
      <c r="VTU3" s="59"/>
      <c r="VTV3" s="59"/>
      <c r="VTW3" s="59"/>
      <c r="VTX3" s="59"/>
      <c r="VTY3" s="59"/>
      <c r="VTZ3" s="59"/>
      <c r="VUA3" s="59"/>
      <c r="VUB3" s="59"/>
      <c r="VUC3" s="59"/>
      <c r="VUD3" s="59"/>
      <c r="VUE3" s="59"/>
      <c r="VUF3" s="59"/>
      <c r="VUG3" s="59"/>
      <c r="VUH3" s="59"/>
      <c r="VUI3" s="59"/>
      <c r="VUJ3" s="59"/>
      <c r="VUK3" s="59"/>
      <c r="VUL3" s="59"/>
      <c r="VUM3" s="59"/>
      <c r="VUN3" s="59"/>
      <c r="VUO3" s="59"/>
      <c r="VUP3" s="59"/>
      <c r="VUQ3" s="59"/>
      <c r="VUR3" s="59"/>
      <c r="VUS3" s="59"/>
      <c r="VUT3" s="59"/>
      <c r="VUU3" s="59"/>
      <c r="VUV3" s="59"/>
      <c r="VUW3" s="59"/>
      <c r="VUX3" s="59"/>
      <c r="VUY3" s="59"/>
      <c r="VUZ3" s="59"/>
      <c r="VVA3" s="59"/>
      <c r="VVB3" s="59"/>
      <c r="VVC3" s="59"/>
      <c r="VVD3" s="59"/>
      <c r="VVE3" s="59"/>
      <c r="VVF3" s="59"/>
      <c r="VVG3" s="59"/>
      <c r="VVH3" s="59"/>
      <c r="VVI3" s="59"/>
      <c r="VVJ3" s="59"/>
      <c r="VVK3" s="59"/>
      <c r="VVL3" s="59"/>
      <c r="VVM3" s="59"/>
      <c r="VVN3" s="59"/>
      <c r="VVO3" s="59"/>
      <c r="VVP3" s="59"/>
      <c r="VVQ3" s="59"/>
      <c r="VVR3" s="59"/>
      <c r="VVS3" s="59"/>
      <c r="VVT3" s="59"/>
      <c r="VVU3" s="59"/>
      <c r="VVV3" s="59"/>
      <c r="VVW3" s="59"/>
      <c r="VVX3" s="59"/>
      <c r="VVY3" s="59"/>
      <c r="VVZ3" s="59"/>
      <c r="VWA3" s="59"/>
      <c r="VWB3" s="59"/>
      <c r="VWC3" s="59"/>
      <c r="VWD3" s="59"/>
      <c r="VWE3" s="59"/>
      <c r="VWF3" s="59"/>
      <c r="VWG3" s="59"/>
      <c r="VWH3" s="59"/>
      <c r="VWI3" s="59"/>
      <c r="VWJ3" s="59"/>
      <c r="VWK3" s="59"/>
      <c r="VWL3" s="59"/>
      <c r="VWM3" s="59"/>
      <c r="VWN3" s="59"/>
      <c r="VWO3" s="59"/>
      <c r="VWP3" s="59"/>
      <c r="VWQ3" s="59"/>
      <c r="VWR3" s="59"/>
      <c r="VWS3" s="59"/>
      <c r="VWT3" s="59"/>
      <c r="VWU3" s="59"/>
      <c r="VWV3" s="59"/>
      <c r="VWW3" s="59"/>
      <c r="VWX3" s="59"/>
      <c r="VWY3" s="59"/>
      <c r="VWZ3" s="59"/>
      <c r="VXA3" s="59"/>
      <c r="VXB3" s="59"/>
      <c r="VXC3" s="59"/>
      <c r="VXD3" s="59"/>
      <c r="VXE3" s="59"/>
      <c r="VXF3" s="59"/>
      <c r="VXG3" s="59"/>
      <c r="VXH3" s="59"/>
      <c r="VXI3" s="59"/>
      <c r="VXJ3" s="59"/>
      <c r="VXK3" s="59"/>
      <c r="VXL3" s="59"/>
      <c r="VXM3" s="59"/>
      <c r="VXN3" s="59"/>
      <c r="VXO3" s="59"/>
      <c r="VXP3" s="59"/>
      <c r="VXQ3" s="59"/>
      <c r="VXR3" s="59"/>
      <c r="VXS3" s="59"/>
      <c r="VXT3" s="59"/>
      <c r="VXU3" s="59"/>
      <c r="VXV3" s="59"/>
      <c r="VXW3" s="59"/>
      <c r="VXX3" s="59"/>
      <c r="VXY3" s="59"/>
      <c r="VXZ3" s="59"/>
      <c r="VYA3" s="59"/>
      <c r="VYB3" s="59"/>
      <c r="VYC3" s="59"/>
      <c r="VYD3" s="59"/>
      <c r="VYE3" s="59"/>
      <c r="VYF3" s="59"/>
      <c r="VYG3" s="59"/>
      <c r="VYH3" s="59"/>
      <c r="VYI3" s="59"/>
      <c r="VYJ3" s="59"/>
      <c r="VYK3" s="59"/>
      <c r="VYL3" s="59"/>
      <c r="VYM3" s="59"/>
      <c r="VYN3" s="59"/>
      <c r="VYO3" s="59"/>
      <c r="VYP3" s="59"/>
      <c r="VYQ3" s="59"/>
      <c r="VYR3" s="59"/>
      <c r="VYS3" s="59"/>
      <c r="VYT3" s="59"/>
      <c r="VYU3" s="59"/>
      <c r="VYV3" s="59"/>
      <c r="VYW3" s="59"/>
      <c r="VYX3" s="59"/>
      <c r="VYY3" s="59"/>
      <c r="VYZ3" s="59"/>
      <c r="VZA3" s="59"/>
      <c r="VZB3" s="59"/>
      <c r="VZC3" s="59"/>
      <c r="VZD3" s="59"/>
      <c r="VZE3" s="59"/>
      <c r="VZF3" s="59"/>
      <c r="VZG3" s="59"/>
      <c r="VZH3" s="59"/>
      <c r="VZI3" s="59"/>
      <c r="VZJ3" s="59"/>
      <c r="VZK3" s="59"/>
      <c r="VZL3" s="59"/>
      <c r="VZM3" s="59"/>
      <c r="VZN3" s="59"/>
      <c r="VZO3" s="59"/>
      <c r="VZP3" s="59"/>
      <c r="VZQ3" s="59"/>
      <c r="VZR3" s="59"/>
      <c r="VZS3" s="59"/>
      <c r="VZT3" s="59"/>
      <c r="VZU3" s="59"/>
      <c r="VZV3" s="59"/>
      <c r="VZW3" s="59"/>
      <c r="VZX3" s="59"/>
      <c r="VZY3" s="59"/>
      <c r="VZZ3" s="59"/>
      <c r="WAA3" s="59"/>
      <c r="WAB3" s="59"/>
      <c r="WAC3" s="59"/>
      <c r="WAD3" s="59"/>
      <c r="WAE3" s="59"/>
      <c r="WAF3" s="59"/>
      <c r="WAG3" s="59"/>
      <c r="WAH3" s="59"/>
      <c r="WAI3" s="59"/>
      <c r="WAJ3" s="59"/>
      <c r="WAK3" s="59"/>
      <c r="WAL3" s="59"/>
      <c r="WAM3" s="59"/>
      <c r="WAN3" s="59"/>
      <c r="WAO3" s="59"/>
      <c r="WAP3" s="59"/>
      <c r="WAQ3" s="59"/>
      <c r="WAR3" s="59"/>
      <c r="WAS3" s="59"/>
      <c r="WAT3" s="59"/>
      <c r="WAU3" s="59"/>
      <c r="WAV3" s="59"/>
      <c r="WAW3" s="59"/>
      <c r="WAX3" s="59"/>
      <c r="WAY3" s="59"/>
      <c r="WAZ3" s="59"/>
      <c r="WBA3" s="59"/>
      <c r="WBB3" s="59"/>
      <c r="WBC3" s="59"/>
      <c r="WBD3" s="59"/>
      <c r="WBE3" s="59"/>
      <c r="WBF3" s="59"/>
      <c r="WBG3" s="59"/>
      <c r="WBH3" s="59"/>
      <c r="WBI3" s="59"/>
      <c r="WBJ3" s="59"/>
      <c r="WBK3" s="59"/>
      <c r="WBL3" s="59"/>
      <c r="WBM3" s="59"/>
      <c r="WBN3" s="59"/>
      <c r="WBO3" s="59"/>
      <c r="WBP3" s="59"/>
      <c r="WBQ3" s="59"/>
      <c r="WBR3" s="59"/>
      <c r="WBS3" s="59"/>
      <c r="WBT3" s="59"/>
      <c r="WBU3" s="59"/>
      <c r="WBV3" s="59"/>
      <c r="WBW3" s="59"/>
      <c r="WBX3" s="59"/>
      <c r="WBY3" s="59"/>
      <c r="WBZ3" s="59"/>
      <c r="WCA3" s="59"/>
      <c r="WCB3" s="59"/>
      <c r="WCC3" s="59"/>
      <c r="WCD3" s="59"/>
      <c r="WCE3" s="59"/>
      <c r="WCF3" s="59"/>
      <c r="WCG3" s="59"/>
      <c r="WCH3" s="59"/>
      <c r="WCI3" s="59"/>
      <c r="WCJ3" s="59"/>
      <c r="WCK3" s="59"/>
      <c r="WCL3" s="59"/>
      <c r="WCM3" s="59"/>
      <c r="WCN3" s="59"/>
      <c r="WCO3" s="59"/>
      <c r="WCP3" s="59"/>
      <c r="WCQ3" s="59"/>
      <c r="WCR3" s="59"/>
      <c r="WCS3" s="59"/>
      <c r="WCT3" s="59"/>
      <c r="WCU3" s="59"/>
      <c r="WCV3" s="59"/>
      <c r="WCW3" s="59"/>
      <c r="WCX3" s="59"/>
      <c r="WCY3" s="59"/>
      <c r="WCZ3" s="59"/>
      <c r="WDA3" s="59"/>
      <c r="WDB3" s="59"/>
      <c r="WDC3" s="59"/>
      <c r="WDD3" s="59"/>
      <c r="WDE3" s="59"/>
      <c r="WDF3" s="59"/>
      <c r="WDG3" s="59"/>
      <c r="WDH3" s="59"/>
      <c r="WDI3" s="59"/>
      <c r="WDJ3" s="59"/>
      <c r="WDK3" s="59"/>
      <c r="WDL3" s="59"/>
      <c r="WDM3" s="59"/>
      <c r="WDN3" s="59"/>
      <c r="WDO3" s="59"/>
      <c r="WDP3" s="59"/>
      <c r="WDQ3" s="59"/>
      <c r="WDR3" s="59"/>
      <c r="WDS3" s="59"/>
      <c r="WDT3" s="59"/>
      <c r="WDU3" s="59"/>
      <c r="WDV3" s="59"/>
      <c r="WDW3" s="59"/>
      <c r="WDX3" s="59"/>
      <c r="WDY3" s="59"/>
      <c r="WDZ3" s="59"/>
      <c r="WEA3" s="59"/>
      <c r="WEB3" s="59"/>
      <c r="WEC3" s="59"/>
      <c r="WED3" s="59"/>
      <c r="WEE3" s="59"/>
      <c r="WEF3" s="59"/>
      <c r="WEG3" s="59"/>
      <c r="WEH3" s="59"/>
      <c r="WEI3" s="59"/>
      <c r="WEJ3" s="59"/>
      <c r="WEK3" s="59"/>
      <c r="WEL3" s="59"/>
      <c r="WEM3" s="59"/>
      <c r="WEN3" s="59"/>
      <c r="WEO3" s="59"/>
      <c r="WEP3" s="59"/>
      <c r="WEQ3" s="59"/>
      <c r="WER3" s="59"/>
      <c r="WES3" s="59"/>
      <c r="WET3" s="59"/>
      <c r="WEU3" s="59"/>
      <c r="WEV3" s="59"/>
      <c r="WEW3" s="59"/>
      <c r="WEX3" s="59"/>
      <c r="WEY3" s="59"/>
      <c r="WEZ3" s="59"/>
      <c r="WFA3" s="59"/>
      <c r="WFB3" s="59"/>
      <c r="WFC3" s="59"/>
      <c r="WFD3" s="59"/>
      <c r="WFE3" s="59"/>
      <c r="WFF3" s="59"/>
      <c r="WFG3" s="59"/>
      <c r="WFH3" s="59"/>
      <c r="WFI3" s="59"/>
      <c r="WFJ3" s="59"/>
      <c r="WFK3" s="59"/>
      <c r="WFL3" s="59"/>
      <c r="WFM3" s="59"/>
      <c r="WFN3" s="59"/>
      <c r="WFO3" s="59"/>
      <c r="WFP3" s="59"/>
      <c r="WFQ3" s="59"/>
      <c r="WFR3" s="59"/>
      <c r="WFS3" s="59"/>
      <c r="WFT3" s="59"/>
      <c r="WFU3" s="59"/>
      <c r="WFV3" s="59"/>
      <c r="WFW3" s="59"/>
      <c r="WFX3" s="59"/>
      <c r="WFY3" s="59"/>
      <c r="WFZ3" s="59"/>
      <c r="WGA3" s="59"/>
      <c r="WGB3" s="59"/>
      <c r="WGC3" s="59"/>
      <c r="WGD3" s="59"/>
      <c r="WGE3" s="59"/>
      <c r="WGF3" s="59"/>
      <c r="WGG3" s="59"/>
      <c r="WGH3" s="59"/>
      <c r="WGI3" s="59"/>
      <c r="WGJ3" s="59"/>
      <c r="WGK3" s="59"/>
      <c r="WGL3" s="59"/>
      <c r="WGM3" s="59"/>
      <c r="WGN3" s="59"/>
      <c r="WGO3" s="59"/>
      <c r="WGP3" s="59"/>
      <c r="WGQ3" s="59"/>
      <c r="WGR3" s="59"/>
      <c r="WGS3" s="59"/>
      <c r="WGT3" s="59"/>
      <c r="WGU3" s="59"/>
      <c r="WGV3" s="59"/>
      <c r="WGW3" s="59"/>
      <c r="WGX3" s="59"/>
      <c r="WGY3" s="59"/>
      <c r="WGZ3" s="59"/>
      <c r="WHA3" s="59"/>
      <c r="WHB3" s="59"/>
      <c r="WHC3" s="59"/>
      <c r="WHD3" s="59"/>
      <c r="WHE3" s="59"/>
      <c r="WHF3" s="59"/>
      <c r="WHG3" s="59"/>
      <c r="WHH3" s="59"/>
      <c r="WHI3" s="59"/>
      <c r="WHJ3" s="59"/>
      <c r="WHK3" s="59"/>
      <c r="WHL3" s="59"/>
      <c r="WHM3" s="59"/>
      <c r="WHN3" s="59"/>
      <c r="WHO3" s="59"/>
      <c r="WHP3" s="59"/>
      <c r="WHQ3" s="59"/>
      <c r="WHR3" s="59"/>
      <c r="WHS3" s="59"/>
      <c r="WHT3" s="59"/>
      <c r="WHU3" s="59"/>
      <c r="WHV3" s="59"/>
      <c r="WHW3" s="59"/>
      <c r="WHX3" s="59"/>
      <c r="WHY3" s="59"/>
      <c r="WHZ3" s="59"/>
      <c r="WIA3" s="59"/>
      <c r="WIB3" s="59"/>
      <c r="WIC3" s="59"/>
      <c r="WID3" s="59"/>
      <c r="WIE3" s="59"/>
      <c r="WIF3" s="59"/>
      <c r="WIG3" s="59"/>
      <c r="WIH3" s="59"/>
      <c r="WII3" s="59"/>
      <c r="WIJ3" s="59"/>
      <c r="WIK3" s="59"/>
      <c r="WIL3" s="59"/>
      <c r="WIM3" s="59"/>
      <c r="WIN3" s="59"/>
      <c r="WIO3" s="59"/>
      <c r="WIP3" s="59"/>
      <c r="WIQ3" s="59"/>
      <c r="WIR3" s="59"/>
      <c r="WIS3" s="59"/>
      <c r="WIT3" s="59"/>
      <c r="WIU3" s="59"/>
      <c r="WIV3" s="59"/>
      <c r="WIW3" s="59"/>
      <c r="WIX3" s="59"/>
      <c r="WIY3" s="59"/>
      <c r="WIZ3" s="59"/>
      <c r="WJA3" s="59"/>
      <c r="WJB3" s="59"/>
      <c r="WJC3" s="59"/>
      <c r="WJD3" s="59"/>
      <c r="WJE3" s="59"/>
      <c r="WJF3" s="59"/>
      <c r="WJG3" s="59"/>
      <c r="WJH3" s="59"/>
      <c r="WJI3" s="59"/>
      <c r="WJJ3" s="59"/>
      <c r="WJK3" s="59"/>
      <c r="WJL3" s="59"/>
      <c r="WJM3" s="59"/>
      <c r="WJN3" s="59"/>
      <c r="WJO3" s="59"/>
      <c r="WJP3" s="59"/>
      <c r="WJQ3" s="59"/>
      <c r="WJR3" s="59"/>
      <c r="WJS3" s="59"/>
      <c r="WJT3" s="59"/>
      <c r="WJU3" s="59"/>
      <c r="WJV3" s="59"/>
      <c r="WJW3" s="59"/>
      <c r="WJX3" s="59"/>
      <c r="WJY3" s="59"/>
      <c r="WJZ3" s="59"/>
      <c r="WKA3" s="59"/>
      <c r="WKB3" s="59"/>
      <c r="WKC3" s="59"/>
      <c r="WKD3" s="59"/>
      <c r="WKE3" s="59"/>
      <c r="WKF3" s="59"/>
      <c r="WKG3" s="59"/>
      <c r="WKH3" s="59"/>
      <c r="WKI3" s="59"/>
      <c r="WKJ3" s="59"/>
      <c r="WKK3" s="59"/>
      <c r="WKL3" s="59"/>
      <c r="WKM3" s="59"/>
      <c r="WKN3" s="59"/>
      <c r="WKO3" s="59"/>
      <c r="WKP3" s="59"/>
      <c r="WKQ3" s="59"/>
      <c r="WKR3" s="59"/>
      <c r="WKS3" s="59"/>
      <c r="WKT3" s="59"/>
      <c r="WKU3" s="59"/>
      <c r="WKV3" s="59"/>
      <c r="WKW3" s="59"/>
      <c r="WKX3" s="59"/>
      <c r="WKY3" s="59"/>
      <c r="WKZ3" s="59"/>
      <c r="WLA3" s="59"/>
      <c r="WLB3" s="59"/>
      <c r="WLC3" s="59"/>
      <c r="WLD3" s="59"/>
      <c r="WLE3" s="59"/>
      <c r="WLF3" s="59"/>
      <c r="WLG3" s="59"/>
      <c r="WLH3" s="59"/>
      <c r="WLI3" s="59"/>
      <c r="WLJ3" s="59"/>
      <c r="WLK3" s="59"/>
      <c r="WLL3" s="59"/>
      <c r="WLM3" s="59"/>
      <c r="WLN3" s="59"/>
      <c r="WLO3" s="59"/>
      <c r="WLP3" s="59"/>
      <c r="WLQ3" s="59"/>
      <c r="WLR3" s="59"/>
      <c r="WLS3" s="59"/>
      <c r="WLT3" s="59"/>
      <c r="WLU3" s="59"/>
      <c r="WLV3" s="59"/>
      <c r="WLW3" s="59"/>
      <c r="WLX3" s="59"/>
      <c r="WLY3" s="59"/>
      <c r="WLZ3" s="59"/>
      <c r="WMA3" s="59"/>
      <c r="WMB3" s="59"/>
      <c r="WMC3" s="59"/>
      <c r="WMD3" s="59"/>
      <c r="WME3" s="59"/>
      <c r="WMF3" s="59"/>
      <c r="WMG3" s="59"/>
      <c r="WMH3" s="59"/>
      <c r="WMI3" s="59"/>
      <c r="WMJ3" s="59"/>
      <c r="WMK3" s="59"/>
      <c r="WML3" s="59"/>
      <c r="WMM3" s="59"/>
      <c r="WMN3" s="59"/>
      <c r="WMO3" s="59"/>
      <c r="WMP3" s="59"/>
      <c r="WMQ3" s="59"/>
      <c r="WMR3" s="59"/>
      <c r="WMS3" s="59"/>
      <c r="WMT3" s="59"/>
      <c r="WMU3" s="59"/>
      <c r="WMV3" s="59"/>
      <c r="WMW3" s="59"/>
      <c r="WMX3" s="59"/>
      <c r="WMY3" s="59"/>
      <c r="WMZ3" s="59"/>
      <c r="WNA3" s="59"/>
      <c r="WNB3" s="59"/>
      <c r="WNC3" s="59"/>
      <c r="WND3" s="59"/>
      <c r="WNE3" s="59"/>
      <c r="WNF3" s="59"/>
      <c r="WNG3" s="59"/>
      <c r="WNH3" s="59"/>
      <c r="WNI3" s="59"/>
      <c r="WNJ3" s="59"/>
      <c r="WNK3" s="59"/>
      <c r="WNL3" s="59"/>
      <c r="WNM3" s="59"/>
      <c r="WNN3" s="59"/>
      <c r="WNO3" s="59"/>
      <c r="WNP3" s="59"/>
      <c r="WNQ3" s="59"/>
      <c r="WNR3" s="59"/>
      <c r="WNS3" s="59"/>
      <c r="WNT3" s="59"/>
      <c r="WNU3" s="59"/>
      <c r="WNV3" s="59"/>
      <c r="WNW3" s="59"/>
      <c r="WNX3" s="59"/>
      <c r="WNY3" s="59"/>
      <c r="WNZ3" s="59"/>
      <c r="WOA3" s="59"/>
      <c r="WOB3" s="59"/>
      <c r="WOC3" s="59"/>
      <c r="WOD3" s="59"/>
      <c r="WOE3" s="59"/>
      <c r="WOF3" s="59"/>
      <c r="WOG3" s="59"/>
      <c r="WOH3" s="59"/>
      <c r="WOI3" s="59"/>
      <c r="WOJ3" s="59"/>
      <c r="WOK3" s="59"/>
      <c r="WOL3" s="59"/>
      <c r="WOM3" s="59"/>
      <c r="WON3" s="59"/>
      <c r="WOO3" s="59"/>
      <c r="WOP3" s="59"/>
      <c r="WOQ3" s="59"/>
      <c r="WOR3" s="59"/>
      <c r="WOS3" s="59"/>
      <c r="WOT3" s="59"/>
      <c r="WOU3" s="59"/>
      <c r="WOV3" s="59"/>
      <c r="WOW3" s="59"/>
      <c r="WOX3" s="59"/>
      <c r="WOY3" s="59"/>
      <c r="WOZ3" s="59"/>
      <c r="WPA3" s="59"/>
      <c r="WPB3" s="59"/>
      <c r="WPC3" s="59"/>
      <c r="WPD3" s="59"/>
      <c r="WPE3" s="59"/>
      <c r="WPF3" s="59"/>
      <c r="WPG3" s="59"/>
      <c r="WPH3" s="59"/>
      <c r="WPI3" s="59"/>
      <c r="WPJ3" s="59"/>
      <c r="WPK3" s="59"/>
      <c r="WPL3" s="59"/>
      <c r="WPM3" s="59"/>
      <c r="WPN3" s="59"/>
      <c r="WPO3" s="59"/>
      <c r="WPP3" s="59"/>
      <c r="WPQ3" s="59"/>
      <c r="WPR3" s="59"/>
      <c r="WPS3" s="59"/>
      <c r="WPT3" s="59"/>
      <c r="WPU3" s="59"/>
      <c r="WPV3" s="59"/>
      <c r="WPW3" s="59"/>
      <c r="WPX3" s="59"/>
      <c r="WPY3" s="59"/>
      <c r="WPZ3" s="59"/>
      <c r="WQA3" s="59"/>
      <c r="WQB3" s="59"/>
      <c r="WQC3" s="59"/>
      <c r="WQD3" s="59"/>
      <c r="WQE3" s="59"/>
      <c r="WQF3" s="59"/>
      <c r="WQG3" s="59"/>
      <c r="WQH3" s="59"/>
      <c r="WQI3" s="59"/>
      <c r="WQJ3" s="59"/>
      <c r="WQK3" s="59"/>
      <c r="WQL3" s="59"/>
      <c r="WQM3" s="59"/>
      <c r="WQN3" s="59"/>
      <c r="WQO3" s="59"/>
      <c r="WQP3" s="59"/>
      <c r="WQQ3" s="59"/>
      <c r="WQR3" s="59"/>
      <c r="WQS3" s="59"/>
      <c r="WQT3" s="59"/>
      <c r="WQU3" s="59"/>
      <c r="WQV3" s="59"/>
      <c r="WQW3" s="59"/>
      <c r="WQX3" s="59"/>
      <c r="WQY3" s="59"/>
      <c r="WQZ3" s="59"/>
      <c r="WRA3" s="59"/>
      <c r="WRB3" s="59"/>
      <c r="WRC3" s="59"/>
      <c r="WRD3" s="59"/>
      <c r="WRE3" s="59"/>
      <c r="WRF3" s="59"/>
      <c r="WRG3" s="59"/>
      <c r="WRH3" s="59"/>
      <c r="WRI3" s="59"/>
      <c r="WRJ3" s="59"/>
      <c r="WRK3" s="59"/>
      <c r="WRL3" s="59"/>
      <c r="WRM3" s="59"/>
      <c r="WRN3" s="59"/>
      <c r="WRO3" s="59"/>
      <c r="WRP3" s="59"/>
      <c r="WRQ3" s="59"/>
      <c r="WRR3" s="59"/>
      <c r="WRS3" s="59"/>
      <c r="WRT3" s="59"/>
      <c r="WRU3" s="59"/>
      <c r="WRV3" s="59"/>
      <c r="WRW3" s="59"/>
      <c r="WRX3" s="59"/>
      <c r="WRY3" s="59"/>
      <c r="WRZ3" s="59"/>
      <c r="WSA3" s="59"/>
      <c r="WSB3" s="59"/>
      <c r="WSC3" s="59"/>
      <c r="WSD3" s="59"/>
      <c r="WSE3" s="59"/>
      <c r="WSF3" s="59"/>
      <c r="WSG3" s="59"/>
      <c r="WSH3" s="59"/>
      <c r="WSI3" s="59"/>
      <c r="WSJ3" s="59"/>
      <c r="WSK3" s="59"/>
      <c r="WSL3" s="59"/>
      <c r="WSM3" s="59"/>
      <c r="WSN3" s="59"/>
      <c r="WSO3" s="59"/>
      <c r="WSP3" s="59"/>
      <c r="WSQ3" s="59"/>
      <c r="WSR3" s="59"/>
      <c r="WSS3" s="59"/>
      <c r="WST3" s="59"/>
      <c r="WSU3" s="59"/>
      <c r="WSV3" s="59"/>
      <c r="WSW3" s="59"/>
      <c r="WSX3" s="59"/>
      <c r="WSY3" s="59"/>
      <c r="WSZ3" s="59"/>
      <c r="WTA3" s="59"/>
      <c r="WTB3" s="59"/>
      <c r="WTC3" s="59"/>
      <c r="WTD3" s="59"/>
      <c r="WTE3" s="59"/>
      <c r="WTF3" s="59"/>
      <c r="WTG3" s="59"/>
      <c r="WTH3" s="59"/>
      <c r="WTI3" s="59"/>
      <c r="WTJ3" s="59"/>
      <c r="WTK3" s="59"/>
      <c r="WTL3" s="59"/>
      <c r="WTM3" s="59"/>
      <c r="WTN3" s="59"/>
      <c r="WTO3" s="59"/>
      <c r="WTP3" s="59"/>
      <c r="WTQ3" s="59"/>
      <c r="WTR3" s="59"/>
      <c r="WTS3" s="59"/>
      <c r="WTT3" s="59"/>
      <c r="WTU3" s="59"/>
      <c r="WTV3" s="59"/>
      <c r="WTW3" s="59"/>
      <c r="WTX3" s="59"/>
      <c r="WTY3" s="59"/>
      <c r="WTZ3" s="59"/>
      <c r="WUA3" s="59"/>
      <c r="WUB3" s="59"/>
      <c r="WUC3" s="59"/>
      <c r="WUD3" s="59"/>
      <c r="WUE3" s="59"/>
      <c r="WUF3" s="59"/>
      <c r="WUG3" s="59"/>
      <c r="WUH3" s="59"/>
      <c r="WUI3" s="59"/>
      <c r="WUJ3" s="59"/>
      <c r="WUK3" s="59"/>
      <c r="WUL3" s="59"/>
      <c r="WUM3" s="59"/>
      <c r="WUN3" s="59"/>
      <c r="WUO3" s="59"/>
      <c r="WUP3" s="59"/>
      <c r="WUQ3" s="59"/>
      <c r="WUR3" s="59"/>
      <c r="WUS3" s="59"/>
      <c r="WUT3" s="59"/>
      <c r="WUU3" s="59"/>
      <c r="WUV3" s="59"/>
      <c r="WUW3" s="59"/>
      <c r="WUX3" s="59"/>
      <c r="WUY3" s="59"/>
      <c r="WUZ3" s="59"/>
      <c r="WVA3" s="59"/>
      <c r="WVB3" s="59"/>
      <c r="WVC3" s="59"/>
      <c r="WVD3" s="59"/>
      <c r="WVE3" s="59"/>
      <c r="WVF3" s="59"/>
      <c r="WVG3" s="59"/>
      <c r="WVH3" s="59"/>
      <c r="WVI3" s="59"/>
      <c r="WVJ3" s="59"/>
      <c r="WVK3" s="59"/>
      <c r="WVL3" s="59"/>
      <c r="WVM3" s="59"/>
      <c r="WVN3" s="59"/>
      <c r="WVO3" s="59"/>
      <c r="WVP3" s="59"/>
      <c r="WVQ3" s="59"/>
      <c r="WVR3" s="59"/>
      <c r="WVS3" s="59"/>
      <c r="WVT3" s="59"/>
      <c r="WVU3" s="59"/>
      <c r="WVV3" s="59"/>
      <c r="WVW3" s="59"/>
      <c r="WVX3" s="59"/>
      <c r="WVY3" s="59"/>
      <c r="WVZ3" s="59"/>
      <c r="WWA3" s="59"/>
      <c r="WWB3" s="59"/>
      <c r="WWC3" s="59"/>
      <c r="WWD3" s="59"/>
      <c r="WWE3" s="59"/>
      <c r="WWF3" s="59"/>
      <c r="WWG3" s="59"/>
      <c r="WWH3" s="59"/>
      <c r="WWI3" s="59"/>
      <c r="WWJ3" s="59"/>
      <c r="WWK3" s="59"/>
      <c r="WWL3" s="59"/>
      <c r="WWM3" s="59"/>
      <c r="WWN3" s="59"/>
      <c r="WWO3" s="59"/>
      <c r="WWP3" s="59"/>
      <c r="WWQ3" s="59"/>
      <c r="WWR3" s="59"/>
      <c r="WWS3" s="59"/>
      <c r="WWT3" s="59"/>
      <c r="WWU3" s="59"/>
      <c r="WWV3" s="59"/>
      <c r="WWW3" s="59"/>
      <c r="WWX3" s="59"/>
      <c r="WWY3" s="59"/>
      <c r="WWZ3" s="59"/>
      <c r="WXA3" s="59"/>
      <c r="WXB3" s="59"/>
      <c r="WXC3" s="59"/>
      <c r="WXD3" s="59"/>
      <c r="WXE3" s="59"/>
      <c r="WXF3" s="59"/>
      <c r="WXG3" s="59"/>
      <c r="WXH3" s="59"/>
      <c r="WXI3" s="59"/>
      <c r="WXJ3" s="59"/>
      <c r="WXK3" s="59"/>
      <c r="WXL3" s="59"/>
      <c r="WXM3" s="59"/>
      <c r="WXN3" s="59"/>
      <c r="WXO3" s="59"/>
      <c r="WXP3" s="59"/>
      <c r="WXQ3" s="59"/>
      <c r="WXR3" s="59"/>
      <c r="WXS3" s="59"/>
      <c r="WXT3" s="59"/>
      <c r="WXU3" s="59"/>
      <c r="WXV3" s="59"/>
      <c r="WXW3" s="59"/>
      <c r="WXX3" s="59"/>
      <c r="WXY3" s="59"/>
      <c r="WXZ3" s="59"/>
      <c r="WYA3" s="59"/>
      <c r="WYB3" s="59"/>
      <c r="WYC3" s="59"/>
      <c r="WYD3" s="59"/>
      <c r="WYE3" s="59"/>
      <c r="WYF3" s="59"/>
      <c r="WYG3" s="59"/>
      <c r="WYH3" s="59"/>
      <c r="WYI3" s="59"/>
      <c r="WYJ3" s="59"/>
      <c r="WYK3" s="59"/>
      <c r="WYL3" s="59"/>
      <c r="WYM3" s="59"/>
      <c r="WYN3" s="59"/>
      <c r="WYO3" s="59"/>
      <c r="WYP3" s="59"/>
      <c r="WYQ3" s="59"/>
      <c r="WYR3" s="59"/>
      <c r="WYS3" s="59"/>
      <c r="WYT3" s="59"/>
      <c r="WYU3" s="59"/>
      <c r="WYV3" s="59"/>
      <c r="WYW3" s="59"/>
      <c r="WYX3" s="59"/>
      <c r="WYY3" s="59"/>
      <c r="WYZ3" s="59"/>
      <c r="WZA3" s="59"/>
      <c r="WZB3" s="59"/>
      <c r="WZC3" s="59"/>
      <c r="WZD3" s="59"/>
      <c r="WZE3" s="59"/>
      <c r="WZF3" s="59"/>
      <c r="WZG3" s="59"/>
      <c r="WZH3" s="59"/>
      <c r="WZI3" s="59"/>
      <c r="WZJ3" s="59"/>
      <c r="WZK3" s="59"/>
      <c r="WZL3" s="59"/>
      <c r="WZM3" s="59"/>
      <c r="WZN3" s="59"/>
      <c r="WZO3" s="59"/>
      <c r="WZP3" s="59"/>
      <c r="WZQ3" s="59"/>
      <c r="WZR3" s="59"/>
      <c r="WZS3" s="59"/>
      <c r="WZT3" s="59"/>
      <c r="WZU3" s="59"/>
      <c r="WZV3" s="59"/>
      <c r="WZW3" s="59"/>
      <c r="WZX3" s="59"/>
      <c r="WZY3" s="59"/>
      <c r="WZZ3" s="59"/>
      <c r="XAA3" s="59"/>
      <c r="XAB3" s="59"/>
      <c r="XAC3" s="59"/>
      <c r="XAD3" s="59"/>
      <c r="XAE3" s="59"/>
      <c r="XAF3" s="59"/>
      <c r="XAG3" s="59"/>
      <c r="XAH3" s="59"/>
      <c r="XAI3" s="59"/>
      <c r="XAJ3" s="59"/>
      <c r="XAK3" s="59"/>
      <c r="XAL3" s="59"/>
      <c r="XAM3" s="59"/>
      <c r="XAN3" s="59"/>
      <c r="XAO3" s="59"/>
      <c r="XAP3" s="59"/>
      <c r="XAQ3" s="59"/>
      <c r="XAR3" s="59"/>
      <c r="XAS3" s="59"/>
      <c r="XAT3" s="59"/>
      <c r="XAU3" s="59"/>
      <c r="XAV3" s="59"/>
      <c r="XAW3" s="59"/>
      <c r="XAX3" s="59"/>
      <c r="XAY3" s="59"/>
      <c r="XAZ3" s="59"/>
      <c r="XBA3" s="59"/>
      <c r="XBB3" s="59"/>
      <c r="XBC3" s="59"/>
      <c r="XBD3" s="59"/>
      <c r="XBE3" s="59"/>
      <c r="XBF3" s="59"/>
      <c r="XBG3" s="59"/>
      <c r="XBH3" s="59"/>
      <c r="XBI3" s="59"/>
      <c r="XBJ3" s="59"/>
      <c r="XBK3" s="59"/>
      <c r="XBL3" s="59"/>
      <c r="XBM3" s="59"/>
      <c r="XBN3" s="59"/>
      <c r="XBO3" s="59"/>
      <c r="XBP3" s="59"/>
      <c r="XBQ3" s="59"/>
      <c r="XBR3" s="59"/>
      <c r="XBS3" s="59"/>
      <c r="XBT3" s="59"/>
      <c r="XBU3" s="59"/>
      <c r="XBV3" s="59"/>
      <c r="XBW3" s="59"/>
      <c r="XBX3" s="59"/>
      <c r="XBY3" s="59"/>
      <c r="XBZ3" s="59"/>
      <c r="XCA3" s="59"/>
      <c r="XCB3" s="59"/>
      <c r="XCC3" s="59"/>
      <c r="XCD3" s="59"/>
      <c r="XCE3" s="59"/>
      <c r="XCF3" s="59"/>
      <c r="XCG3" s="59"/>
      <c r="XCH3" s="59"/>
      <c r="XCI3" s="59"/>
      <c r="XCJ3" s="59"/>
      <c r="XCK3" s="59"/>
      <c r="XCL3" s="59"/>
      <c r="XCM3" s="59"/>
      <c r="XCN3" s="59"/>
      <c r="XCO3" s="59"/>
      <c r="XCP3" s="59"/>
      <c r="XCQ3" s="59"/>
      <c r="XCR3" s="59"/>
      <c r="XCS3" s="59"/>
      <c r="XCT3" s="59"/>
      <c r="XCU3" s="59"/>
      <c r="XCV3" s="59"/>
      <c r="XCW3" s="59"/>
      <c r="XCX3" s="59"/>
      <c r="XCY3" s="59"/>
      <c r="XCZ3" s="59"/>
      <c r="XDA3" s="59"/>
      <c r="XDB3" s="59"/>
      <c r="XDC3" s="59"/>
      <c r="XDD3" s="59"/>
      <c r="XDE3" s="59"/>
      <c r="XDF3" s="59"/>
      <c r="XDG3" s="59"/>
      <c r="XDH3" s="59"/>
      <c r="XDI3" s="59"/>
      <c r="XDJ3" s="59"/>
      <c r="XDK3" s="59"/>
      <c r="XDL3" s="59"/>
      <c r="XDM3" s="59"/>
      <c r="XDN3" s="59"/>
      <c r="XDO3" s="59"/>
      <c r="XDP3" s="59"/>
      <c r="XDQ3" s="59"/>
      <c r="XDR3" s="59"/>
      <c r="XDS3" s="59"/>
      <c r="XDT3" s="59"/>
      <c r="XDU3" s="59"/>
      <c r="XDV3" s="59"/>
      <c r="XDW3" s="59"/>
      <c r="XDX3" s="59"/>
      <c r="XDY3" s="59"/>
      <c r="XDZ3" s="59"/>
      <c r="XEA3" s="59"/>
      <c r="XEB3" s="59"/>
      <c r="XEC3" s="59"/>
      <c r="XED3" s="59"/>
      <c r="XEE3" s="59"/>
      <c r="XEF3" s="59"/>
      <c r="XEG3" s="59"/>
      <c r="XEH3" s="59"/>
      <c r="XEI3" s="59"/>
      <c r="XEJ3" s="59"/>
      <c r="XEK3" s="59"/>
      <c r="XEL3" s="59"/>
      <c r="XEM3" s="59"/>
      <c r="XEN3" s="59"/>
      <c r="XEO3" s="59"/>
      <c r="XEP3" s="59"/>
      <c r="XEQ3" s="59"/>
      <c r="XER3" s="59"/>
      <c r="XES3" s="59"/>
      <c r="XET3" s="59"/>
      <c r="XEU3" s="59"/>
      <c r="XEV3" s="59"/>
      <c r="XEW3" s="59"/>
      <c r="XEX3" s="59"/>
      <c r="XEY3" s="59"/>
      <c r="XEZ3" s="59"/>
      <c r="XFA3" s="59"/>
      <c r="XFB3" s="59"/>
      <c r="XFC3" s="59"/>
      <c r="XFD3" s="59"/>
    </row>
    <row r="4" spans="1:16384" ht="12.75" customHeight="1" x14ac:dyDescent="0.25">
      <c r="A4" s="56"/>
      <c r="C4" s="76"/>
      <c r="T4" s="150" t="str">
        <f>"W1-"&amp;T6</f>
        <v>W1-4</v>
      </c>
      <c r="U4" s="150" t="str">
        <f>"W1-"&amp;U6</f>
        <v>W1-8</v>
      </c>
      <c r="V4" s="150" t="str">
        <f>"W1-"&amp;V6</f>
        <v>W1-12</v>
      </c>
      <c r="W4" s="150" t="str">
        <f>"W1-"&amp;W6</f>
        <v>W1-16</v>
      </c>
    </row>
    <row r="5" spans="1:16384" ht="27" customHeight="1" x14ac:dyDescent="0.2">
      <c r="C5" s="387" t="s">
        <v>9</v>
      </c>
      <c r="D5" s="388"/>
      <c r="E5" s="388"/>
      <c r="F5" s="388"/>
      <c r="G5" s="388"/>
      <c r="H5" s="388"/>
      <c r="I5" s="388"/>
      <c r="J5" s="388"/>
      <c r="K5" s="388"/>
      <c r="L5" s="388"/>
      <c r="M5" s="388"/>
      <c r="N5" s="388"/>
      <c r="O5" s="388"/>
      <c r="P5" s="388"/>
      <c r="Q5" s="388"/>
      <c r="R5" s="388"/>
      <c r="S5" s="389"/>
      <c r="T5" s="193" t="s">
        <v>158</v>
      </c>
      <c r="U5" s="193" t="s">
        <v>158</v>
      </c>
      <c r="V5" s="193" t="s">
        <v>158</v>
      </c>
      <c r="W5" s="193" t="s">
        <v>158</v>
      </c>
    </row>
    <row r="6" spans="1:16384" ht="13.5" thickBot="1" x14ac:dyDescent="0.25">
      <c r="B6" s="77" t="s">
        <v>1</v>
      </c>
      <c r="C6" s="78">
        <v>1</v>
      </c>
      <c r="D6" s="78">
        <v>2</v>
      </c>
      <c r="E6" s="78">
        <v>3</v>
      </c>
      <c r="F6" s="78">
        <v>4</v>
      </c>
      <c r="G6" s="78">
        <v>5</v>
      </c>
      <c r="H6" s="78">
        <v>6</v>
      </c>
      <c r="I6" s="78">
        <v>7</v>
      </c>
      <c r="J6" s="78">
        <v>8</v>
      </c>
      <c r="K6" s="78">
        <v>9</v>
      </c>
      <c r="L6" s="78">
        <v>10</v>
      </c>
      <c r="M6" s="78">
        <v>11</v>
      </c>
      <c r="N6" s="78">
        <v>12</v>
      </c>
      <c r="O6" s="78">
        <v>13</v>
      </c>
      <c r="P6" s="78">
        <v>14</v>
      </c>
      <c r="Q6" s="78">
        <v>15</v>
      </c>
      <c r="R6" s="78">
        <v>16</v>
      </c>
      <c r="S6" s="78" t="s">
        <v>4</v>
      </c>
      <c r="T6" s="194">
        <f>Status!L7</f>
        <v>4</v>
      </c>
      <c r="U6" s="194">
        <f>Status!Q7</f>
        <v>8</v>
      </c>
      <c r="V6" s="194">
        <f>Status!W7</f>
        <v>12</v>
      </c>
      <c r="W6" s="194">
        <f>Status!AC7</f>
        <v>16</v>
      </c>
    </row>
    <row r="7" spans="1:16384" ht="4.5" customHeight="1" thickTop="1" x14ac:dyDescent="0.2">
      <c r="B7" s="103"/>
      <c r="C7" s="104"/>
      <c r="D7" s="105"/>
      <c r="E7" s="105"/>
      <c r="F7" s="105"/>
      <c r="G7" s="105"/>
      <c r="H7" s="105"/>
      <c r="I7" s="105"/>
      <c r="J7" s="105"/>
      <c r="K7" s="105"/>
      <c r="L7" s="105"/>
      <c r="M7" s="105"/>
      <c r="N7" s="105"/>
      <c r="O7" s="105"/>
      <c r="P7" s="105"/>
      <c r="Q7" s="105"/>
      <c r="R7" s="106"/>
      <c r="S7" s="107"/>
      <c r="T7" s="108"/>
      <c r="U7" s="108"/>
      <c r="V7" s="108"/>
      <c r="W7" s="108"/>
    </row>
    <row r="8" spans="1:16384" ht="15" customHeight="1" x14ac:dyDescent="0.2">
      <c r="A8" s="92">
        <f>Roster!B8</f>
        <v>1</v>
      </c>
      <c r="B8" s="102" t="str">
        <f>Roster!C8</f>
        <v>Abdalgni, Khalid</v>
      </c>
      <c r="C8" s="82">
        <f>SUMIFS((vCount vdata),(vName vdata),"="&amp;sfName,(vdata vWeek),"="&amp;svWeek)</f>
        <v>0</v>
      </c>
      <c r="D8" s="83">
        <f>SUMIFS((vCount vdata),(vName vdata),"="&amp;sName,(vdata vWeek),"="&amp;svWeek)</f>
        <v>0</v>
      </c>
      <c r="E8" s="83">
        <f>SUMIFS((vCount vdata),(vName vdata),"="&amp;sName,(vdata vWeek),"="&amp;svWeek)</f>
        <v>0</v>
      </c>
      <c r="F8" s="83">
        <f>SUMIFS((vCount vdata),(vName vdata),"="&amp;sName,(vdata vWeek),"="&amp;svWeek)</f>
        <v>0</v>
      </c>
      <c r="G8" s="83">
        <f>SUMIFS((vCount vdata),(vName vdata),"="&amp;sName,(vdata vWeek),"="&amp;svWeek)</f>
        <v>0</v>
      </c>
      <c r="H8" s="83">
        <f>SUMIFS((vCount vdata),(vName vdata),"="&amp;sName,(vdata vWeek),"="&amp;svWeek)</f>
        <v>0</v>
      </c>
      <c r="I8" s="83">
        <f>SUMIFS((vCount vdata),(vName vdata),"="&amp;sName,(vdata vWeek),"="&amp;svWeek)</f>
        <v>0</v>
      </c>
      <c r="J8" s="83">
        <f>SUMIFS((vCount vdata),(vName vdata),"="&amp;sName,(vdata vWeek),"="&amp;svWeek)</f>
        <v>0</v>
      </c>
      <c r="K8" s="83">
        <f>SUMIFS((vCount vdata),(vName vdata),"="&amp;sName,(vdata vWeek),"="&amp;svWeek)</f>
        <v>0</v>
      </c>
      <c r="L8" s="83">
        <f>SUMIFS((vCount vdata),(vName vdata),"="&amp;sName,(vdata vWeek),"="&amp;svWeek)</f>
        <v>0</v>
      </c>
      <c r="M8" s="83">
        <f>SUMIFS((vCount vdata),(vName vdata),"="&amp;sName,(vdata vWeek),"="&amp;svWeek)</f>
        <v>0</v>
      </c>
      <c r="N8" s="83">
        <f>SUMIFS((vCount vdata),(vName vdata),"="&amp;sName,(vdata vWeek),"="&amp;svWeek)</f>
        <v>0</v>
      </c>
      <c r="O8" s="83">
        <f>SUMIFS((vCount vdata),(vName vdata),"="&amp;sName,(vdata vWeek),"="&amp;svWeek)</f>
        <v>0</v>
      </c>
      <c r="P8" s="83">
        <f>SUMIFS((vCount vdata),(vName vdata),"="&amp;sName,(vdata vWeek),"="&amp;svWeek)</f>
        <v>0</v>
      </c>
      <c r="Q8" s="83">
        <f>SUMIFS((vCount vdata),(vName vdata),"="&amp;sName,(vdata vWeek),"="&amp;svWeek)</f>
        <v>0</v>
      </c>
      <c r="R8" s="84">
        <f>SUMIFS((vCount vdata),(vName vdata),"="&amp;sName,(vdata vWeek),"="&amp;svWeek)</f>
        <v>0</v>
      </c>
      <c r="S8" s="79">
        <f t="shared" ref="S8:S16" si="0">SUM(C8:R8)</f>
        <v>0</v>
      </c>
      <c r="T8" s="79">
        <f>SUMIFS(svWeeks 8:8, svWeeks svWeek,"&lt;="&amp;svWeek)</f>
        <v>0</v>
      </c>
      <c r="U8" s="79">
        <f>SUMIFS(svWeeks 8:8, svWeeks svWeek,"&lt;="&amp;svWeek)</f>
        <v>0</v>
      </c>
      <c r="V8" s="79">
        <f>SUMIFS(svWeeks 8:8, svWeeks svWeek,"&lt;="&amp;svWeek)</f>
        <v>0</v>
      </c>
      <c r="W8" s="79">
        <f>SUMIFS(svWeeks 8:8, svWeeks svWeek,"&lt;="&amp;svWeek)</f>
        <v>0</v>
      </c>
    </row>
    <row r="9" spans="1:16384" ht="15" customHeight="1" x14ac:dyDescent="0.2">
      <c r="A9" s="347">
        <f>Roster!B9</f>
        <v>2</v>
      </c>
      <c r="B9" s="102" t="str">
        <f>Roster!C9</f>
        <v>Alam, Md. Ashraful</v>
      </c>
      <c r="C9" s="82">
        <f>SUMIFS((vCount vdata),(vName vdata),"="&amp;sName,(vdata vWeek),"="&amp;svWeek)</f>
        <v>0</v>
      </c>
      <c r="D9" s="83">
        <f>SUMIFS((vCount vdata),(vName vdata),"="&amp;sName,(vdata vWeek),"="&amp;svWeek)</f>
        <v>0</v>
      </c>
      <c r="E9" s="83">
        <f>SUMIFS((vCount vdata),(vName vdata),"="&amp;sName,(vdata vWeek),"="&amp;svWeek)</f>
        <v>0</v>
      </c>
      <c r="F9" s="83">
        <f>SUMIFS((vCount vdata),(vName vdata),"="&amp;sName,(vdata vWeek),"="&amp;svWeek)</f>
        <v>0</v>
      </c>
      <c r="G9" s="83">
        <f>SUMIFS((vCount vdata),(vName vdata),"="&amp;sName,(vdata vWeek),"="&amp;svWeek)</f>
        <v>0</v>
      </c>
      <c r="H9" s="83">
        <f>SUMIFS((vCount vdata),(vName vdata),"="&amp;sName,(vdata vWeek),"="&amp;svWeek)</f>
        <v>0</v>
      </c>
      <c r="I9" s="83">
        <f>SUMIFS((vCount vdata),(vName vdata),"="&amp;sName,(vdata vWeek),"="&amp;svWeek)</f>
        <v>0</v>
      </c>
      <c r="J9" s="83">
        <f>SUMIFS((vCount vdata),(vName vdata),"="&amp;sName,(vdata vWeek),"="&amp;svWeek)</f>
        <v>0</v>
      </c>
      <c r="K9" s="83">
        <f>SUMIFS((vCount vdata),(vName vdata),"="&amp;sName,(vdata vWeek),"="&amp;svWeek)</f>
        <v>0</v>
      </c>
      <c r="L9" s="83">
        <f>SUMIFS((vCount vdata),(vName vdata),"="&amp;sName,(vdata vWeek),"="&amp;svWeek)</f>
        <v>0</v>
      </c>
      <c r="M9" s="83">
        <f>SUMIFS((vCount vdata),(vName vdata),"="&amp;sName,(vdata vWeek),"="&amp;svWeek)</f>
        <v>0</v>
      </c>
      <c r="N9" s="83">
        <f>SUMIFS((vCount vdata),(vName vdata),"="&amp;sName,(vdata vWeek),"="&amp;svWeek)</f>
        <v>0</v>
      </c>
      <c r="O9" s="83">
        <f>SUMIFS((vCount vdata),(vName vdata),"="&amp;sName,(vdata vWeek),"="&amp;svWeek)</f>
        <v>0</v>
      </c>
      <c r="P9" s="83">
        <f>SUMIFS((vCount vdata),(vName vdata),"="&amp;sName,(vdata vWeek),"="&amp;svWeek)</f>
        <v>0</v>
      </c>
      <c r="Q9" s="83">
        <f>SUMIFS((vCount vdata),(vName vdata),"="&amp;sName,(vdata vWeek),"="&amp;svWeek)</f>
        <v>0</v>
      </c>
      <c r="R9" s="84">
        <f>SUMIFS((vCount vdata),(vName vdata),"="&amp;sName,(vdata vWeek),"="&amp;svWeek)</f>
        <v>0</v>
      </c>
      <c r="S9" s="79">
        <f t="shared" si="0"/>
        <v>0</v>
      </c>
      <c r="T9" s="79">
        <f>SUMIFS(svWeeks 9:9, svWeeks svWeek,"&lt;="&amp;svWeek)</f>
        <v>0</v>
      </c>
      <c r="U9" s="79">
        <f>SUMIFS(svWeeks 9:9, svWeeks svWeek,"&lt;="&amp;svWeek)</f>
        <v>0</v>
      </c>
      <c r="V9" s="79">
        <f>SUMIFS(svWeeks 9:9, svWeeks svWeek,"&lt;="&amp;svWeek)</f>
        <v>0</v>
      </c>
      <c r="W9" s="79">
        <f>SUMIFS(svWeeks 9:9, svWeeks svWeek,"&lt;="&amp;svWeek)</f>
        <v>0</v>
      </c>
    </row>
    <row r="10" spans="1:16384" ht="15" customHeight="1" x14ac:dyDescent="0.2">
      <c r="A10" s="347">
        <f>Roster!B10</f>
        <v>3</v>
      </c>
      <c r="B10" s="102" t="str">
        <f>Roster!C10</f>
        <v>Bold, Khasan</v>
      </c>
      <c r="C10" s="82">
        <f>SUMIFS((vCount vdata),(vName vdata),"="&amp;sName,(vdata vWeek),"="&amp;svWeek)</f>
        <v>0</v>
      </c>
      <c r="D10" s="83">
        <f>SUMIFS((vCount vdata),(vName vdata),"="&amp;sName,(vdata vWeek),"="&amp;svWeek)</f>
        <v>0</v>
      </c>
      <c r="E10" s="83">
        <f>SUMIFS((vCount vdata),(vName vdata),"="&amp;sName,(vdata vWeek),"="&amp;svWeek)</f>
        <v>0</v>
      </c>
      <c r="F10" s="83">
        <f>SUMIFS((vCount vdata),(vName vdata),"="&amp;sName,(vdata vWeek),"="&amp;svWeek)</f>
        <v>0</v>
      </c>
      <c r="G10" s="83">
        <f>SUMIFS((vCount vdata),(vName vdata),"="&amp;sName,(vdata vWeek),"="&amp;svWeek)</f>
        <v>0</v>
      </c>
      <c r="H10" s="83">
        <f>SUMIFS((vCount vdata),(vName vdata),"="&amp;sName,(vdata vWeek),"="&amp;svWeek)</f>
        <v>0</v>
      </c>
      <c r="I10" s="83">
        <f>SUMIFS((vCount vdata),(vName vdata),"="&amp;sName,(vdata vWeek),"="&amp;svWeek)</f>
        <v>0</v>
      </c>
      <c r="J10" s="83">
        <f>SUMIFS((vCount vdata),(vName vdata),"="&amp;sName,(vdata vWeek),"="&amp;svWeek)</f>
        <v>0</v>
      </c>
      <c r="K10" s="83">
        <f>SUMIFS((vCount vdata),(vName vdata),"="&amp;sName,(vdata vWeek),"="&amp;svWeek)</f>
        <v>0</v>
      </c>
      <c r="L10" s="83">
        <f>SUMIFS((vCount vdata),(vName vdata),"="&amp;sName,(vdata vWeek),"="&amp;svWeek)</f>
        <v>0</v>
      </c>
      <c r="M10" s="83">
        <f>SUMIFS((vCount vdata),(vName vdata),"="&amp;sName,(vdata vWeek),"="&amp;svWeek)</f>
        <v>0</v>
      </c>
      <c r="N10" s="83">
        <f>SUMIFS((vCount vdata),(vName vdata),"="&amp;sName,(vdata vWeek),"="&amp;svWeek)</f>
        <v>0</v>
      </c>
      <c r="O10" s="83">
        <f>SUMIFS((vCount vdata),(vName vdata),"="&amp;sName,(vdata vWeek),"="&amp;svWeek)</f>
        <v>0</v>
      </c>
      <c r="P10" s="83">
        <f>SUMIFS((vCount vdata),(vName vdata),"="&amp;sName,(vdata vWeek),"="&amp;svWeek)</f>
        <v>0</v>
      </c>
      <c r="Q10" s="83">
        <f>SUMIFS((vCount vdata),(vName vdata),"="&amp;sName,(vdata vWeek),"="&amp;svWeek)</f>
        <v>0</v>
      </c>
      <c r="R10" s="84">
        <f>SUMIFS((vCount vdata),(vName vdata),"="&amp;sName,(vdata vWeek),"="&amp;svWeek)</f>
        <v>0</v>
      </c>
      <c r="S10" s="79">
        <f t="shared" si="0"/>
        <v>0</v>
      </c>
      <c r="T10" s="79">
        <f>SUMIFS(svWeeks 10:10, svWeeks svWeek,"&lt;="&amp;svWeek)</f>
        <v>0</v>
      </c>
      <c r="U10" s="79">
        <f>SUMIFS(svWeeks 10:10, svWeeks svWeek,"&lt;="&amp;svWeek)</f>
        <v>0</v>
      </c>
      <c r="V10" s="79">
        <f>SUMIFS(svWeeks 10:10, svWeeks svWeek,"&lt;="&amp;svWeek)</f>
        <v>0</v>
      </c>
      <c r="W10" s="79">
        <f>SUMIFS(svWeeks 10:10, svWeeks svWeek,"&lt;="&amp;svWeek)</f>
        <v>0</v>
      </c>
    </row>
    <row r="11" spans="1:16384" ht="15" customHeight="1" x14ac:dyDescent="0.2">
      <c r="A11" s="347">
        <f>Roster!B11</f>
        <v>4</v>
      </c>
      <c r="B11" s="102" t="str">
        <f>Roster!C11</f>
        <v>Burentogtokh, Batbaatar</v>
      </c>
      <c r="C11" s="82">
        <f>SUMIFS((vCount vdata),(vName vdata),"="&amp;sName,(vdata vWeek),"="&amp;svWeek)</f>
        <v>0</v>
      </c>
      <c r="D11" s="83">
        <f>SUMIFS((vCount vdata),(vName vdata),"="&amp;sName,(vdata vWeek),"="&amp;svWeek)</f>
        <v>0</v>
      </c>
      <c r="E11" s="83">
        <f>SUMIFS((vCount vdata),(vName vdata),"="&amp;sName,(vdata vWeek),"="&amp;svWeek)</f>
        <v>0</v>
      </c>
      <c r="F11" s="83">
        <f>SUMIFS((vCount vdata),(vName vdata),"="&amp;sName,(vdata vWeek),"="&amp;svWeek)</f>
        <v>0</v>
      </c>
      <c r="G11" s="83">
        <f>SUMIFS((vCount vdata),(vName vdata),"="&amp;sName,(vdata vWeek),"="&amp;svWeek)</f>
        <v>0</v>
      </c>
      <c r="H11" s="83">
        <f>SUMIFS((vCount vdata),(vName vdata),"="&amp;sName,(vdata vWeek),"="&amp;svWeek)</f>
        <v>0</v>
      </c>
      <c r="I11" s="83">
        <f>SUMIFS((vCount vdata),(vName vdata),"="&amp;sName,(vdata vWeek),"="&amp;svWeek)</f>
        <v>0</v>
      </c>
      <c r="J11" s="83">
        <f>SUMIFS((vCount vdata),(vName vdata),"="&amp;sName,(vdata vWeek),"="&amp;svWeek)</f>
        <v>0</v>
      </c>
      <c r="K11" s="83">
        <f>SUMIFS((vCount vdata),(vName vdata),"="&amp;sName,(vdata vWeek),"="&amp;svWeek)</f>
        <v>0</v>
      </c>
      <c r="L11" s="83">
        <f>SUMIFS((vCount vdata),(vName vdata),"="&amp;sName,(vdata vWeek),"="&amp;svWeek)</f>
        <v>0</v>
      </c>
      <c r="M11" s="83">
        <f>SUMIFS((vCount vdata),(vName vdata),"="&amp;sName,(vdata vWeek),"="&amp;svWeek)</f>
        <v>0</v>
      </c>
      <c r="N11" s="83">
        <f>SUMIFS((vCount vdata),(vName vdata),"="&amp;sName,(vdata vWeek),"="&amp;svWeek)</f>
        <v>0</v>
      </c>
      <c r="O11" s="83">
        <f>SUMIFS((vCount vdata),(vName vdata),"="&amp;sName,(vdata vWeek),"="&amp;svWeek)</f>
        <v>0</v>
      </c>
      <c r="P11" s="83">
        <f>SUMIFS((vCount vdata),(vName vdata),"="&amp;sName,(vdata vWeek),"="&amp;svWeek)</f>
        <v>0</v>
      </c>
      <c r="Q11" s="83">
        <f>SUMIFS((vCount vdata),(vName vdata),"="&amp;sName,(vdata vWeek),"="&amp;svWeek)</f>
        <v>0</v>
      </c>
      <c r="R11" s="84">
        <f>SUMIFS((vCount vdata),(vName vdata),"="&amp;sName,(vdata vWeek),"="&amp;svWeek)</f>
        <v>0</v>
      </c>
      <c r="S11" s="79">
        <f t="shared" si="0"/>
        <v>0</v>
      </c>
      <c r="T11" s="79">
        <f>SUMIFS(svWeeks 11:11, svWeeks svWeek,"&lt;="&amp;svWeek)</f>
        <v>0</v>
      </c>
      <c r="U11" s="79">
        <f>SUMIFS(svWeeks 11:11, svWeeks svWeek,"&lt;="&amp;svWeek)</f>
        <v>0</v>
      </c>
      <c r="V11" s="79">
        <f>SUMIFS(svWeeks 11:11, svWeeks svWeek,"&lt;="&amp;svWeek)</f>
        <v>0</v>
      </c>
      <c r="W11" s="79">
        <f>SUMIFS(svWeeks 11:11, svWeeks svWeek,"&lt;="&amp;svWeek)</f>
        <v>0</v>
      </c>
    </row>
    <row r="12" spans="1:16384" ht="15" customHeight="1" x14ac:dyDescent="0.2">
      <c r="A12" s="347">
        <f>Roster!B12</f>
        <v>5</v>
      </c>
      <c r="B12" s="102" t="str">
        <f>Roster!C12</f>
        <v>Demesie, Elias Debebe</v>
      </c>
      <c r="C12" s="82">
        <f>SUMIFS((vCount vdata),(vName vdata),"="&amp;sName,(vdata vWeek),"="&amp;svWeek)</f>
        <v>0</v>
      </c>
      <c r="D12" s="83">
        <f>SUMIFS((vCount vdata),(vName vdata),"="&amp;sName,(vdata vWeek),"="&amp;svWeek)</f>
        <v>0</v>
      </c>
      <c r="E12" s="83">
        <f>SUMIFS((vCount vdata),(vName vdata),"="&amp;sName,(vdata vWeek),"="&amp;svWeek)</f>
        <v>0</v>
      </c>
      <c r="F12" s="83">
        <f>SUMIFS((vCount vdata),(vName vdata),"="&amp;sName,(vdata vWeek),"="&amp;svWeek)</f>
        <v>0</v>
      </c>
      <c r="G12" s="83">
        <f>SUMIFS((vCount vdata),(vName vdata),"="&amp;sName,(vdata vWeek),"="&amp;svWeek)</f>
        <v>0</v>
      </c>
      <c r="H12" s="83">
        <f>SUMIFS((vCount vdata),(vName vdata),"="&amp;sName,(vdata vWeek),"="&amp;svWeek)</f>
        <v>0</v>
      </c>
      <c r="I12" s="83">
        <f>SUMIFS((vCount vdata),(vName vdata),"="&amp;sName,(vdata vWeek),"="&amp;svWeek)</f>
        <v>0</v>
      </c>
      <c r="J12" s="83">
        <f>SUMIFS((vCount vdata),(vName vdata),"="&amp;sName,(vdata vWeek),"="&amp;svWeek)</f>
        <v>0</v>
      </c>
      <c r="K12" s="83">
        <f>SUMIFS((vCount vdata),(vName vdata),"="&amp;sName,(vdata vWeek),"="&amp;svWeek)</f>
        <v>0</v>
      </c>
      <c r="L12" s="83">
        <f>SUMIFS((vCount vdata),(vName vdata),"="&amp;sName,(vdata vWeek),"="&amp;svWeek)</f>
        <v>0</v>
      </c>
      <c r="M12" s="83">
        <f>SUMIFS((vCount vdata),(vName vdata),"="&amp;sName,(vdata vWeek),"="&amp;svWeek)</f>
        <v>0</v>
      </c>
      <c r="N12" s="83">
        <f>SUMIFS((vCount vdata),(vName vdata),"="&amp;sName,(vdata vWeek),"="&amp;svWeek)</f>
        <v>0</v>
      </c>
      <c r="O12" s="83">
        <f>SUMIFS((vCount vdata),(vName vdata),"="&amp;sName,(vdata vWeek),"="&amp;svWeek)</f>
        <v>0</v>
      </c>
      <c r="P12" s="83">
        <f>SUMIFS((vCount vdata),(vName vdata),"="&amp;sName,(vdata vWeek),"="&amp;svWeek)</f>
        <v>0</v>
      </c>
      <c r="Q12" s="83">
        <f>SUMIFS((vCount vdata),(vName vdata),"="&amp;sName,(vdata vWeek),"="&amp;svWeek)</f>
        <v>0</v>
      </c>
      <c r="R12" s="84">
        <f>SUMIFS((vCount vdata),(vName vdata),"="&amp;sName,(vdata vWeek),"="&amp;svWeek)</f>
        <v>0</v>
      </c>
      <c r="S12" s="79">
        <f t="shared" si="0"/>
        <v>0</v>
      </c>
      <c r="T12" s="79">
        <f>SUMIFS(svWeeks 12:12, svWeeks svWeek,"&lt;="&amp;svWeek)</f>
        <v>0</v>
      </c>
      <c r="U12" s="79">
        <f>SUMIFS(svWeeks 12:12, svWeeks svWeek,"&lt;="&amp;svWeek)</f>
        <v>0</v>
      </c>
      <c r="V12" s="79">
        <f>SUMIFS(svWeeks 12:12, svWeeks svWeek,"&lt;="&amp;svWeek)</f>
        <v>0</v>
      </c>
      <c r="W12" s="79">
        <f>SUMIFS(svWeeks 12:12, svWeeks svWeek,"&lt;="&amp;svWeek)</f>
        <v>0</v>
      </c>
    </row>
    <row r="13" spans="1:16384" ht="15" customHeight="1" x14ac:dyDescent="0.2">
      <c r="A13" s="347">
        <f>Roster!B13</f>
        <v>6</v>
      </c>
      <c r="B13" s="102" t="str">
        <f>Roster!C13</f>
        <v>Du, Yuexin</v>
      </c>
      <c r="C13" s="82">
        <f>SUMIFS((vCount vdata),(vName vdata),"="&amp;sName,(vdata vWeek),"="&amp;svWeek)</f>
        <v>0</v>
      </c>
      <c r="D13" s="83">
        <f>SUMIFS((vCount vdata),(vName vdata),"="&amp;sName,(vdata vWeek),"="&amp;svWeek)</f>
        <v>0</v>
      </c>
      <c r="E13" s="83">
        <f>SUMIFS((vCount vdata),(vName vdata),"="&amp;sName,(vdata vWeek),"="&amp;svWeek)</f>
        <v>0</v>
      </c>
      <c r="F13" s="83">
        <f>SUMIFS((vCount vdata),(vName vdata),"="&amp;sName,(vdata vWeek),"="&amp;svWeek)</f>
        <v>0</v>
      </c>
      <c r="G13" s="83">
        <f>SUMIFS((vCount vdata),(vName vdata),"="&amp;sName,(vdata vWeek),"="&amp;svWeek)</f>
        <v>0</v>
      </c>
      <c r="H13" s="83">
        <f>SUMIFS((vCount vdata),(vName vdata),"="&amp;sName,(vdata vWeek),"="&amp;svWeek)</f>
        <v>0</v>
      </c>
      <c r="I13" s="83">
        <f>SUMIFS((vCount vdata),(vName vdata),"="&amp;sName,(vdata vWeek),"="&amp;svWeek)</f>
        <v>0</v>
      </c>
      <c r="J13" s="83">
        <f>SUMIFS((vCount vdata),(vName vdata),"="&amp;sName,(vdata vWeek),"="&amp;svWeek)</f>
        <v>0</v>
      </c>
      <c r="K13" s="83">
        <f>SUMIFS((vCount vdata),(vName vdata),"="&amp;sName,(vdata vWeek),"="&amp;svWeek)</f>
        <v>0</v>
      </c>
      <c r="L13" s="83">
        <f>SUMIFS((vCount vdata),(vName vdata),"="&amp;sName,(vdata vWeek),"="&amp;svWeek)</f>
        <v>0</v>
      </c>
      <c r="M13" s="83">
        <f>SUMIFS((vCount vdata),(vName vdata),"="&amp;sName,(vdata vWeek),"="&amp;svWeek)</f>
        <v>0</v>
      </c>
      <c r="N13" s="83">
        <f>SUMIFS((vCount vdata),(vName vdata),"="&amp;sName,(vdata vWeek),"="&amp;svWeek)</f>
        <v>0</v>
      </c>
      <c r="O13" s="83">
        <f>SUMIFS((vCount vdata),(vName vdata),"="&amp;sName,(vdata vWeek),"="&amp;svWeek)</f>
        <v>0</v>
      </c>
      <c r="P13" s="83">
        <f>SUMIFS((vCount vdata),(vName vdata),"="&amp;sName,(vdata vWeek),"="&amp;svWeek)</f>
        <v>0</v>
      </c>
      <c r="Q13" s="83">
        <f>SUMIFS((vCount vdata),(vName vdata),"="&amp;sName,(vdata vWeek),"="&amp;svWeek)</f>
        <v>0</v>
      </c>
      <c r="R13" s="84">
        <f>SUMIFS((vCount vdata),(vName vdata),"="&amp;sName,(vdata vWeek),"="&amp;svWeek)</f>
        <v>0</v>
      </c>
      <c r="S13" s="79">
        <f t="shared" si="0"/>
        <v>0</v>
      </c>
      <c r="T13" s="79">
        <f>SUMIFS(svWeeks 13:13, svWeeks svWeek,"&lt;="&amp;svWeek)</f>
        <v>0</v>
      </c>
      <c r="U13" s="79">
        <f>SUMIFS(svWeeks 13:13, svWeeks svWeek,"&lt;="&amp;svWeek)</f>
        <v>0</v>
      </c>
      <c r="V13" s="79">
        <f>SUMIFS(svWeeks 13:13, svWeeks svWeek,"&lt;="&amp;svWeek)</f>
        <v>0</v>
      </c>
      <c r="W13" s="79">
        <f>SUMIFS(svWeeks 13:13, svWeeks svWeek,"&lt;="&amp;svWeek)</f>
        <v>0</v>
      </c>
    </row>
    <row r="14" spans="1:16384" ht="15" customHeight="1" x14ac:dyDescent="0.2">
      <c r="A14" s="347">
        <f>Roster!B14</f>
        <v>7</v>
      </c>
      <c r="B14" s="102" t="str">
        <f>Roster!C14</f>
        <v>El Gazzar, Abd El Hamid</v>
      </c>
      <c r="C14" s="82">
        <f>SUMIFS((vCount vdata),(vName vdata),"="&amp;sName,(vdata vWeek),"="&amp;svWeek)</f>
        <v>0</v>
      </c>
      <c r="D14" s="83">
        <f>SUMIFS((vCount vdata),(vName vdata),"="&amp;sName,(vdata vWeek),"="&amp;svWeek)</f>
        <v>0</v>
      </c>
      <c r="E14" s="83">
        <f>SUMIFS((vCount vdata),(vName vdata),"="&amp;sName,(vdata vWeek),"="&amp;svWeek)</f>
        <v>0</v>
      </c>
      <c r="F14" s="83">
        <f>SUMIFS((vCount vdata),(vName vdata),"="&amp;sName,(vdata vWeek),"="&amp;svWeek)</f>
        <v>0</v>
      </c>
      <c r="G14" s="83">
        <f>SUMIFS((vCount vdata),(vName vdata),"="&amp;sName,(vdata vWeek),"="&amp;svWeek)</f>
        <v>0</v>
      </c>
      <c r="H14" s="83">
        <f>SUMIFS((vCount vdata),(vName vdata),"="&amp;sName,(vdata vWeek),"="&amp;svWeek)</f>
        <v>0</v>
      </c>
      <c r="I14" s="83">
        <f>SUMIFS((vCount vdata),(vName vdata),"="&amp;sName,(vdata vWeek),"="&amp;svWeek)</f>
        <v>0</v>
      </c>
      <c r="J14" s="83">
        <f>SUMIFS((vCount vdata),(vName vdata),"="&amp;sName,(vdata vWeek),"="&amp;svWeek)</f>
        <v>0</v>
      </c>
      <c r="K14" s="83">
        <f>SUMIFS((vCount vdata),(vName vdata),"="&amp;sName,(vdata vWeek),"="&amp;svWeek)</f>
        <v>0</v>
      </c>
      <c r="L14" s="83">
        <f>SUMIFS((vCount vdata),(vName vdata),"="&amp;sName,(vdata vWeek),"="&amp;svWeek)</f>
        <v>0</v>
      </c>
      <c r="M14" s="83">
        <f>SUMIFS((vCount vdata),(vName vdata),"="&amp;sName,(vdata vWeek),"="&amp;svWeek)</f>
        <v>0</v>
      </c>
      <c r="N14" s="83">
        <f>SUMIFS((vCount vdata),(vName vdata),"="&amp;sName,(vdata vWeek),"="&amp;svWeek)</f>
        <v>0</v>
      </c>
      <c r="O14" s="83">
        <f>SUMIFS((vCount vdata),(vName vdata),"="&amp;sName,(vdata vWeek),"="&amp;svWeek)</f>
        <v>0</v>
      </c>
      <c r="P14" s="83">
        <f>SUMIFS((vCount vdata),(vName vdata),"="&amp;sName,(vdata vWeek),"="&amp;svWeek)</f>
        <v>0</v>
      </c>
      <c r="Q14" s="83">
        <f>SUMIFS((vCount vdata),(vName vdata),"="&amp;sName,(vdata vWeek),"="&amp;svWeek)</f>
        <v>0</v>
      </c>
      <c r="R14" s="84">
        <f>SUMIFS((vCount vdata),(vName vdata),"="&amp;sName,(vdata vWeek),"="&amp;svWeek)</f>
        <v>0</v>
      </c>
      <c r="S14" s="79">
        <f t="shared" si="0"/>
        <v>0</v>
      </c>
      <c r="T14" s="79">
        <f>SUMIFS(svWeeks 14:14, svWeeks svWeek,"&lt;="&amp;svWeek)</f>
        <v>0</v>
      </c>
      <c r="U14" s="79">
        <f>SUMIFS(svWeeks 14:14, svWeeks svWeek,"&lt;="&amp;svWeek)</f>
        <v>0</v>
      </c>
      <c r="V14" s="79">
        <f>SUMIFS(svWeeks 14:14, svWeeks svWeek,"&lt;="&amp;svWeek)</f>
        <v>0</v>
      </c>
      <c r="W14" s="79">
        <f>SUMIFS(svWeeks 14:14, svWeeks svWeek,"&lt;="&amp;svWeek)</f>
        <v>0</v>
      </c>
    </row>
    <row r="15" spans="1:16384" ht="15" customHeight="1" x14ac:dyDescent="0.2">
      <c r="A15" s="347">
        <f>Roster!B15</f>
        <v>8</v>
      </c>
      <c r="B15" s="102" t="str">
        <f>Roster!C15</f>
        <v>Elbakry, Abdelrahman</v>
      </c>
      <c r="C15" s="82">
        <f>SUMIFS((vCount vdata),(vName vdata),"="&amp;sName,(vdata vWeek),"="&amp;svWeek)</f>
        <v>0</v>
      </c>
      <c r="D15" s="83">
        <f>SUMIFS((vCount vdata),(vName vdata),"="&amp;sName,(vdata vWeek),"="&amp;svWeek)</f>
        <v>0</v>
      </c>
      <c r="E15" s="83">
        <f>SUMIFS((vCount vdata),(vName vdata),"="&amp;sName,(vdata vWeek),"="&amp;svWeek)</f>
        <v>0</v>
      </c>
      <c r="F15" s="83">
        <f>SUMIFS((vCount vdata),(vName vdata),"="&amp;sName,(vdata vWeek),"="&amp;svWeek)</f>
        <v>0</v>
      </c>
      <c r="G15" s="83">
        <f>SUMIFS((vCount vdata),(vName vdata),"="&amp;sName,(vdata vWeek),"="&amp;svWeek)</f>
        <v>0</v>
      </c>
      <c r="H15" s="83">
        <f>SUMIFS((vCount vdata),(vName vdata),"="&amp;sName,(vdata vWeek),"="&amp;svWeek)</f>
        <v>0</v>
      </c>
      <c r="I15" s="83">
        <f>SUMIFS((vCount vdata),(vName vdata),"="&amp;sName,(vdata vWeek),"="&amp;svWeek)</f>
        <v>0</v>
      </c>
      <c r="J15" s="83">
        <f>SUMIFS((vCount vdata),(vName vdata),"="&amp;sName,(vdata vWeek),"="&amp;svWeek)</f>
        <v>0</v>
      </c>
      <c r="K15" s="83">
        <f>SUMIFS((vCount vdata),(vName vdata),"="&amp;sName,(vdata vWeek),"="&amp;svWeek)</f>
        <v>0</v>
      </c>
      <c r="L15" s="83">
        <f>SUMIFS((vCount vdata),(vName vdata),"="&amp;sName,(vdata vWeek),"="&amp;svWeek)</f>
        <v>0</v>
      </c>
      <c r="M15" s="83">
        <f>SUMIFS((vCount vdata),(vName vdata),"="&amp;sName,(vdata vWeek),"="&amp;svWeek)</f>
        <v>0</v>
      </c>
      <c r="N15" s="83">
        <f>SUMIFS((vCount vdata),(vName vdata),"="&amp;sName,(vdata vWeek),"="&amp;svWeek)</f>
        <v>0</v>
      </c>
      <c r="O15" s="83">
        <f>SUMIFS((vCount vdata),(vName vdata),"="&amp;sName,(vdata vWeek),"="&amp;svWeek)</f>
        <v>0</v>
      </c>
      <c r="P15" s="83">
        <f>SUMIFS((vCount vdata),(vName vdata),"="&amp;sName,(vdata vWeek),"="&amp;svWeek)</f>
        <v>0</v>
      </c>
      <c r="Q15" s="83">
        <f>SUMIFS((vCount vdata),(vName vdata),"="&amp;sName,(vdata vWeek),"="&amp;svWeek)</f>
        <v>0</v>
      </c>
      <c r="R15" s="84">
        <f>SUMIFS((vCount vdata),(vName vdata),"="&amp;sName,(vdata vWeek),"="&amp;svWeek)</f>
        <v>0</v>
      </c>
      <c r="S15" s="79">
        <f t="shared" si="0"/>
        <v>0</v>
      </c>
      <c r="T15" s="79">
        <f>SUMIFS(svWeeks 15:15, svWeeks svWeek,"&lt;="&amp;svWeek)</f>
        <v>0</v>
      </c>
      <c r="U15" s="79">
        <f>SUMIFS(svWeeks 15:15, svWeeks svWeek,"&lt;="&amp;svWeek)</f>
        <v>0</v>
      </c>
      <c r="V15" s="79">
        <f>SUMIFS(svWeeks 15:15, svWeeks svWeek,"&lt;="&amp;svWeek)</f>
        <v>0</v>
      </c>
      <c r="W15" s="79">
        <f>SUMIFS(svWeeks 15:15, svWeeks svWeek,"&lt;="&amp;svWeek)</f>
        <v>0</v>
      </c>
    </row>
    <row r="16" spans="1:16384" ht="15" customHeight="1" x14ac:dyDescent="0.2">
      <c r="A16" s="347">
        <f>Roster!B16</f>
        <v>9</v>
      </c>
      <c r="B16" s="102" t="str">
        <f>Roster!C16</f>
        <v>Enkhbold, Khongor</v>
      </c>
      <c r="C16" s="82">
        <f>SUMIFS((vCount vdata),(vName vdata),"="&amp;sName,(vdata vWeek),"="&amp;svWeek)</f>
        <v>0</v>
      </c>
      <c r="D16" s="83">
        <f>SUMIFS((vCount vdata),(vName vdata),"="&amp;sName,(vdata vWeek),"="&amp;svWeek)</f>
        <v>0</v>
      </c>
      <c r="E16" s="83">
        <f>SUMIFS((vCount vdata),(vName vdata),"="&amp;sName,(vdata vWeek),"="&amp;svWeek)</f>
        <v>0</v>
      </c>
      <c r="F16" s="83">
        <f>SUMIFS((vCount vdata),(vName vdata),"="&amp;sName,(vdata vWeek),"="&amp;svWeek)</f>
        <v>0</v>
      </c>
      <c r="G16" s="83">
        <f>SUMIFS((vCount vdata),(vName vdata),"="&amp;sName,(vdata vWeek),"="&amp;svWeek)</f>
        <v>0</v>
      </c>
      <c r="H16" s="83">
        <f>SUMIFS((vCount vdata),(vName vdata),"="&amp;sName,(vdata vWeek),"="&amp;svWeek)</f>
        <v>0</v>
      </c>
      <c r="I16" s="83">
        <f>SUMIFS((vCount vdata),(vName vdata),"="&amp;sName,(vdata vWeek),"="&amp;svWeek)</f>
        <v>0</v>
      </c>
      <c r="J16" s="83">
        <f>SUMIFS((vCount vdata),(vName vdata),"="&amp;sName,(vdata vWeek),"="&amp;svWeek)</f>
        <v>0</v>
      </c>
      <c r="K16" s="83">
        <f>SUMIFS((vCount vdata),(vName vdata),"="&amp;sName,(vdata vWeek),"="&amp;svWeek)</f>
        <v>0</v>
      </c>
      <c r="L16" s="83">
        <f>SUMIFS((vCount vdata),(vName vdata),"="&amp;sName,(vdata vWeek),"="&amp;svWeek)</f>
        <v>0</v>
      </c>
      <c r="M16" s="83">
        <f>SUMIFS((vCount vdata),(vName vdata),"="&amp;sName,(vdata vWeek),"="&amp;svWeek)</f>
        <v>0</v>
      </c>
      <c r="N16" s="83">
        <f>SUMIFS((vCount vdata),(vName vdata),"="&amp;sName,(vdata vWeek),"="&amp;svWeek)</f>
        <v>0</v>
      </c>
      <c r="O16" s="83">
        <f>SUMIFS((vCount vdata),(vName vdata),"="&amp;sName,(vdata vWeek),"="&amp;svWeek)</f>
        <v>0</v>
      </c>
      <c r="P16" s="83">
        <f>SUMIFS((vCount vdata),(vName vdata),"="&amp;sName,(vdata vWeek),"="&amp;svWeek)</f>
        <v>0</v>
      </c>
      <c r="Q16" s="83">
        <f>SUMIFS((vCount vdata),(vName vdata),"="&amp;sName,(vdata vWeek),"="&amp;svWeek)</f>
        <v>0</v>
      </c>
      <c r="R16" s="84">
        <f>SUMIFS((vCount vdata),(vName vdata),"="&amp;sName,(vdata vWeek),"="&amp;svWeek)</f>
        <v>0</v>
      </c>
      <c r="S16" s="79">
        <f t="shared" si="0"/>
        <v>0</v>
      </c>
      <c r="T16" s="79">
        <f>SUMIFS(svWeeks 16:16, svWeeks svWeek,"&lt;="&amp;svWeek)</f>
        <v>0</v>
      </c>
      <c r="U16" s="79">
        <f>SUMIFS(svWeeks 16:16, svWeeks svWeek,"&lt;="&amp;svWeek)</f>
        <v>0</v>
      </c>
      <c r="V16" s="79">
        <f>SUMIFS(svWeeks 16:16, svWeeks svWeek,"&lt;="&amp;svWeek)</f>
        <v>0</v>
      </c>
      <c r="W16" s="79">
        <f>SUMIFS(svWeeks 16:16, svWeeks svWeek,"&lt;="&amp;svWeek)</f>
        <v>0</v>
      </c>
    </row>
    <row r="17" spans="1:23" s="126" customFormat="1" ht="15" customHeight="1" x14ac:dyDescent="0.2">
      <c r="A17" s="347">
        <f>Roster!B17</f>
        <v>10</v>
      </c>
      <c r="B17" s="102" t="str">
        <f>Roster!C17</f>
        <v>Fathelbab, Hosain</v>
      </c>
      <c r="C17" s="82">
        <f>SUMIFS((vCount vdata),(vName vdata),"="&amp;sName,(vdata vWeek),"="&amp;svWeek)</f>
        <v>0</v>
      </c>
      <c r="D17" s="83">
        <f>SUMIFS((vCount vdata),(vName vdata),"="&amp;sName,(vdata vWeek),"="&amp;svWeek)</f>
        <v>0</v>
      </c>
      <c r="E17" s="83">
        <f>SUMIFS((vCount vdata),(vName vdata),"="&amp;sName,(vdata vWeek),"="&amp;svWeek)</f>
        <v>0</v>
      </c>
      <c r="F17" s="83">
        <f>SUMIFS((vCount vdata),(vName vdata),"="&amp;sName,(vdata vWeek),"="&amp;svWeek)</f>
        <v>0</v>
      </c>
      <c r="G17" s="83">
        <f>SUMIFS((vCount vdata),(vName vdata),"="&amp;sName,(vdata vWeek),"="&amp;svWeek)</f>
        <v>0</v>
      </c>
      <c r="H17" s="83">
        <f>SUMIFS((vCount vdata),(vName vdata),"="&amp;sName,(vdata vWeek),"="&amp;svWeek)</f>
        <v>0</v>
      </c>
      <c r="I17" s="83">
        <f>SUMIFS((vCount vdata),(vName vdata),"="&amp;sName,(vdata vWeek),"="&amp;svWeek)</f>
        <v>0</v>
      </c>
      <c r="J17" s="83">
        <f>SUMIFS((vCount vdata),(vName vdata),"="&amp;sName,(vdata vWeek),"="&amp;svWeek)</f>
        <v>0</v>
      </c>
      <c r="K17" s="83">
        <f>SUMIFS((vCount vdata),(vName vdata),"="&amp;sName,(vdata vWeek),"="&amp;svWeek)</f>
        <v>0</v>
      </c>
      <c r="L17" s="83">
        <f>SUMIFS((vCount vdata),(vName vdata),"="&amp;sName,(vdata vWeek),"="&amp;svWeek)</f>
        <v>0</v>
      </c>
      <c r="M17" s="83">
        <f>SUMIFS((vCount vdata),(vName vdata),"="&amp;sName,(vdata vWeek),"="&amp;svWeek)</f>
        <v>0</v>
      </c>
      <c r="N17" s="83">
        <f>SUMIFS((vCount vdata),(vName vdata),"="&amp;sName,(vdata vWeek),"="&amp;svWeek)</f>
        <v>0</v>
      </c>
      <c r="O17" s="83">
        <f>SUMIFS((vCount vdata),(vName vdata),"="&amp;sName,(vdata vWeek),"="&amp;svWeek)</f>
        <v>0</v>
      </c>
      <c r="P17" s="83">
        <f>SUMIFS((vCount vdata),(vName vdata),"="&amp;sName,(vdata vWeek),"="&amp;svWeek)</f>
        <v>0</v>
      </c>
      <c r="Q17" s="83">
        <f>SUMIFS((vCount vdata),(vName vdata),"="&amp;sName,(vdata vWeek),"="&amp;svWeek)</f>
        <v>0</v>
      </c>
      <c r="R17" s="84">
        <f>SUMIFS((vCount vdata),(vName vdata),"="&amp;sName,(vdata vWeek),"="&amp;svWeek)</f>
        <v>0</v>
      </c>
      <c r="S17" s="79">
        <f t="shared" ref="S17:S24" si="1">SUM(C17:R17)</f>
        <v>0</v>
      </c>
      <c r="T17" s="79">
        <f>SUMIFS(svWeeks 17:17, svWeeks svWeek,"&lt;="&amp;svWeek)</f>
        <v>0</v>
      </c>
      <c r="U17" s="79">
        <f>SUMIFS(svWeeks 17:17, svWeeks svWeek,"&lt;="&amp;svWeek)</f>
        <v>0</v>
      </c>
      <c r="V17" s="79">
        <f>SUMIFS(svWeeks 17:17, svWeeks svWeek,"&lt;="&amp;svWeek)</f>
        <v>0</v>
      </c>
      <c r="W17" s="79">
        <f>SUMIFS(svWeeks 17:17, svWeeks svWeek,"&lt;="&amp;svWeek)</f>
        <v>0</v>
      </c>
    </row>
    <row r="18" spans="1:23" s="126" customFormat="1" ht="15" customHeight="1" x14ac:dyDescent="0.2">
      <c r="A18" s="347">
        <f>Roster!B18</f>
        <v>11</v>
      </c>
      <c r="B18" s="102" t="str">
        <f>Roster!C18</f>
        <v>Ganzorig, Enkhsaruul</v>
      </c>
      <c r="C18" s="82">
        <f>SUMIFS((vCount vdata),(vName vdata),"="&amp;sName,(vdata vWeek),"="&amp;svWeek)</f>
        <v>0</v>
      </c>
      <c r="D18" s="83">
        <f>SUMIFS((vCount vdata),(vName vdata),"="&amp;sName,(vdata vWeek),"="&amp;svWeek)</f>
        <v>0</v>
      </c>
      <c r="E18" s="83">
        <f>SUMIFS((vCount vdata),(vName vdata),"="&amp;sName,(vdata vWeek),"="&amp;svWeek)</f>
        <v>0</v>
      </c>
      <c r="F18" s="83">
        <f>SUMIFS((vCount vdata),(vName vdata),"="&amp;sName,(vdata vWeek),"="&amp;svWeek)</f>
        <v>0</v>
      </c>
      <c r="G18" s="83">
        <f>SUMIFS((vCount vdata),(vName vdata),"="&amp;sName,(vdata vWeek),"="&amp;svWeek)</f>
        <v>0</v>
      </c>
      <c r="H18" s="83">
        <f>SUMIFS((vCount vdata),(vName vdata),"="&amp;sName,(vdata vWeek),"="&amp;svWeek)</f>
        <v>0</v>
      </c>
      <c r="I18" s="83">
        <f>SUMIFS((vCount vdata),(vName vdata),"="&amp;sName,(vdata vWeek),"="&amp;svWeek)</f>
        <v>0</v>
      </c>
      <c r="J18" s="83">
        <f>SUMIFS((vCount vdata),(vName vdata),"="&amp;sName,(vdata vWeek),"="&amp;svWeek)</f>
        <v>0</v>
      </c>
      <c r="K18" s="83">
        <f>SUMIFS((vCount vdata),(vName vdata),"="&amp;sName,(vdata vWeek),"="&amp;svWeek)</f>
        <v>0</v>
      </c>
      <c r="L18" s="83">
        <f>SUMIFS((vCount vdata),(vName vdata),"="&amp;sName,(vdata vWeek),"="&amp;svWeek)</f>
        <v>0</v>
      </c>
      <c r="M18" s="83">
        <f>SUMIFS((vCount vdata),(vName vdata),"="&amp;sName,(vdata vWeek),"="&amp;svWeek)</f>
        <v>0</v>
      </c>
      <c r="N18" s="83">
        <f>SUMIFS((vCount vdata),(vName vdata),"="&amp;sName,(vdata vWeek),"="&amp;svWeek)</f>
        <v>0</v>
      </c>
      <c r="O18" s="83">
        <f>SUMIFS((vCount vdata),(vName vdata),"="&amp;sName,(vdata vWeek),"="&amp;svWeek)</f>
        <v>0</v>
      </c>
      <c r="P18" s="83">
        <f>SUMIFS((vCount vdata),(vName vdata),"="&amp;sName,(vdata vWeek),"="&amp;svWeek)</f>
        <v>0</v>
      </c>
      <c r="Q18" s="83">
        <f>SUMIFS((vCount vdata),(vName vdata),"="&amp;sName,(vdata vWeek),"="&amp;svWeek)</f>
        <v>0</v>
      </c>
      <c r="R18" s="84">
        <f>SUMIFS((vCount vdata),(vName vdata),"="&amp;sName,(vdata vWeek),"="&amp;svWeek)</f>
        <v>0</v>
      </c>
      <c r="S18" s="79">
        <f t="shared" si="1"/>
        <v>0</v>
      </c>
      <c r="T18" s="79">
        <f>SUMIFS(svWeeks 18:18, svWeeks svWeek,"&lt;="&amp;svWeek)</f>
        <v>0</v>
      </c>
      <c r="U18" s="79">
        <f>SUMIFS(svWeeks 18:18, svWeeks svWeek,"&lt;="&amp;svWeek)</f>
        <v>0</v>
      </c>
      <c r="V18" s="79">
        <f>SUMIFS(svWeeks 18:18, svWeeks svWeek,"&lt;="&amp;svWeek)</f>
        <v>0</v>
      </c>
      <c r="W18" s="79">
        <f>SUMIFS(svWeeks 18:18, svWeeks svWeek,"&lt;="&amp;svWeek)</f>
        <v>0</v>
      </c>
    </row>
    <row r="19" spans="1:23" s="126" customFormat="1" ht="15" customHeight="1" x14ac:dyDescent="0.2">
      <c r="A19" s="347">
        <f>Roster!B19</f>
        <v>12</v>
      </c>
      <c r="B19" s="102" t="str">
        <f>Roster!C19</f>
        <v>Gebremeskel, Abiy</v>
      </c>
      <c r="C19" s="82">
        <f>SUMIFS((vCount vdata),(vName vdata),"="&amp;sName,(vdata vWeek),"="&amp;svWeek)</f>
        <v>0</v>
      </c>
      <c r="D19" s="83">
        <f>SUMIFS((vCount vdata),(vName vdata),"="&amp;sName,(vdata vWeek),"="&amp;svWeek)</f>
        <v>0</v>
      </c>
      <c r="E19" s="83">
        <f>SUMIFS((vCount vdata),(vName vdata),"="&amp;sName,(vdata vWeek),"="&amp;svWeek)</f>
        <v>0</v>
      </c>
      <c r="F19" s="83">
        <f>SUMIFS((vCount vdata),(vName vdata),"="&amp;sName,(vdata vWeek),"="&amp;svWeek)</f>
        <v>0</v>
      </c>
      <c r="G19" s="83">
        <f>SUMIFS((vCount vdata),(vName vdata),"="&amp;sName,(vdata vWeek),"="&amp;svWeek)</f>
        <v>0</v>
      </c>
      <c r="H19" s="83">
        <f>SUMIFS((vCount vdata),(vName vdata),"="&amp;sName,(vdata vWeek),"="&amp;svWeek)</f>
        <v>0</v>
      </c>
      <c r="I19" s="83">
        <f>SUMIFS((vCount vdata),(vName vdata),"="&amp;sName,(vdata vWeek),"="&amp;svWeek)</f>
        <v>0</v>
      </c>
      <c r="J19" s="83">
        <f>SUMIFS((vCount vdata),(vName vdata),"="&amp;sName,(vdata vWeek),"="&amp;svWeek)</f>
        <v>0</v>
      </c>
      <c r="K19" s="83">
        <f>SUMIFS((vCount vdata),(vName vdata),"="&amp;sName,(vdata vWeek),"="&amp;svWeek)</f>
        <v>0</v>
      </c>
      <c r="L19" s="83">
        <f>SUMIFS((vCount vdata),(vName vdata),"="&amp;sName,(vdata vWeek),"="&amp;svWeek)</f>
        <v>0</v>
      </c>
      <c r="M19" s="83">
        <f>SUMIFS((vCount vdata),(vName vdata),"="&amp;sName,(vdata vWeek),"="&amp;svWeek)</f>
        <v>0</v>
      </c>
      <c r="N19" s="83">
        <f>SUMIFS((vCount vdata),(vName vdata),"="&amp;sName,(vdata vWeek),"="&amp;svWeek)</f>
        <v>0</v>
      </c>
      <c r="O19" s="83">
        <f>SUMIFS((vCount vdata),(vName vdata),"="&amp;sName,(vdata vWeek),"="&amp;svWeek)</f>
        <v>0</v>
      </c>
      <c r="P19" s="83">
        <f>SUMIFS((vCount vdata),(vName vdata),"="&amp;sName,(vdata vWeek),"="&amp;svWeek)</f>
        <v>0</v>
      </c>
      <c r="Q19" s="83">
        <f>SUMIFS((vCount vdata),(vName vdata),"="&amp;sName,(vdata vWeek),"="&amp;svWeek)</f>
        <v>0</v>
      </c>
      <c r="R19" s="84">
        <f>SUMIFS((vCount vdata),(vName vdata),"="&amp;sName,(vdata vWeek),"="&amp;svWeek)</f>
        <v>0</v>
      </c>
      <c r="S19" s="79">
        <f t="shared" si="1"/>
        <v>0</v>
      </c>
      <c r="T19" s="79">
        <f>SUMIFS(svWeeks 19:19, svWeeks svWeek,"&lt;="&amp;svWeek)</f>
        <v>0</v>
      </c>
      <c r="U19" s="79">
        <f>SUMIFS(svWeeks 19:19, svWeeks svWeek,"&lt;="&amp;svWeek)</f>
        <v>0</v>
      </c>
      <c r="V19" s="79">
        <f>SUMIFS(svWeeks 19:19, svWeeks svWeek,"&lt;="&amp;svWeek)</f>
        <v>0</v>
      </c>
      <c r="W19" s="79">
        <f>SUMIFS(svWeeks 19:19, svWeeks svWeek,"&lt;="&amp;svWeek)</f>
        <v>0</v>
      </c>
    </row>
    <row r="20" spans="1:23" s="126" customFormat="1" ht="15" customHeight="1" x14ac:dyDescent="0.2">
      <c r="A20" s="347">
        <f>Roster!B20</f>
        <v>13</v>
      </c>
      <c r="B20" s="102" t="str">
        <f>Roster!C20</f>
        <v>Hagag, Ahmad M.M.</v>
      </c>
      <c r="C20" s="82">
        <f>SUMIFS((vCount vdata),(vName vdata),"="&amp;sName,(vdata vWeek),"="&amp;svWeek)</f>
        <v>0</v>
      </c>
      <c r="D20" s="83">
        <f>SUMIFS((vCount vdata),(vName vdata),"="&amp;sName,(vdata vWeek),"="&amp;svWeek)</f>
        <v>0</v>
      </c>
      <c r="E20" s="83">
        <f>SUMIFS((vCount vdata),(vName vdata),"="&amp;sName,(vdata vWeek),"="&amp;svWeek)</f>
        <v>0</v>
      </c>
      <c r="F20" s="83">
        <f>SUMIFS((vCount vdata),(vName vdata),"="&amp;sName,(vdata vWeek),"="&amp;svWeek)</f>
        <v>0</v>
      </c>
      <c r="G20" s="83">
        <f>SUMIFS((vCount vdata),(vName vdata),"="&amp;sName,(vdata vWeek),"="&amp;svWeek)</f>
        <v>0</v>
      </c>
      <c r="H20" s="83">
        <f>SUMIFS((vCount vdata),(vName vdata),"="&amp;sName,(vdata vWeek),"="&amp;svWeek)</f>
        <v>0</v>
      </c>
      <c r="I20" s="83">
        <f>SUMIFS((vCount vdata),(vName vdata),"="&amp;sName,(vdata vWeek),"="&amp;svWeek)</f>
        <v>0</v>
      </c>
      <c r="J20" s="83">
        <f>SUMIFS((vCount vdata),(vName vdata),"="&amp;sName,(vdata vWeek),"="&amp;svWeek)</f>
        <v>0</v>
      </c>
      <c r="K20" s="83">
        <f>SUMIFS((vCount vdata),(vName vdata),"="&amp;sName,(vdata vWeek),"="&amp;svWeek)</f>
        <v>0</v>
      </c>
      <c r="L20" s="83">
        <f>SUMIFS((vCount vdata),(vName vdata),"="&amp;sName,(vdata vWeek),"="&amp;svWeek)</f>
        <v>0</v>
      </c>
      <c r="M20" s="83">
        <f>SUMIFS((vCount vdata),(vName vdata),"="&amp;sName,(vdata vWeek),"="&amp;svWeek)</f>
        <v>0</v>
      </c>
      <c r="N20" s="83">
        <f>SUMIFS((vCount vdata),(vName vdata),"="&amp;sName,(vdata vWeek),"="&amp;svWeek)</f>
        <v>0</v>
      </c>
      <c r="O20" s="83">
        <f>SUMIFS((vCount vdata),(vName vdata),"="&amp;sName,(vdata vWeek),"="&amp;svWeek)</f>
        <v>0</v>
      </c>
      <c r="P20" s="83">
        <f>SUMIFS((vCount vdata),(vName vdata),"="&amp;sName,(vdata vWeek),"="&amp;svWeek)</f>
        <v>0</v>
      </c>
      <c r="Q20" s="83">
        <f>SUMIFS((vCount vdata),(vName vdata),"="&amp;sName,(vdata vWeek),"="&amp;svWeek)</f>
        <v>0</v>
      </c>
      <c r="R20" s="84">
        <f>SUMIFS((vCount vdata),(vName vdata),"="&amp;sName,(vdata vWeek),"="&amp;svWeek)</f>
        <v>0</v>
      </c>
      <c r="S20" s="79">
        <f t="shared" si="1"/>
        <v>0</v>
      </c>
      <c r="T20" s="79">
        <f>SUMIFS(svWeeks 20:20, svWeeks svWeek,"&lt;="&amp;svWeek)</f>
        <v>0</v>
      </c>
      <c r="U20" s="79">
        <f>SUMIFS(svWeeks 20:20, svWeeks svWeek,"&lt;="&amp;svWeek)</f>
        <v>0</v>
      </c>
      <c r="V20" s="79">
        <f>SUMIFS(svWeeks 20:20, svWeeks svWeek,"&lt;="&amp;svWeek)</f>
        <v>0</v>
      </c>
      <c r="W20" s="79">
        <f>SUMIFS(svWeeks 20:20, svWeeks svWeek,"&lt;="&amp;svWeek)</f>
        <v>0</v>
      </c>
    </row>
    <row r="21" spans="1:23" s="126" customFormat="1" ht="15" customHeight="1" x14ac:dyDescent="0.2">
      <c r="A21" s="347">
        <f>Roster!B21</f>
        <v>14</v>
      </c>
      <c r="B21" s="102" t="str">
        <f>Roster!C21</f>
        <v>Kelkay, Ayalew Alemayehu</v>
      </c>
      <c r="C21" s="82">
        <f>SUMIFS((vCount vdata),(vName vdata),"="&amp;sName,(vdata vWeek),"="&amp;svWeek)</f>
        <v>0</v>
      </c>
      <c r="D21" s="83">
        <f>SUMIFS((vCount vdata),(vName vdata),"="&amp;sName,(vdata vWeek),"="&amp;svWeek)</f>
        <v>0</v>
      </c>
      <c r="E21" s="83">
        <f>SUMIFS((vCount vdata),(vName vdata),"="&amp;sName,(vdata vWeek),"="&amp;svWeek)</f>
        <v>0</v>
      </c>
      <c r="F21" s="83">
        <f>SUMIFS((vCount vdata),(vName vdata),"="&amp;sName,(vdata vWeek),"="&amp;svWeek)</f>
        <v>0</v>
      </c>
      <c r="G21" s="83">
        <f>SUMIFS((vCount vdata),(vName vdata),"="&amp;sName,(vdata vWeek),"="&amp;svWeek)</f>
        <v>0</v>
      </c>
      <c r="H21" s="83">
        <f>SUMIFS((vCount vdata),(vName vdata),"="&amp;sName,(vdata vWeek),"="&amp;svWeek)</f>
        <v>0</v>
      </c>
      <c r="I21" s="83">
        <f>SUMIFS((vCount vdata),(vName vdata),"="&amp;sName,(vdata vWeek),"="&amp;svWeek)</f>
        <v>0</v>
      </c>
      <c r="J21" s="83">
        <f>SUMIFS((vCount vdata),(vName vdata),"="&amp;sName,(vdata vWeek),"="&amp;svWeek)</f>
        <v>0</v>
      </c>
      <c r="K21" s="83">
        <f>SUMIFS((vCount vdata),(vName vdata),"="&amp;sName,(vdata vWeek),"="&amp;svWeek)</f>
        <v>0</v>
      </c>
      <c r="L21" s="83">
        <f>SUMIFS((vCount vdata),(vName vdata),"="&amp;sName,(vdata vWeek),"="&amp;svWeek)</f>
        <v>0</v>
      </c>
      <c r="M21" s="83">
        <f>SUMIFS((vCount vdata),(vName vdata),"="&amp;sName,(vdata vWeek),"="&amp;svWeek)</f>
        <v>0</v>
      </c>
      <c r="N21" s="83">
        <f>SUMIFS((vCount vdata),(vName vdata),"="&amp;sName,(vdata vWeek),"="&amp;svWeek)</f>
        <v>0</v>
      </c>
      <c r="O21" s="83">
        <f>SUMIFS((vCount vdata),(vName vdata),"="&amp;sName,(vdata vWeek),"="&amp;svWeek)</f>
        <v>0</v>
      </c>
      <c r="P21" s="83">
        <f>SUMIFS((vCount vdata),(vName vdata),"="&amp;sName,(vdata vWeek),"="&amp;svWeek)</f>
        <v>0</v>
      </c>
      <c r="Q21" s="83">
        <f>SUMIFS((vCount vdata),(vName vdata),"="&amp;sName,(vdata vWeek),"="&amp;svWeek)</f>
        <v>0</v>
      </c>
      <c r="R21" s="84">
        <f>SUMIFS((vCount vdata),(vName vdata),"="&amp;sName,(vdata vWeek),"="&amp;svWeek)</f>
        <v>0</v>
      </c>
      <c r="S21" s="79">
        <f t="shared" si="1"/>
        <v>0</v>
      </c>
      <c r="T21" s="79">
        <f>SUMIFS(svWeeks 21:21, svWeeks svWeek,"&lt;="&amp;svWeek)</f>
        <v>0</v>
      </c>
      <c r="U21" s="79">
        <f>SUMIFS(svWeeks 21:21, svWeeks svWeek,"&lt;="&amp;svWeek)</f>
        <v>0</v>
      </c>
      <c r="V21" s="79">
        <f>SUMIFS(svWeeks 21:21, svWeeks svWeek,"&lt;="&amp;svWeek)</f>
        <v>0</v>
      </c>
      <c r="W21" s="79">
        <f>SUMIFS(svWeeks 21:21, svWeeks svWeek,"&lt;="&amp;svWeek)</f>
        <v>0</v>
      </c>
    </row>
    <row r="22" spans="1:23" s="126" customFormat="1" ht="15" customHeight="1" x14ac:dyDescent="0.2">
      <c r="A22" s="347">
        <f>Roster!B22</f>
        <v>15</v>
      </c>
      <c r="B22" s="102" t="str">
        <f>Roster!C22</f>
        <v>Kidane, Ermias</v>
      </c>
      <c r="C22" s="82">
        <f>SUMIFS((vCount vdata),(vName vdata),"="&amp;sName,(vdata vWeek),"="&amp;svWeek)</f>
        <v>0</v>
      </c>
      <c r="D22" s="83">
        <f>SUMIFS((vCount vdata),(vName vdata),"="&amp;sName,(vdata vWeek),"="&amp;svWeek)</f>
        <v>0</v>
      </c>
      <c r="E22" s="83">
        <f>SUMIFS((vCount vdata),(vName vdata),"="&amp;sName,(vdata vWeek),"="&amp;svWeek)</f>
        <v>0</v>
      </c>
      <c r="F22" s="83">
        <f>SUMIFS((vCount vdata),(vName vdata),"="&amp;sName,(vdata vWeek),"="&amp;svWeek)</f>
        <v>0</v>
      </c>
      <c r="G22" s="83">
        <f>SUMIFS((vCount vdata),(vName vdata),"="&amp;sName,(vdata vWeek),"="&amp;svWeek)</f>
        <v>0</v>
      </c>
      <c r="H22" s="83">
        <f>SUMIFS((vCount vdata),(vName vdata),"="&amp;sName,(vdata vWeek),"="&amp;svWeek)</f>
        <v>0</v>
      </c>
      <c r="I22" s="83">
        <f>SUMIFS((vCount vdata),(vName vdata),"="&amp;sName,(vdata vWeek),"="&amp;svWeek)</f>
        <v>0</v>
      </c>
      <c r="J22" s="83">
        <f>SUMIFS((vCount vdata),(vName vdata),"="&amp;sName,(vdata vWeek),"="&amp;svWeek)</f>
        <v>0</v>
      </c>
      <c r="K22" s="83">
        <f>SUMIFS((vCount vdata),(vName vdata),"="&amp;sName,(vdata vWeek),"="&amp;svWeek)</f>
        <v>0</v>
      </c>
      <c r="L22" s="83">
        <f>SUMIFS((vCount vdata),(vName vdata),"="&amp;sName,(vdata vWeek),"="&amp;svWeek)</f>
        <v>0</v>
      </c>
      <c r="M22" s="83">
        <f>SUMIFS((vCount vdata),(vName vdata),"="&amp;sName,(vdata vWeek),"="&amp;svWeek)</f>
        <v>0</v>
      </c>
      <c r="N22" s="83">
        <f>SUMIFS((vCount vdata),(vName vdata),"="&amp;sName,(vdata vWeek),"="&amp;svWeek)</f>
        <v>0</v>
      </c>
      <c r="O22" s="83">
        <f>SUMIFS((vCount vdata),(vName vdata),"="&amp;sName,(vdata vWeek),"="&amp;svWeek)</f>
        <v>0</v>
      </c>
      <c r="P22" s="83">
        <f>SUMIFS((vCount vdata),(vName vdata),"="&amp;sName,(vdata vWeek),"="&amp;svWeek)</f>
        <v>0</v>
      </c>
      <c r="Q22" s="83">
        <f>SUMIFS((vCount vdata),(vName vdata),"="&amp;sName,(vdata vWeek),"="&amp;svWeek)</f>
        <v>0</v>
      </c>
      <c r="R22" s="84">
        <f>SUMIFS((vCount vdata),(vName vdata),"="&amp;sName,(vdata vWeek),"="&amp;svWeek)</f>
        <v>0</v>
      </c>
      <c r="S22" s="79">
        <f t="shared" si="1"/>
        <v>0</v>
      </c>
      <c r="T22" s="79">
        <f>SUMIFS(svWeeks 22:22, svWeeks svWeek,"&lt;="&amp;svWeek)</f>
        <v>0</v>
      </c>
      <c r="U22" s="79">
        <f>SUMIFS(svWeeks 22:22, svWeeks svWeek,"&lt;="&amp;svWeek)</f>
        <v>0</v>
      </c>
      <c r="V22" s="79">
        <f>SUMIFS(svWeeks 22:22, svWeeks svWeek,"&lt;="&amp;svWeek)</f>
        <v>0</v>
      </c>
      <c r="W22" s="79">
        <f>SUMIFS(svWeeks 22:22, svWeeks svWeek,"&lt;="&amp;svWeek)</f>
        <v>0</v>
      </c>
    </row>
    <row r="23" spans="1:23" s="126" customFormat="1" ht="15" customHeight="1" x14ac:dyDescent="0.2">
      <c r="A23" s="347">
        <f>Roster!B23</f>
        <v>16</v>
      </c>
      <c r="B23" s="102" t="str">
        <f>Roster!C23</f>
        <v>Kouotou Mefire, Ibrahim</v>
      </c>
      <c r="C23" s="82">
        <f>SUMIFS((vCount vdata),(vName vdata),"="&amp;sName,(vdata vWeek),"="&amp;svWeek)</f>
        <v>0</v>
      </c>
      <c r="D23" s="83">
        <f>SUMIFS((vCount vdata),(vName vdata),"="&amp;sName,(vdata vWeek),"="&amp;svWeek)</f>
        <v>0</v>
      </c>
      <c r="E23" s="83">
        <f>SUMIFS((vCount vdata),(vName vdata),"="&amp;sName,(vdata vWeek),"="&amp;svWeek)</f>
        <v>0</v>
      </c>
      <c r="F23" s="83">
        <f>SUMIFS((vCount vdata),(vName vdata),"="&amp;sName,(vdata vWeek),"="&amp;svWeek)</f>
        <v>0</v>
      </c>
      <c r="G23" s="83">
        <f>SUMIFS((vCount vdata),(vName vdata),"="&amp;sName,(vdata vWeek),"="&amp;svWeek)</f>
        <v>0</v>
      </c>
      <c r="H23" s="83">
        <f>SUMIFS((vCount vdata),(vName vdata),"="&amp;sName,(vdata vWeek),"="&amp;svWeek)</f>
        <v>0</v>
      </c>
      <c r="I23" s="83">
        <f>SUMIFS((vCount vdata),(vName vdata),"="&amp;sName,(vdata vWeek),"="&amp;svWeek)</f>
        <v>0</v>
      </c>
      <c r="J23" s="83">
        <f>SUMIFS((vCount vdata),(vName vdata),"="&amp;sName,(vdata vWeek),"="&amp;svWeek)</f>
        <v>0</v>
      </c>
      <c r="K23" s="83">
        <f>SUMIFS((vCount vdata),(vName vdata),"="&amp;sName,(vdata vWeek),"="&amp;svWeek)</f>
        <v>0</v>
      </c>
      <c r="L23" s="83">
        <f>SUMIFS((vCount vdata),(vName vdata),"="&amp;sName,(vdata vWeek),"="&amp;svWeek)</f>
        <v>0</v>
      </c>
      <c r="M23" s="83">
        <f>SUMIFS((vCount vdata),(vName vdata),"="&amp;sName,(vdata vWeek),"="&amp;svWeek)</f>
        <v>0</v>
      </c>
      <c r="N23" s="83">
        <f>SUMIFS((vCount vdata),(vName vdata),"="&amp;sName,(vdata vWeek),"="&amp;svWeek)</f>
        <v>0</v>
      </c>
      <c r="O23" s="83">
        <f>SUMIFS((vCount vdata),(vName vdata),"="&amp;sName,(vdata vWeek),"="&amp;svWeek)</f>
        <v>0</v>
      </c>
      <c r="P23" s="83">
        <f>SUMIFS((vCount vdata),(vName vdata),"="&amp;sName,(vdata vWeek),"="&amp;svWeek)</f>
        <v>0</v>
      </c>
      <c r="Q23" s="83">
        <f>SUMIFS((vCount vdata),(vName vdata),"="&amp;sName,(vdata vWeek),"="&amp;svWeek)</f>
        <v>0</v>
      </c>
      <c r="R23" s="84">
        <f>SUMIFS((vCount vdata),(vName vdata),"="&amp;sName,(vdata vWeek),"="&amp;svWeek)</f>
        <v>0</v>
      </c>
      <c r="S23" s="79">
        <f t="shared" si="1"/>
        <v>0</v>
      </c>
      <c r="T23" s="79">
        <f>SUMIFS(svWeeks 23:23, svWeeks svWeek,"&lt;="&amp;svWeek)</f>
        <v>0</v>
      </c>
      <c r="U23" s="79">
        <f>SUMIFS(svWeeks 23:23, svWeeks svWeek,"&lt;="&amp;svWeek)</f>
        <v>0</v>
      </c>
      <c r="V23" s="79">
        <f>SUMIFS(svWeeks 23:23, svWeeks svWeek,"&lt;="&amp;svWeek)</f>
        <v>0</v>
      </c>
      <c r="W23" s="79">
        <f>SUMIFS(svWeeks 23:23, svWeeks svWeek,"&lt;="&amp;svWeek)</f>
        <v>0</v>
      </c>
    </row>
    <row r="24" spans="1:23" s="126" customFormat="1" ht="15" customHeight="1" x14ac:dyDescent="0.2">
      <c r="A24" s="347">
        <f>Roster!B24</f>
        <v>17</v>
      </c>
      <c r="B24" s="102" t="str">
        <f>Roster!C24</f>
        <v>Lapitan, Blaine Dondi</v>
      </c>
      <c r="C24" s="82">
        <f>SUMIFS((vCount vdata),(vName vdata),"="&amp;sName,(vdata vWeek),"="&amp;svWeek)</f>
        <v>0</v>
      </c>
      <c r="D24" s="83">
        <f>SUMIFS((vCount vdata),(vName vdata),"="&amp;sName,(vdata vWeek),"="&amp;svWeek)</f>
        <v>0</v>
      </c>
      <c r="E24" s="83">
        <f>SUMIFS((vCount vdata),(vName vdata),"="&amp;sName,(vdata vWeek),"="&amp;svWeek)</f>
        <v>0</v>
      </c>
      <c r="F24" s="83">
        <f>SUMIFS((vCount vdata),(vName vdata),"="&amp;sName,(vdata vWeek),"="&amp;svWeek)</f>
        <v>0</v>
      </c>
      <c r="G24" s="83">
        <f>SUMIFS((vCount vdata),(vName vdata),"="&amp;sName,(vdata vWeek),"="&amp;svWeek)</f>
        <v>0</v>
      </c>
      <c r="H24" s="83">
        <f>SUMIFS((vCount vdata),(vName vdata),"="&amp;sName,(vdata vWeek),"="&amp;svWeek)</f>
        <v>0</v>
      </c>
      <c r="I24" s="83">
        <f>SUMIFS((vCount vdata),(vName vdata),"="&amp;sName,(vdata vWeek),"="&amp;svWeek)</f>
        <v>0</v>
      </c>
      <c r="J24" s="83">
        <f>SUMIFS((vCount vdata),(vName vdata),"="&amp;sName,(vdata vWeek),"="&amp;svWeek)</f>
        <v>0</v>
      </c>
      <c r="K24" s="83">
        <f>SUMIFS((vCount vdata),(vName vdata),"="&amp;sName,(vdata vWeek),"="&amp;svWeek)</f>
        <v>0</v>
      </c>
      <c r="L24" s="83">
        <f>SUMIFS((vCount vdata),(vName vdata),"="&amp;sName,(vdata vWeek),"="&amp;svWeek)</f>
        <v>0</v>
      </c>
      <c r="M24" s="83">
        <f>SUMIFS((vCount vdata),(vName vdata),"="&amp;sName,(vdata vWeek),"="&amp;svWeek)</f>
        <v>0</v>
      </c>
      <c r="N24" s="83">
        <f>SUMIFS((vCount vdata),(vName vdata),"="&amp;sName,(vdata vWeek),"="&amp;svWeek)</f>
        <v>0</v>
      </c>
      <c r="O24" s="83">
        <f>SUMIFS((vCount vdata),(vName vdata),"="&amp;sName,(vdata vWeek),"="&amp;svWeek)</f>
        <v>0</v>
      </c>
      <c r="P24" s="83">
        <f>SUMIFS((vCount vdata),(vName vdata),"="&amp;sName,(vdata vWeek),"="&amp;svWeek)</f>
        <v>0</v>
      </c>
      <c r="Q24" s="83">
        <f>SUMIFS((vCount vdata),(vName vdata),"="&amp;sName,(vdata vWeek),"="&amp;svWeek)</f>
        <v>0</v>
      </c>
      <c r="R24" s="84">
        <f>SUMIFS((vCount vdata),(vName vdata),"="&amp;sName,(vdata vWeek),"="&amp;svWeek)</f>
        <v>0</v>
      </c>
      <c r="S24" s="79">
        <f t="shared" si="1"/>
        <v>0</v>
      </c>
      <c r="T24" s="79">
        <f>SUMIFS(svWeeks 24:24, svWeeks svWeek,"&lt;="&amp;svWeek)</f>
        <v>0</v>
      </c>
      <c r="U24" s="79">
        <f>SUMIFS(svWeeks 24:24, svWeeks svWeek,"&lt;="&amp;svWeek)</f>
        <v>0</v>
      </c>
      <c r="V24" s="79">
        <f>SUMIFS(svWeeks 24:24, svWeeks svWeek,"&lt;="&amp;svWeek)</f>
        <v>0</v>
      </c>
      <c r="W24" s="79">
        <f>SUMIFS(svWeeks 24:24, svWeeks svWeek,"&lt;="&amp;svWeek)</f>
        <v>0</v>
      </c>
    </row>
    <row r="25" spans="1:23" s="126" customFormat="1" ht="15" customHeight="1" x14ac:dyDescent="0.2">
      <c r="A25" s="347">
        <f>Roster!B25</f>
        <v>18</v>
      </c>
      <c r="B25" s="102" t="str">
        <f>Roster!C25</f>
        <v>Muratov, Sherzod</v>
      </c>
      <c r="C25" s="82">
        <f>SUMIFS((vCount vdata),(vName vdata),"="&amp;sName,(vdata vWeek),"="&amp;svWeek)</f>
        <v>0</v>
      </c>
      <c r="D25" s="83">
        <f>SUMIFS((vCount vdata),(vName vdata),"="&amp;sName,(vdata vWeek),"="&amp;svWeek)</f>
        <v>0</v>
      </c>
      <c r="E25" s="83">
        <f>SUMIFS((vCount vdata),(vName vdata),"="&amp;sName,(vdata vWeek),"="&amp;svWeek)</f>
        <v>0</v>
      </c>
      <c r="F25" s="83">
        <f>SUMIFS((vCount vdata),(vName vdata),"="&amp;sName,(vdata vWeek),"="&amp;svWeek)</f>
        <v>0</v>
      </c>
      <c r="G25" s="83">
        <f>SUMIFS((vCount vdata),(vName vdata),"="&amp;sName,(vdata vWeek),"="&amp;svWeek)</f>
        <v>0</v>
      </c>
      <c r="H25" s="83">
        <f>SUMIFS((vCount vdata),(vName vdata),"="&amp;sName,(vdata vWeek),"="&amp;svWeek)</f>
        <v>0</v>
      </c>
      <c r="I25" s="83">
        <f>SUMIFS((vCount vdata),(vName vdata),"="&amp;sName,(vdata vWeek),"="&amp;svWeek)</f>
        <v>0</v>
      </c>
      <c r="J25" s="83">
        <f>SUMIFS((vCount vdata),(vName vdata),"="&amp;sName,(vdata vWeek),"="&amp;svWeek)</f>
        <v>0</v>
      </c>
      <c r="K25" s="83">
        <f>SUMIFS((vCount vdata),(vName vdata),"="&amp;sName,(vdata vWeek),"="&amp;svWeek)</f>
        <v>0</v>
      </c>
      <c r="L25" s="83">
        <f>SUMIFS((vCount vdata),(vName vdata),"="&amp;sName,(vdata vWeek),"="&amp;svWeek)</f>
        <v>0</v>
      </c>
      <c r="M25" s="83">
        <f>SUMIFS((vCount vdata),(vName vdata),"="&amp;sName,(vdata vWeek),"="&amp;svWeek)</f>
        <v>0</v>
      </c>
      <c r="N25" s="83">
        <f>SUMIFS((vCount vdata),(vName vdata),"="&amp;sName,(vdata vWeek),"="&amp;svWeek)</f>
        <v>0</v>
      </c>
      <c r="O25" s="83">
        <f>SUMIFS((vCount vdata),(vName vdata),"="&amp;sName,(vdata vWeek),"="&amp;svWeek)</f>
        <v>0</v>
      </c>
      <c r="P25" s="83">
        <f>SUMIFS((vCount vdata),(vName vdata),"="&amp;sName,(vdata vWeek),"="&amp;svWeek)</f>
        <v>0</v>
      </c>
      <c r="Q25" s="83">
        <f>SUMIFS((vCount vdata),(vName vdata),"="&amp;sName,(vdata vWeek),"="&amp;svWeek)</f>
        <v>0</v>
      </c>
      <c r="R25" s="84">
        <f>SUMIFS((vCount vdata),(vName vdata),"="&amp;sName,(vdata vWeek),"="&amp;svWeek)</f>
        <v>0</v>
      </c>
      <c r="S25" s="79">
        <f t="shared" ref="S25:S34" si="2">SUM(C25:R25)</f>
        <v>0</v>
      </c>
      <c r="T25" s="79">
        <f>SUMIFS(svWeeks 25:25, svWeeks svWeek,"&lt;="&amp;svWeek)</f>
        <v>0</v>
      </c>
      <c r="U25" s="79">
        <f>SUMIFS(svWeeks 25:25, svWeeks svWeek,"&lt;="&amp;svWeek)</f>
        <v>0</v>
      </c>
      <c r="V25" s="79">
        <f>SUMIFS(svWeeks 25:25, svWeeks svWeek,"&lt;="&amp;svWeek)</f>
        <v>0</v>
      </c>
      <c r="W25" s="79">
        <f>SUMIFS(svWeeks 25:25, svWeeks svWeek,"&lt;="&amp;svWeek)</f>
        <v>0</v>
      </c>
    </row>
    <row r="26" spans="1:23" s="126" customFormat="1" ht="15" customHeight="1" x14ac:dyDescent="0.2">
      <c r="A26" s="347">
        <f>Roster!B26</f>
        <v>19</v>
      </c>
      <c r="B26" s="102" t="str">
        <f>Roster!C26</f>
        <v>Nazarov, Nodir</v>
      </c>
      <c r="C26" s="82">
        <f>SUMIFS((vCount vdata),(vName vdata),"="&amp;sName,(vdata vWeek),"="&amp;svWeek)</f>
        <v>0</v>
      </c>
      <c r="D26" s="83">
        <f>SUMIFS((vCount vdata),(vName vdata),"="&amp;sName,(vdata vWeek),"="&amp;svWeek)</f>
        <v>0</v>
      </c>
      <c r="E26" s="83">
        <f>SUMIFS((vCount vdata),(vName vdata),"="&amp;sName,(vdata vWeek),"="&amp;svWeek)</f>
        <v>0</v>
      </c>
      <c r="F26" s="83">
        <f>SUMIFS((vCount vdata),(vName vdata),"="&amp;sName,(vdata vWeek),"="&amp;svWeek)</f>
        <v>0</v>
      </c>
      <c r="G26" s="83">
        <f>SUMIFS((vCount vdata),(vName vdata),"="&amp;sName,(vdata vWeek),"="&amp;svWeek)</f>
        <v>0</v>
      </c>
      <c r="H26" s="83">
        <f>SUMIFS((vCount vdata),(vName vdata),"="&amp;sName,(vdata vWeek),"="&amp;svWeek)</f>
        <v>0</v>
      </c>
      <c r="I26" s="83">
        <f>SUMIFS((vCount vdata),(vName vdata),"="&amp;sName,(vdata vWeek),"="&amp;svWeek)</f>
        <v>0</v>
      </c>
      <c r="J26" s="83">
        <f>SUMIFS((vCount vdata),(vName vdata),"="&amp;sName,(vdata vWeek),"="&amp;svWeek)</f>
        <v>0</v>
      </c>
      <c r="K26" s="83">
        <f>SUMIFS((vCount vdata),(vName vdata),"="&amp;sName,(vdata vWeek),"="&amp;svWeek)</f>
        <v>0</v>
      </c>
      <c r="L26" s="83">
        <f>SUMIFS((vCount vdata),(vName vdata),"="&amp;sName,(vdata vWeek),"="&amp;svWeek)</f>
        <v>0</v>
      </c>
      <c r="M26" s="83">
        <f>SUMIFS((vCount vdata),(vName vdata),"="&amp;sName,(vdata vWeek),"="&amp;svWeek)</f>
        <v>0</v>
      </c>
      <c r="N26" s="83">
        <f>SUMIFS((vCount vdata),(vName vdata),"="&amp;sName,(vdata vWeek),"="&amp;svWeek)</f>
        <v>0</v>
      </c>
      <c r="O26" s="83">
        <f>SUMIFS((vCount vdata),(vName vdata),"="&amp;sName,(vdata vWeek),"="&amp;svWeek)</f>
        <v>0</v>
      </c>
      <c r="P26" s="83">
        <f>SUMIFS((vCount vdata),(vName vdata),"="&amp;sName,(vdata vWeek),"="&amp;svWeek)</f>
        <v>0</v>
      </c>
      <c r="Q26" s="83">
        <f>SUMIFS((vCount vdata),(vName vdata),"="&amp;sName,(vdata vWeek),"="&amp;svWeek)</f>
        <v>0</v>
      </c>
      <c r="R26" s="84">
        <f>SUMIFS((vCount vdata),(vName vdata),"="&amp;sName,(vdata vWeek),"="&amp;svWeek)</f>
        <v>0</v>
      </c>
      <c r="S26" s="79">
        <f t="shared" si="2"/>
        <v>0</v>
      </c>
      <c r="T26" s="79">
        <f>SUMIFS(svWeeks 26:26, svWeeks svWeek,"&lt;="&amp;svWeek)</f>
        <v>0</v>
      </c>
      <c r="U26" s="79">
        <f>SUMIFS(svWeeks 26:26, svWeeks svWeek,"&lt;="&amp;svWeek)</f>
        <v>0</v>
      </c>
      <c r="V26" s="79">
        <f>SUMIFS(svWeeks 26:26, svWeeks svWeek,"&lt;="&amp;svWeek)</f>
        <v>0</v>
      </c>
      <c r="W26" s="79">
        <f>SUMIFS(svWeeks 26:26, svWeeks svWeek,"&lt;="&amp;svWeek)</f>
        <v>0</v>
      </c>
    </row>
    <row r="27" spans="1:23" s="126" customFormat="1" ht="15" customHeight="1" x14ac:dyDescent="0.2">
      <c r="A27" s="347">
        <f>Roster!B27</f>
        <v>20</v>
      </c>
      <c r="B27" s="102" t="str">
        <f>Roster!C27</f>
        <v>Negeri, Wagari Temesgen</v>
      </c>
      <c r="C27" s="82">
        <f>SUMIFS((vCount vdata),(vName vdata),"="&amp;sName,(vdata vWeek),"="&amp;svWeek)</f>
        <v>0</v>
      </c>
      <c r="D27" s="83">
        <f>SUMIFS((vCount vdata),(vName vdata),"="&amp;sName,(vdata vWeek),"="&amp;svWeek)</f>
        <v>0</v>
      </c>
      <c r="E27" s="83">
        <f>SUMIFS((vCount vdata),(vName vdata),"="&amp;sName,(vdata vWeek),"="&amp;svWeek)</f>
        <v>0</v>
      </c>
      <c r="F27" s="83">
        <f>SUMIFS((vCount vdata),(vName vdata),"="&amp;sName,(vdata vWeek),"="&amp;svWeek)</f>
        <v>0</v>
      </c>
      <c r="G27" s="83">
        <f>SUMIFS((vCount vdata),(vName vdata),"="&amp;sName,(vdata vWeek),"="&amp;svWeek)</f>
        <v>0</v>
      </c>
      <c r="H27" s="83">
        <f>SUMIFS((vCount vdata),(vName vdata),"="&amp;sName,(vdata vWeek),"="&amp;svWeek)</f>
        <v>0</v>
      </c>
      <c r="I27" s="83">
        <f>SUMIFS((vCount vdata),(vName vdata),"="&amp;sName,(vdata vWeek),"="&amp;svWeek)</f>
        <v>0</v>
      </c>
      <c r="J27" s="83">
        <f>SUMIFS((vCount vdata),(vName vdata),"="&amp;sName,(vdata vWeek),"="&amp;svWeek)</f>
        <v>0</v>
      </c>
      <c r="K27" s="83">
        <f>SUMIFS((vCount vdata),(vName vdata),"="&amp;sName,(vdata vWeek),"="&amp;svWeek)</f>
        <v>0</v>
      </c>
      <c r="L27" s="83">
        <f>SUMIFS((vCount vdata),(vName vdata),"="&amp;sName,(vdata vWeek),"="&amp;svWeek)</f>
        <v>0</v>
      </c>
      <c r="M27" s="83">
        <f>SUMIFS((vCount vdata),(vName vdata),"="&amp;sName,(vdata vWeek),"="&amp;svWeek)</f>
        <v>0</v>
      </c>
      <c r="N27" s="83">
        <f>SUMIFS((vCount vdata),(vName vdata),"="&amp;sName,(vdata vWeek),"="&amp;svWeek)</f>
        <v>0</v>
      </c>
      <c r="O27" s="83">
        <f>SUMIFS((vCount vdata),(vName vdata),"="&amp;sName,(vdata vWeek),"="&amp;svWeek)</f>
        <v>0</v>
      </c>
      <c r="P27" s="83">
        <f>SUMIFS((vCount vdata),(vName vdata),"="&amp;sName,(vdata vWeek),"="&amp;svWeek)</f>
        <v>0</v>
      </c>
      <c r="Q27" s="83">
        <f>SUMIFS((vCount vdata),(vName vdata),"="&amp;sName,(vdata vWeek),"="&amp;svWeek)</f>
        <v>0</v>
      </c>
      <c r="R27" s="84">
        <f>SUMIFS((vCount vdata),(vName vdata),"="&amp;sName,(vdata vWeek),"="&amp;svWeek)</f>
        <v>0</v>
      </c>
      <c r="S27" s="79">
        <f t="shared" si="2"/>
        <v>0</v>
      </c>
      <c r="T27" s="79">
        <f>SUMIFS(svWeeks 27:27, svWeeks svWeek,"&lt;="&amp;svWeek)</f>
        <v>0</v>
      </c>
      <c r="U27" s="79">
        <f>SUMIFS(svWeeks 27:27, svWeeks svWeek,"&lt;="&amp;svWeek)</f>
        <v>0</v>
      </c>
      <c r="V27" s="79">
        <f>SUMIFS(svWeeks 27:27, svWeeks svWeek,"&lt;="&amp;svWeek)</f>
        <v>0</v>
      </c>
      <c r="W27" s="79">
        <f>SUMIFS(svWeeks 27:27, svWeeks svWeek,"&lt;="&amp;svWeek)</f>
        <v>0</v>
      </c>
    </row>
    <row r="28" spans="1:23" s="126" customFormat="1" ht="15" customHeight="1" x14ac:dyDescent="0.2">
      <c r="A28" s="347">
        <f>Roster!B28</f>
        <v>21</v>
      </c>
      <c r="B28" s="102" t="str">
        <f>Roster!C28</f>
        <v>Taheri, Homayoon</v>
      </c>
      <c r="C28" s="82">
        <f>SUMIFS((vCount vdata),(vName vdata),"="&amp;sName,(vdata vWeek),"="&amp;svWeek)</f>
        <v>0</v>
      </c>
      <c r="D28" s="83">
        <f>SUMIFS((vCount vdata),(vName vdata),"="&amp;sName,(vdata vWeek),"="&amp;svWeek)</f>
        <v>0</v>
      </c>
      <c r="E28" s="83">
        <f>SUMIFS((vCount vdata),(vName vdata),"="&amp;sName,(vdata vWeek),"="&amp;svWeek)</f>
        <v>0</v>
      </c>
      <c r="F28" s="83">
        <f>SUMIFS((vCount vdata),(vName vdata),"="&amp;sName,(vdata vWeek),"="&amp;svWeek)</f>
        <v>0</v>
      </c>
      <c r="G28" s="83">
        <f>SUMIFS((vCount vdata),(vName vdata),"="&amp;sName,(vdata vWeek),"="&amp;svWeek)</f>
        <v>0</v>
      </c>
      <c r="H28" s="83">
        <f>SUMIFS((vCount vdata),(vName vdata),"="&amp;sName,(vdata vWeek),"="&amp;svWeek)</f>
        <v>0</v>
      </c>
      <c r="I28" s="83">
        <f>SUMIFS((vCount vdata),(vName vdata),"="&amp;sName,(vdata vWeek),"="&amp;svWeek)</f>
        <v>0</v>
      </c>
      <c r="J28" s="83">
        <f>SUMIFS((vCount vdata),(vName vdata),"="&amp;sName,(vdata vWeek),"="&amp;svWeek)</f>
        <v>0</v>
      </c>
      <c r="K28" s="83">
        <f>SUMIFS((vCount vdata),(vName vdata),"="&amp;sName,(vdata vWeek),"="&amp;svWeek)</f>
        <v>0</v>
      </c>
      <c r="L28" s="83">
        <f>SUMIFS((vCount vdata),(vName vdata),"="&amp;sName,(vdata vWeek),"="&amp;svWeek)</f>
        <v>0</v>
      </c>
      <c r="M28" s="83">
        <f>SUMIFS((vCount vdata),(vName vdata),"="&amp;sName,(vdata vWeek),"="&amp;svWeek)</f>
        <v>0</v>
      </c>
      <c r="N28" s="83">
        <f>SUMIFS((vCount vdata),(vName vdata),"="&amp;sName,(vdata vWeek),"="&amp;svWeek)</f>
        <v>0</v>
      </c>
      <c r="O28" s="83">
        <f>SUMIFS((vCount vdata),(vName vdata),"="&amp;sName,(vdata vWeek),"="&amp;svWeek)</f>
        <v>0</v>
      </c>
      <c r="P28" s="83">
        <f>SUMIFS((vCount vdata),(vName vdata),"="&amp;sName,(vdata vWeek),"="&amp;svWeek)</f>
        <v>0</v>
      </c>
      <c r="Q28" s="83">
        <f>SUMIFS((vCount vdata),(vName vdata),"="&amp;sName,(vdata vWeek),"="&amp;svWeek)</f>
        <v>0</v>
      </c>
      <c r="R28" s="84">
        <f>SUMIFS((vCount vdata),(vName vdata),"="&amp;sName,(vdata vWeek),"="&amp;svWeek)</f>
        <v>0</v>
      </c>
      <c r="S28" s="79">
        <f t="shared" si="2"/>
        <v>0</v>
      </c>
      <c r="T28" s="79">
        <f>SUMIFS(svWeeks 28:28, svWeeks svWeek,"&lt;="&amp;svWeek)</f>
        <v>0</v>
      </c>
      <c r="U28" s="79">
        <f>SUMIFS(svWeeks 28:28, svWeeks svWeek,"&lt;="&amp;svWeek)</f>
        <v>0</v>
      </c>
      <c r="V28" s="79">
        <f>SUMIFS(svWeeks 28:28, svWeeks svWeek,"&lt;="&amp;svWeek)</f>
        <v>0</v>
      </c>
      <c r="W28" s="79">
        <f>SUMIFS(svWeeks 28:28, svWeeks svWeek,"&lt;="&amp;svWeek)</f>
        <v>0</v>
      </c>
    </row>
    <row r="29" spans="1:23" s="126" customFormat="1" ht="15" customHeight="1" x14ac:dyDescent="0.2">
      <c r="A29" s="347">
        <f>Roster!B29</f>
        <v>22</v>
      </c>
      <c r="B29" s="102" t="str">
        <f>Roster!C29</f>
        <v>Tsagaach, Enkhbold</v>
      </c>
      <c r="C29" s="82">
        <f>SUMIFS((vCount vdata),(vName vdata),"="&amp;sName,(vdata vWeek),"="&amp;svWeek)</f>
        <v>0</v>
      </c>
      <c r="D29" s="83">
        <f>SUMIFS((vCount vdata),(vName vdata),"="&amp;sName,(vdata vWeek),"="&amp;svWeek)</f>
        <v>0</v>
      </c>
      <c r="E29" s="83">
        <f>SUMIFS((vCount vdata),(vName vdata),"="&amp;sName,(vdata vWeek),"="&amp;svWeek)</f>
        <v>0</v>
      </c>
      <c r="F29" s="83">
        <f>SUMIFS((vCount vdata),(vName vdata),"="&amp;sName,(vdata vWeek),"="&amp;svWeek)</f>
        <v>0</v>
      </c>
      <c r="G29" s="83">
        <f>SUMIFS((vCount vdata),(vName vdata),"="&amp;sName,(vdata vWeek),"="&amp;svWeek)</f>
        <v>0</v>
      </c>
      <c r="H29" s="83">
        <f>SUMIFS((vCount vdata),(vName vdata),"="&amp;sName,(vdata vWeek),"="&amp;svWeek)</f>
        <v>0</v>
      </c>
      <c r="I29" s="83">
        <f>SUMIFS((vCount vdata),(vName vdata),"="&amp;sName,(vdata vWeek),"="&amp;svWeek)</f>
        <v>0</v>
      </c>
      <c r="J29" s="83">
        <f>SUMIFS((vCount vdata),(vName vdata),"="&amp;sName,(vdata vWeek),"="&amp;svWeek)</f>
        <v>0</v>
      </c>
      <c r="K29" s="83">
        <f>SUMIFS((vCount vdata),(vName vdata),"="&amp;sName,(vdata vWeek),"="&amp;svWeek)</f>
        <v>0</v>
      </c>
      <c r="L29" s="83">
        <f>SUMIFS((vCount vdata),(vName vdata),"="&amp;sName,(vdata vWeek),"="&amp;svWeek)</f>
        <v>0</v>
      </c>
      <c r="M29" s="83">
        <f>SUMIFS((vCount vdata),(vName vdata),"="&amp;sName,(vdata vWeek),"="&amp;svWeek)</f>
        <v>0</v>
      </c>
      <c r="N29" s="83">
        <f>SUMIFS((vCount vdata),(vName vdata),"="&amp;sName,(vdata vWeek),"="&amp;svWeek)</f>
        <v>0</v>
      </c>
      <c r="O29" s="83">
        <f>SUMIFS((vCount vdata),(vName vdata),"="&amp;sName,(vdata vWeek),"="&amp;svWeek)</f>
        <v>0</v>
      </c>
      <c r="P29" s="83">
        <f>SUMIFS((vCount vdata),(vName vdata),"="&amp;sName,(vdata vWeek),"="&amp;svWeek)</f>
        <v>0</v>
      </c>
      <c r="Q29" s="83">
        <f>SUMIFS((vCount vdata),(vName vdata),"="&amp;sName,(vdata vWeek),"="&amp;svWeek)</f>
        <v>0</v>
      </c>
      <c r="R29" s="84">
        <f>SUMIFS((vCount vdata),(vName vdata),"="&amp;sName,(vdata vWeek),"="&amp;svWeek)</f>
        <v>0</v>
      </c>
      <c r="S29" s="79">
        <f t="shared" si="2"/>
        <v>0</v>
      </c>
      <c r="T29" s="79">
        <f>SUMIFS(svWeeks 29:29, svWeeks svWeek,"&lt;="&amp;svWeek)</f>
        <v>0</v>
      </c>
      <c r="U29" s="79">
        <f>SUMIFS(svWeeks 29:29, svWeeks svWeek,"&lt;="&amp;svWeek)</f>
        <v>0</v>
      </c>
      <c r="V29" s="79">
        <f>SUMIFS(svWeeks 29:29, svWeeks svWeek,"&lt;="&amp;svWeek)</f>
        <v>0</v>
      </c>
      <c r="W29" s="79">
        <f>SUMIFS(svWeeks 29:29, svWeeks svWeek,"&lt;="&amp;svWeek)</f>
        <v>0</v>
      </c>
    </row>
    <row r="30" spans="1:23" s="126" customFormat="1" ht="15" customHeight="1" x14ac:dyDescent="0.2">
      <c r="A30" s="347">
        <f>Roster!B30</f>
        <v>23</v>
      </c>
      <c r="B30" s="102" t="str">
        <f>Roster!C30</f>
        <v>Turabaev, Orifjon</v>
      </c>
      <c r="C30" s="82">
        <f>SUMIFS((vCount vdata),(vName vdata),"="&amp;sName,(vdata vWeek),"="&amp;svWeek)</f>
        <v>0</v>
      </c>
      <c r="D30" s="83">
        <f>SUMIFS((vCount vdata),(vName vdata),"="&amp;sName,(vdata vWeek),"="&amp;svWeek)</f>
        <v>0</v>
      </c>
      <c r="E30" s="83">
        <f>SUMIFS((vCount vdata),(vName vdata),"="&amp;sName,(vdata vWeek),"="&amp;svWeek)</f>
        <v>0</v>
      </c>
      <c r="F30" s="83">
        <f>SUMIFS((vCount vdata),(vName vdata),"="&amp;sName,(vdata vWeek),"="&amp;svWeek)</f>
        <v>0</v>
      </c>
      <c r="G30" s="83">
        <f>SUMIFS((vCount vdata),(vName vdata),"="&amp;sName,(vdata vWeek),"="&amp;svWeek)</f>
        <v>0</v>
      </c>
      <c r="H30" s="83">
        <f>SUMIFS((vCount vdata),(vName vdata),"="&amp;sName,(vdata vWeek),"="&amp;svWeek)</f>
        <v>0</v>
      </c>
      <c r="I30" s="83">
        <f>SUMIFS((vCount vdata),(vName vdata),"="&amp;sName,(vdata vWeek),"="&amp;svWeek)</f>
        <v>0</v>
      </c>
      <c r="J30" s="83">
        <f>SUMIFS((vCount vdata),(vName vdata),"="&amp;sName,(vdata vWeek),"="&amp;svWeek)</f>
        <v>0</v>
      </c>
      <c r="K30" s="83">
        <f>SUMIFS((vCount vdata),(vName vdata),"="&amp;sName,(vdata vWeek),"="&amp;svWeek)</f>
        <v>0</v>
      </c>
      <c r="L30" s="83">
        <f>SUMIFS((vCount vdata),(vName vdata),"="&amp;sName,(vdata vWeek),"="&amp;svWeek)</f>
        <v>0</v>
      </c>
      <c r="M30" s="83">
        <f>SUMIFS((vCount vdata),(vName vdata),"="&amp;sName,(vdata vWeek),"="&amp;svWeek)</f>
        <v>0</v>
      </c>
      <c r="N30" s="83">
        <f>SUMIFS((vCount vdata),(vName vdata),"="&amp;sName,(vdata vWeek),"="&amp;svWeek)</f>
        <v>0</v>
      </c>
      <c r="O30" s="83">
        <f>SUMIFS((vCount vdata),(vName vdata),"="&amp;sName,(vdata vWeek),"="&amp;svWeek)</f>
        <v>0</v>
      </c>
      <c r="P30" s="83">
        <f>SUMIFS((vCount vdata),(vName vdata),"="&amp;sName,(vdata vWeek),"="&amp;svWeek)</f>
        <v>0</v>
      </c>
      <c r="Q30" s="83">
        <f>SUMIFS((vCount vdata),(vName vdata),"="&amp;sName,(vdata vWeek),"="&amp;svWeek)</f>
        <v>0</v>
      </c>
      <c r="R30" s="84">
        <f>SUMIFS((vCount vdata),(vName vdata),"="&amp;sName,(vdata vWeek),"="&amp;svWeek)</f>
        <v>0</v>
      </c>
      <c r="S30" s="79">
        <f t="shared" si="2"/>
        <v>0</v>
      </c>
      <c r="T30" s="79">
        <f>SUMIFS(svWeeks 30:30, svWeeks svWeek,"&lt;="&amp;svWeek)</f>
        <v>0</v>
      </c>
      <c r="U30" s="79">
        <f>SUMIFS(svWeeks 30:30, svWeeks svWeek,"&lt;="&amp;svWeek)</f>
        <v>0</v>
      </c>
      <c r="V30" s="79">
        <f>SUMIFS(svWeeks 30:30, svWeeks svWeek,"&lt;="&amp;svWeek)</f>
        <v>0</v>
      </c>
      <c r="W30" s="79">
        <f>SUMIFS(svWeeks 30:30, svWeeks svWeek,"&lt;="&amp;svWeek)</f>
        <v>0</v>
      </c>
    </row>
    <row r="31" spans="1:23" s="126" customFormat="1" ht="15" customHeight="1" x14ac:dyDescent="0.2">
      <c r="A31" s="347">
        <f>Roster!B31</f>
        <v>24</v>
      </c>
      <c r="B31" s="102" t="str">
        <f>Roster!C31</f>
        <v>Wang, Huanjie</v>
      </c>
      <c r="C31" s="82">
        <f>SUMIFS((vCount vdata),(vName vdata),"="&amp;sName,(vdata vWeek),"="&amp;svWeek)</f>
        <v>0</v>
      </c>
      <c r="D31" s="83">
        <f>SUMIFS((vCount vdata),(vName vdata),"="&amp;sName,(vdata vWeek),"="&amp;svWeek)</f>
        <v>0</v>
      </c>
      <c r="E31" s="83">
        <f>SUMIFS((vCount vdata),(vName vdata),"="&amp;sName,(vdata vWeek),"="&amp;svWeek)</f>
        <v>0</v>
      </c>
      <c r="F31" s="83">
        <f>SUMIFS((vCount vdata),(vName vdata),"="&amp;sName,(vdata vWeek),"="&amp;svWeek)</f>
        <v>0</v>
      </c>
      <c r="G31" s="83">
        <f>SUMIFS((vCount vdata),(vName vdata),"="&amp;sName,(vdata vWeek),"="&amp;svWeek)</f>
        <v>0</v>
      </c>
      <c r="H31" s="83">
        <f>SUMIFS((vCount vdata),(vName vdata),"="&amp;sName,(vdata vWeek),"="&amp;svWeek)</f>
        <v>0</v>
      </c>
      <c r="I31" s="83">
        <f>SUMIFS((vCount vdata),(vName vdata),"="&amp;sName,(vdata vWeek),"="&amp;svWeek)</f>
        <v>0</v>
      </c>
      <c r="J31" s="83">
        <f>SUMIFS((vCount vdata),(vName vdata),"="&amp;sName,(vdata vWeek),"="&amp;svWeek)</f>
        <v>0</v>
      </c>
      <c r="K31" s="83">
        <f>SUMIFS((vCount vdata),(vName vdata),"="&amp;sName,(vdata vWeek),"="&amp;svWeek)</f>
        <v>0</v>
      </c>
      <c r="L31" s="83">
        <f>SUMIFS((vCount vdata),(vName vdata),"="&amp;sName,(vdata vWeek),"="&amp;svWeek)</f>
        <v>0</v>
      </c>
      <c r="M31" s="83">
        <f>SUMIFS((vCount vdata),(vName vdata),"="&amp;sName,(vdata vWeek),"="&amp;svWeek)</f>
        <v>0</v>
      </c>
      <c r="N31" s="83">
        <f>SUMIFS((vCount vdata),(vName vdata),"="&amp;sName,(vdata vWeek),"="&amp;svWeek)</f>
        <v>0</v>
      </c>
      <c r="O31" s="83">
        <f>SUMIFS((vCount vdata),(vName vdata),"="&amp;sName,(vdata vWeek),"="&amp;svWeek)</f>
        <v>0</v>
      </c>
      <c r="P31" s="83">
        <f>SUMIFS((vCount vdata),(vName vdata),"="&amp;sName,(vdata vWeek),"="&amp;svWeek)</f>
        <v>0</v>
      </c>
      <c r="Q31" s="83">
        <f>SUMIFS((vCount vdata),(vName vdata),"="&amp;sName,(vdata vWeek),"="&amp;svWeek)</f>
        <v>0</v>
      </c>
      <c r="R31" s="84">
        <f>SUMIFS((vCount vdata),(vName vdata),"="&amp;sName,(vdata vWeek),"="&amp;svWeek)</f>
        <v>0</v>
      </c>
      <c r="S31" s="79">
        <f t="shared" si="2"/>
        <v>0</v>
      </c>
      <c r="T31" s="79">
        <f>SUMIFS(svWeeks 31:31, svWeeks svWeek,"&lt;="&amp;svWeek)</f>
        <v>0</v>
      </c>
      <c r="U31" s="79">
        <f>SUMIFS(svWeeks 31:31, svWeeks svWeek,"&lt;="&amp;svWeek)</f>
        <v>0</v>
      </c>
      <c r="V31" s="79">
        <f>SUMIFS(svWeeks 31:31, svWeeks svWeek,"&lt;="&amp;svWeek)</f>
        <v>0</v>
      </c>
      <c r="W31" s="79">
        <f>SUMIFS(svWeeks 31:31, svWeeks svWeek,"&lt;="&amp;svWeek)</f>
        <v>0</v>
      </c>
    </row>
    <row r="32" spans="1:23" s="126" customFormat="1" ht="15" customHeight="1" x14ac:dyDescent="0.2">
      <c r="A32" s="347">
        <f>Roster!B32</f>
        <v>25</v>
      </c>
      <c r="B32" s="102" t="str">
        <f>Roster!C32</f>
        <v>Wang, Zhenguo</v>
      </c>
      <c r="C32" s="82">
        <f>SUMIFS((vCount vdata),(vName vdata),"="&amp;sName,(vdata vWeek),"="&amp;svWeek)</f>
        <v>0</v>
      </c>
      <c r="D32" s="83">
        <f>SUMIFS((vCount vdata),(vName vdata),"="&amp;sName,(vdata vWeek),"="&amp;svWeek)</f>
        <v>0</v>
      </c>
      <c r="E32" s="83">
        <f>SUMIFS((vCount vdata),(vName vdata),"="&amp;sName,(vdata vWeek),"="&amp;svWeek)</f>
        <v>0</v>
      </c>
      <c r="F32" s="83">
        <f>SUMIFS((vCount vdata),(vName vdata),"="&amp;sName,(vdata vWeek),"="&amp;svWeek)</f>
        <v>0</v>
      </c>
      <c r="G32" s="83">
        <f>SUMIFS((vCount vdata),(vName vdata),"="&amp;sName,(vdata vWeek),"="&amp;svWeek)</f>
        <v>0</v>
      </c>
      <c r="H32" s="83">
        <f>SUMIFS((vCount vdata),(vName vdata),"="&amp;sName,(vdata vWeek),"="&amp;svWeek)</f>
        <v>0</v>
      </c>
      <c r="I32" s="83">
        <f>SUMIFS((vCount vdata),(vName vdata),"="&amp;sName,(vdata vWeek),"="&amp;svWeek)</f>
        <v>0</v>
      </c>
      <c r="J32" s="83">
        <f>SUMIFS((vCount vdata),(vName vdata),"="&amp;sName,(vdata vWeek),"="&amp;svWeek)</f>
        <v>0</v>
      </c>
      <c r="K32" s="83">
        <f>SUMIFS((vCount vdata),(vName vdata),"="&amp;sName,(vdata vWeek),"="&amp;svWeek)</f>
        <v>0</v>
      </c>
      <c r="L32" s="83">
        <f>SUMIFS((vCount vdata),(vName vdata),"="&amp;sName,(vdata vWeek),"="&amp;svWeek)</f>
        <v>0</v>
      </c>
      <c r="M32" s="83">
        <f>SUMIFS((vCount vdata),(vName vdata),"="&amp;sName,(vdata vWeek),"="&amp;svWeek)</f>
        <v>0</v>
      </c>
      <c r="N32" s="83">
        <f>SUMIFS((vCount vdata),(vName vdata),"="&amp;sName,(vdata vWeek),"="&amp;svWeek)</f>
        <v>0</v>
      </c>
      <c r="O32" s="83">
        <f>SUMIFS((vCount vdata),(vName vdata),"="&amp;sName,(vdata vWeek),"="&amp;svWeek)</f>
        <v>0</v>
      </c>
      <c r="P32" s="83">
        <f>SUMIFS((vCount vdata),(vName vdata),"="&amp;sName,(vdata vWeek),"="&amp;svWeek)</f>
        <v>0</v>
      </c>
      <c r="Q32" s="83">
        <f>SUMIFS((vCount vdata),(vName vdata),"="&amp;sName,(vdata vWeek),"="&amp;svWeek)</f>
        <v>0</v>
      </c>
      <c r="R32" s="84">
        <f>SUMIFS((vCount vdata),(vName vdata),"="&amp;sName,(vdata vWeek),"="&amp;svWeek)</f>
        <v>0</v>
      </c>
      <c r="S32" s="79">
        <f t="shared" si="2"/>
        <v>0</v>
      </c>
      <c r="T32" s="79">
        <f>SUMIFS(svWeeks 32:32, svWeeks svWeek,"&lt;="&amp;svWeek)</f>
        <v>0</v>
      </c>
      <c r="U32" s="79">
        <f>SUMIFS(svWeeks 32:32, svWeeks svWeek,"&lt;="&amp;svWeek)</f>
        <v>0</v>
      </c>
      <c r="V32" s="79">
        <f>SUMIFS(svWeeks 32:32, svWeeks svWeek,"&lt;="&amp;svWeek)</f>
        <v>0</v>
      </c>
      <c r="W32" s="79">
        <f>SUMIFS(svWeeks 32:32, svWeeks svWeek,"&lt;="&amp;svWeek)</f>
        <v>0</v>
      </c>
    </row>
    <row r="33" spans="1:23" s="126" customFormat="1" ht="15" customHeight="1" x14ac:dyDescent="0.2">
      <c r="A33" s="347">
        <f>Roster!B33</f>
        <v>26</v>
      </c>
      <c r="B33" s="102" t="str">
        <f>Roster!C33</f>
        <v>Yousuf, Sundus</v>
      </c>
      <c r="C33" s="82">
        <f>SUMIFS((vCount vdata),(vName vdata),"="&amp;sName,(vdata vWeek),"="&amp;svWeek)</f>
        <v>0</v>
      </c>
      <c r="D33" s="83">
        <f>SUMIFS((vCount vdata),(vName vdata),"="&amp;sName,(vdata vWeek),"="&amp;svWeek)</f>
        <v>0</v>
      </c>
      <c r="E33" s="83">
        <f>SUMIFS((vCount vdata),(vName vdata),"="&amp;sName,(vdata vWeek),"="&amp;svWeek)</f>
        <v>0</v>
      </c>
      <c r="F33" s="83">
        <f>SUMIFS((vCount vdata),(vName vdata),"="&amp;sName,(vdata vWeek),"="&amp;svWeek)</f>
        <v>0</v>
      </c>
      <c r="G33" s="83">
        <f>SUMIFS((vCount vdata),(vName vdata),"="&amp;sName,(vdata vWeek),"="&amp;svWeek)</f>
        <v>0</v>
      </c>
      <c r="H33" s="83">
        <f>SUMIFS((vCount vdata),(vName vdata),"="&amp;sName,(vdata vWeek),"="&amp;svWeek)</f>
        <v>0</v>
      </c>
      <c r="I33" s="83">
        <f>SUMIFS((vCount vdata),(vName vdata),"="&amp;sName,(vdata vWeek),"="&amp;svWeek)</f>
        <v>0</v>
      </c>
      <c r="J33" s="83">
        <f>SUMIFS((vCount vdata),(vName vdata),"="&amp;sName,(vdata vWeek),"="&amp;svWeek)</f>
        <v>0</v>
      </c>
      <c r="K33" s="83">
        <f>SUMIFS((vCount vdata),(vName vdata),"="&amp;sName,(vdata vWeek),"="&amp;svWeek)</f>
        <v>0</v>
      </c>
      <c r="L33" s="83">
        <f>SUMIFS((vCount vdata),(vName vdata),"="&amp;sName,(vdata vWeek),"="&amp;svWeek)</f>
        <v>0</v>
      </c>
      <c r="M33" s="83">
        <f>SUMIFS((vCount vdata),(vName vdata),"="&amp;sName,(vdata vWeek),"="&amp;svWeek)</f>
        <v>0</v>
      </c>
      <c r="N33" s="83">
        <f>SUMIFS((vCount vdata),(vName vdata),"="&amp;sName,(vdata vWeek),"="&amp;svWeek)</f>
        <v>0</v>
      </c>
      <c r="O33" s="83">
        <f>SUMIFS((vCount vdata),(vName vdata),"="&amp;sName,(vdata vWeek),"="&amp;svWeek)</f>
        <v>0</v>
      </c>
      <c r="P33" s="83">
        <f>SUMIFS((vCount vdata),(vName vdata),"="&amp;sName,(vdata vWeek),"="&amp;svWeek)</f>
        <v>0</v>
      </c>
      <c r="Q33" s="83">
        <f>SUMIFS((vCount vdata),(vName vdata),"="&amp;sName,(vdata vWeek),"="&amp;svWeek)</f>
        <v>0</v>
      </c>
      <c r="R33" s="84">
        <f>SUMIFS((vCount vdata),(vName vdata),"="&amp;sName,(vdata vWeek),"="&amp;svWeek)</f>
        <v>0</v>
      </c>
      <c r="S33" s="79">
        <f t="shared" si="2"/>
        <v>0</v>
      </c>
      <c r="T33" s="79">
        <f>SUMIFS(svWeeks 33:33, svWeeks svWeek,"&lt;="&amp;svWeek)</f>
        <v>0</v>
      </c>
      <c r="U33" s="79">
        <f>SUMIFS(svWeeks 33:33, svWeeks svWeek,"&lt;="&amp;svWeek)</f>
        <v>0</v>
      </c>
      <c r="V33" s="79">
        <f>SUMIFS(svWeeks 33:33, svWeeks svWeek,"&lt;="&amp;svWeek)</f>
        <v>0</v>
      </c>
      <c r="W33" s="79">
        <f>SUMIFS(svWeeks 33:33, svWeeks svWeek,"&lt;="&amp;svWeek)</f>
        <v>0</v>
      </c>
    </row>
    <row r="34" spans="1:23" s="126" customFormat="1" ht="15" customHeight="1" thickBot="1" x14ac:dyDescent="0.25">
      <c r="A34" s="347">
        <f>Roster!B34</f>
        <v>27</v>
      </c>
      <c r="B34" s="102" t="str">
        <f>Roster!C34</f>
        <v>Zakaria, Danial</v>
      </c>
      <c r="C34" s="82">
        <f>SUMIFS((vCount vdata),(vName vdata),"="&amp;sName,(vdata vWeek),"="&amp;svWeek)</f>
        <v>0</v>
      </c>
      <c r="D34" s="83">
        <f>SUMIFS((vCount vdata),(vName vdata),"="&amp;sName,(vdata vWeek),"="&amp;svWeek)</f>
        <v>0</v>
      </c>
      <c r="E34" s="83">
        <f>SUMIFS((vCount vdata),(vName vdata),"="&amp;sName,(vdata vWeek),"="&amp;svWeek)</f>
        <v>0</v>
      </c>
      <c r="F34" s="83">
        <f>SUMIFS((vCount vdata),(vName vdata),"="&amp;sName,(vdata vWeek),"="&amp;svWeek)</f>
        <v>0</v>
      </c>
      <c r="G34" s="83">
        <f>SUMIFS((vCount vdata),(vName vdata),"="&amp;sName,(vdata vWeek),"="&amp;svWeek)</f>
        <v>0</v>
      </c>
      <c r="H34" s="83">
        <f>SUMIFS((vCount vdata),(vName vdata),"="&amp;sName,(vdata vWeek),"="&amp;svWeek)</f>
        <v>0</v>
      </c>
      <c r="I34" s="83">
        <f>SUMIFS((vCount vdata),(vName vdata),"="&amp;sName,(vdata vWeek),"="&amp;svWeek)</f>
        <v>0</v>
      </c>
      <c r="J34" s="83">
        <f>SUMIFS((vCount vdata),(vName vdata),"="&amp;sName,(vdata vWeek),"="&amp;svWeek)</f>
        <v>0</v>
      </c>
      <c r="K34" s="83">
        <f>SUMIFS((vCount vdata),(vName vdata),"="&amp;sName,(vdata vWeek),"="&amp;svWeek)</f>
        <v>0</v>
      </c>
      <c r="L34" s="83">
        <f>SUMIFS((vCount vdata),(vName vdata),"="&amp;sName,(vdata vWeek),"="&amp;svWeek)</f>
        <v>0</v>
      </c>
      <c r="M34" s="83">
        <f>SUMIFS((vCount vdata),(vName vdata),"="&amp;sName,(vdata vWeek),"="&amp;svWeek)</f>
        <v>0</v>
      </c>
      <c r="N34" s="83">
        <f>SUMIFS((vCount vdata),(vName vdata),"="&amp;sName,(vdata vWeek),"="&amp;svWeek)</f>
        <v>0</v>
      </c>
      <c r="O34" s="83">
        <f>SUMIFS((vCount vdata),(vName vdata),"="&amp;sName,(vdata vWeek),"="&amp;svWeek)</f>
        <v>0</v>
      </c>
      <c r="P34" s="83">
        <f>SUMIFS((vCount vdata),(vName vdata),"="&amp;sName,(vdata vWeek),"="&amp;svWeek)</f>
        <v>0</v>
      </c>
      <c r="Q34" s="83">
        <f>SUMIFS((vCount vdata),(vName vdata),"="&amp;sName,(vdata vWeek),"="&amp;svWeek)</f>
        <v>0</v>
      </c>
      <c r="R34" s="84">
        <f>SUMIFS((vCount vdata),(vName vdata),"="&amp;sName,(vdata vWeek),"="&amp;svWeek)</f>
        <v>0</v>
      </c>
      <c r="S34" s="79">
        <f t="shared" si="2"/>
        <v>0</v>
      </c>
      <c r="T34" s="79">
        <f>SUMIFS(svWeeks 34:34, svWeeks svWeek,"&lt;="&amp;svWeek)</f>
        <v>0</v>
      </c>
      <c r="U34" s="79">
        <f>SUMIFS(svWeeks 34:34, svWeeks svWeek,"&lt;="&amp;svWeek)</f>
        <v>0</v>
      </c>
      <c r="V34" s="79">
        <f>SUMIFS(svWeeks 34:34, svWeeks svWeek,"&lt;="&amp;svWeek)</f>
        <v>0</v>
      </c>
      <c r="W34" s="79">
        <f>SUMIFS(svWeeks 34:34, svWeeks svWeek,"&lt;="&amp;svWeek)</f>
        <v>0</v>
      </c>
    </row>
    <row r="35" spans="1:23" ht="4.5" customHeight="1" thickTop="1" x14ac:dyDescent="0.2">
      <c r="B35" s="103"/>
      <c r="C35" s="104"/>
      <c r="D35" s="105"/>
      <c r="E35" s="105"/>
      <c r="F35" s="105"/>
      <c r="G35" s="105"/>
      <c r="H35" s="105"/>
      <c r="I35" s="105"/>
      <c r="J35" s="105"/>
      <c r="K35" s="105"/>
      <c r="L35" s="105"/>
      <c r="M35" s="105"/>
      <c r="N35" s="105"/>
      <c r="O35" s="105"/>
      <c r="P35" s="105"/>
      <c r="Q35" s="105"/>
      <c r="R35" s="106"/>
      <c r="S35" s="107"/>
      <c r="T35" s="108"/>
      <c r="U35" s="108"/>
      <c r="V35" s="108"/>
      <c r="W35" s="108"/>
    </row>
    <row r="36" spans="1:23" x14ac:dyDescent="0.2">
      <c r="B36" s="80">
        <f>COUNTA(VisitData sfName)</f>
        <v>27</v>
      </c>
      <c r="C36" s="85">
        <f t="shared" ref="C36:R36" si="3">SUM(C8:C35)</f>
        <v>0</v>
      </c>
      <c r="D36" s="86">
        <f t="shared" si="3"/>
        <v>0</v>
      </c>
      <c r="E36" s="86">
        <f t="shared" si="3"/>
        <v>0</v>
      </c>
      <c r="F36" s="86">
        <f t="shared" si="3"/>
        <v>0</v>
      </c>
      <c r="G36" s="86">
        <f t="shared" si="3"/>
        <v>0</v>
      </c>
      <c r="H36" s="86">
        <f t="shared" si="3"/>
        <v>0</v>
      </c>
      <c r="I36" s="86">
        <f t="shared" si="3"/>
        <v>0</v>
      </c>
      <c r="J36" s="86">
        <f t="shared" si="3"/>
        <v>0</v>
      </c>
      <c r="K36" s="86">
        <f t="shared" si="3"/>
        <v>0</v>
      </c>
      <c r="L36" s="86">
        <f t="shared" si="3"/>
        <v>0</v>
      </c>
      <c r="M36" s="86">
        <f t="shared" si="3"/>
        <v>0</v>
      </c>
      <c r="N36" s="86">
        <f t="shared" si="3"/>
        <v>0</v>
      </c>
      <c r="O36" s="86">
        <f t="shared" si="3"/>
        <v>0</v>
      </c>
      <c r="P36" s="86">
        <f t="shared" si="3"/>
        <v>0</v>
      </c>
      <c r="Q36" s="86">
        <f t="shared" si="3"/>
        <v>0</v>
      </c>
      <c r="R36" s="87">
        <f t="shared" si="3"/>
        <v>0</v>
      </c>
      <c r="S36" s="81">
        <f>SUM(C36:R36)</f>
        <v>0</v>
      </c>
      <c r="T36" s="76" t="str">
        <f>IF(sTot 36:36=SUM(sTot sData),"","Audit!")</f>
        <v/>
      </c>
      <c r="U36" s="76"/>
      <c r="V36" s="76"/>
      <c r="W36" s="76"/>
    </row>
    <row r="37" spans="1:23" x14ac:dyDescent="0.2">
      <c r="B37" s="72" t="str">
        <f>IF(B36=Roster!D4,"","Names Missing?")</f>
        <v/>
      </c>
      <c r="S37" s="91" t="s">
        <v>64</v>
      </c>
      <c r="T37" s="92">
        <f>COUNTIF(T:T vNames,"&gt;0")</f>
        <v>0</v>
      </c>
      <c r="U37" s="92">
        <f>COUNTIF(U:U vNames,"&gt;0")</f>
        <v>0</v>
      </c>
      <c r="V37" s="92">
        <f>COUNTIF(V:V vNames,"&gt;0")</f>
        <v>0</v>
      </c>
      <c r="W37" s="92">
        <f>COUNTIF(W:W vNames,"&gt;0")</f>
        <v>0</v>
      </c>
    </row>
    <row r="38" spans="1:23" x14ac:dyDescent="0.2">
      <c r="S38" s="91" t="s">
        <v>65</v>
      </c>
      <c r="T38" s="93">
        <f>scount-T37</f>
        <v>27</v>
      </c>
      <c r="U38" s="93">
        <f>scount-U37</f>
        <v>27</v>
      </c>
      <c r="V38" s="93">
        <f>scount-V37</f>
        <v>27</v>
      </c>
      <c r="W38" s="93">
        <f>scount-W37</f>
        <v>27</v>
      </c>
    </row>
  </sheetData>
  <mergeCells count="1">
    <mergeCell ref="C5:S5"/>
  </mergeCells>
  <conditionalFormatting sqref="C8 C9:S16 T8:U16">
    <cfRule type="cellIs" dxfId="21" priority="20" operator="lessThan">
      <formula>1</formula>
    </cfRule>
  </conditionalFormatting>
  <conditionalFormatting sqref="D8:R8">
    <cfRule type="cellIs" dxfId="20" priority="17" operator="lessThan">
      <formula>1</formula>
    </cfRule>
  </conditionalFormatting>
  <conditionalFormatting sqref="S8">
    <cfRule type="cellIs" dxfId="19" priority="16" operator="lessThan">
      <formula>1</formula>
    </cfRule>
  </conditionalFormatting>
  <conditionalFormatting sqref="V8:W16">
    <cfRule type="cellIs" dxfId="18" priority="11" operator="lessThan">
      <formula>1</formula>
    </cfRule>
  </conditionalFormatting>
  <conditionalFormatting sqref="C17:U24">
    <cfRule type="cellIs" dxfId="17" priority="10" operator="lessThan">
      <formula>1</formula>
    </cfRule>
  </conditionalFormatting>
  <conditionalFormatting sqref="V17:W24">
    <cfRule type="cellIs" dxfId="16" priority="9" operator="lessThan">
      <formula>1</formula>
    </cfRule>
  </conditionalFormatting>
  <conditionalFormatting sqref="C25:U34">
    <cfRule type="cellIs" dxfId="15" priority="2" operator="lessThan">
      <formula>1</formula>
    </cfRule>
  </conditionalFormatting>
  <conditionalFormatting sqref="V25:W34">
    <cfRule type="cellIs" dxfId="14" priority="1" operator="lessThan">
      <formula>1</formula>
    </cfRule>
  </conditionalFormatting>
  <pageMargins left="0.7" right="0.7" top="0.75" bottom="0.75" header="0.3" footer="0.3"/>
  <pageSetup scale="73"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46"/>
  <sheetViews>
    <sheetView zoomScale="85" zoomScaleNormal="85" workbookViewId="0">
      <pane xSplit="2" ySplit="6" topLeftCell="C7" activePane="bottomRight" state="frozen"/>
      <selection pane="topRight" activeCell="C1" sqref="C1"/>
      <selection pane="bottomLeft" activeCell="A7" sqref="A7"/>
      <selection pane="bottomRight" activeCell="C8" sqref="C8:F8"/>
    </sheetView>
  </sheetViews>
  <sheetFormatPr defaultRowHeight="15" x14ac:dyDescent="0.25"/>
  <cols>
    <col min="1" max="1" width="5.42578125" customWidth="1"/>
    <col min="2" max="2" width="21.42578125" customWidth="1"/>
  </cols>
  <sheetData>
    <row r="1" spans="1:19" ht="18" x14ac:dyDescent="0.25">
      <c r="A1" s="56" t="str">
        <f>CourseName</f>
        <v>Cs525 ASD - Fall 2012</v>
      </c>
    </row>
    <row r="2" spans="1:19" ht="15.75" x14ac:dyDescent="0.25">
      <c r="A2" s="269" t="s">
        <v>224</v>
      </c>
    </row>
    <row r="3" spans="1:19" ht="15.75" x14ac:dyDescent="0.25">
      <c r="A3" s="269"/>
    </row>
    <row r="4" spans="1:19" x14ac:dyDescent="0.25">
      <c r="A4" s="126"/>
      <c r="B4" s="126"/>
      <c r="C4" s="387" t="s">
        <v>9</v>
      </c>
      <c r="D4" s="388"/>
      <c r="E4" s="388"/>
      <c r="F4" s="388"/>
      <c r="G4" s="388"/>
      <c r="H4" s="388"/>
      <c r="I4" s="388"/>
      <c r="J4" s="388"/>
      <c r="K4" s="388"/>
      <c r="L4" s="388"/>
      <c r="M4" s="388"/>
      <c r="N4" s="388"/>
      <c r="O4" s="388"/>
      <c r="P4" s="388"/>
      <c r="Q4" s="388"/>
      <c r="R4" s="388"/>
      <c r="S4" s="389"/>
    </row>
    <row r="5" spans="1:19" ht="15.75" thickBot="1" x14ac:dyDescent="0.3">
      <c r="A5" s="126"/>
      <c r="B5" s="77" t="s">
        <v>1</v>
      </c>
      <c r="C5" s="78">
        <v>1</v>
      </c>
      <c r="D5" s="78">
        <v>2</v>
      </c>
      <c r="E5" s="78">
        <v>3</v>
      </c>
      <c r="F5" s="78">
        <v>4</v>
      </c>
      <c r="G5" s="78">
        <v>5</v>
      </c>
      <c r="H5" s="78">
        <v>6</v>
      </c>
      <c r="I5" s="78">
        <v>7</v>
      </c>
      <c r="J5" s="78">
        <v>8</v>
      </c>
      <c r="K5" s="78">
        <v>9</v>
      </c>
      <c r="L5" s="78">
        <v>10</v>
      </c>
      <c r="M5" s="78">
        <v>11</v>
      </c>
      <c r="N5" s="78">
        <v>12</v>
      </c>
      <c r="O5" s="78">
        <v>13</v>
      </c>
      <c r="P5" s="78">
        <v>14</v>
      </c>
      <c r="Q5" s="78">
        <v>15</v>
      </c>
      <c r="R5" s="78">
        <v>16</v>
      </c>
      <c r="S5" s="78" t="s">
        <v>4</v>
      </c>
    </row>
    <row r="6" spans="1:19" ht="6.75" customHeight="1" thickTop="1" x14ac:dyDescent="0.25">
      <c r="A6" s="126"/>
      <c r="B6" s="103"/>
      <c r="C6" s="104"/>
      <c r="D6" s="105"/>
      <c r="E6" s="105"/>
      <c r="F6" s="105"/>
      <c r="G6" s="105"/>
      <c r="H6" s="105"/>
      <c r="I6" s="105"/>
      <c r="J6" s="105"/>
      <c r="K6" s="105"/>
      <c r="L6" s="105"/>
      <c r="M6" s="105"/>
      <c r="N6" s="105"/>
      <c r="O6" s="105"/>
      <c r="P6" s="105"/>
      <c r="Q6" s="105"/>
      <c r="R6" s="106"/>
      <c r="S6" s="107"/>
    </row>
    <row r="7" spans="1:19" x14ac:dyDescent="0.25">
      <c r="A7" s="214">
        <v>1</v>
      </c>
      <c r="B7" s="102" t="str">
        <f>Roster!C8</f>
        <v>Abdalgni, Khalid</v>
      </c>
      <c r="C7" s="82">
        <f>COUNTIFS((Submissions!name Submissions!Data),"="&amp;subName,(Submissions!Data Submissions!sWeek),"="&amp;sWeek)</f>
        <v>0</v>
      </c>
      <c r="D7" s="83">
        <f>COUNTIFS((Submissions!name Submissions!Data),"="&amp;subName,(Submissions!Data Submissions!sWeek),"="&amp;sWeek)</f>
        <v>0</v>
      </c>
      <c r="E7" s="83">
        <f>COUNTIFS((Submissions!name Submissions!Data),"="&amp;subName,(Submissions!Data Submissions!sWeek),"="&amp;sWeek)</f>
        <v>0</v>
      </c>
      <c r="F7" s="83">
        <f>COUNTIFS((Submissions!name Submissions!Data),"="&amp;subName,(Submissions!Data Submissions!sWeek),"="&amp;sWeek)</f>
        <v>0</v>
      </c>
      <c r="G7" s="83">
        <f>COUNTIFS((Submissions!name Submissions!Data),"="&amp;subName,(Submissions!Data Submissions!sWeek),"="&amp;sWeek)</f>
        <v>0</v>
      </c>
      <c r="H7" s="83">
        <f>COUNTIFS((Submissions!name Submissions!Data),"="&amp;subName,(Submissions!Data Submissions!sWeek),"="&amp;sWeek)</f>
        <v>0</v>
      </c>
      <c r="I7" s="83">
        <f>COUNTIFS((Submissions!name Submissions!Data),"="&amp;subName,(Submissions!Data Submissions!sWeek),"="&amp;sWeek)</f>
        <v>0</v>
      </c>
      <c r="J7" s="83">
        <f>COUNTIFS((Submissions!name Submissions!Data),"="&amp;subName,(Submissions!Data Submissions!sWeek),"="&amp;sWeek)</f>
        <v>0</v>
      </c>
      <c r="K7" s="83">
        <f>COUNTIFS((Submissions!name Submissions!Data),"="&amp;subName,(Submissions!Data Submissions!sWeek),"="&amp;sWeek)</f>
        <v>0</v>
      </c>
      <c r="L7" s="83">
        <f>COUNTIFS((Submissions!name Submissions!Data),"="&amp;subName,(Submissions!Data Submissions!sWeek),"="&amp;sWeek)</f>
        <v>0</v>
      </c>
      <c r="M7" s="83">
        <f>COUNTIFS((Submissions!name Submissions!Data),"="&amp;subName,(Submissions!Data Submissions!sWeek),"="&amp;sWeek)</f>
        <v>0</v>
      </c>
      <c r="N7" s="83">
        <f>COUNTIFS((Submissions!name Submissions!Data),"="&amp;subName,(Submissions!Data Submissions!sWeek),"="&amp;sWeek)</f>
        <v>0</v>
      </c>
      <c r="O7" s="83">
        <f>COUNTIFS((Submissions!name Submissions!Data),"="&amp;subName,(Submissions!Data Submissions!sWeek),"="&amp;sWeek)</f>
        <v>0</v>
      </c>
      <c r="P7" s="83">
        <f>COUNTIFS((Submissions!name Submissions!Data),"="&amp;subName,(Submissions!Data Submissions!sWeek),"="&amp;sWeek)</f>
        <v>0</v>
      </c>
      <c r="Q7" s="83">
        <f>COUNTIFS((Submissions!name Submissions!Data),"="&amp;subName,(Submissions!Data Submissions!sWeek),"="&amp;sWeek)</f>
        <v>0</v>
      </c>
      <c r="R7" s="83">
        <f>COUNTIFS((Submissions!name Submissions!Data),"="&amp;subName,(Submissions!Data Submissions!sWeek),"="&amp;sWeek)</f>
        <v>0</v>
      </c>
      <c r="S7" s="79">
        <f t="shared" ref="S7:S22" si="0">SUM(C7:R7)</f>
        <v>0</v>
      </c>
    </row>
    <row r="8" spans="1:19" x14ac:dyDescent="0.25">
      <c r="A8" s="217">
        <v>2</v>
      </c>
      <c r="B8" s="102" t="str">
        <f>Roster!C9</f>
        <v>Alam, Md. Ashraful</v>
      </c>
      <c r="C8" s="82">
        <f>COUNTIFS((Submissions!name Submissions!Data),"="&amp;subName,(Submissions!Data Submissions!sWeek),"="&amp;sWeek)</f>
        <v>0</v>
      </c>
      <c r="D8" s="83">
        <f>COUNTIFS((Submissions!name Submissions!Data),"="&amp;subName,(Submissions!Data Submissions!sWeek),"="&amp;sWeek)</f>
        <v>0</v>
      </c>
      <c r="E8" s="83">
        <f>COUNTIFS((Submissions!name Submissions!Data),"="&amp;subName,(Submissions!Data Submissions!sWeek),"="&amp;sWeek)</f>
        <v>0</v>
      </c>
      <c r="F8" s="83">
        <f>COUNTIFS((Submissions!name Submissions!Data),"="&amp;subName,(Submissions!Data Submissions!sWeek),"="&amp;sWeek)</f>
        <v>0</v>
      </c>
      <c r="G8" s="83">
        <f>COUNTIFS((Submissions!name Submissions!Data),"="&amp;subName,(Submissions!Data Submissions!sWeek),"="&amp;sWeek)</f>
        <v>0</v>
      </c>
      <c r="H8" s="83">
        <f>COUNTIFS((Submissions!name Submissions!Data),"="&amp;subName,(Submissions!Data Submissions!sWeek),"="&amp;sWeek)</f>
        <v>0</v>
      </c>
      <c r="I8" s="83">
        <f>COUNTIFS((Submissions!name Submissions!Data),"="&amp;subName,(Submissions!Data Submissions!sWeek),"="&amp;sWeek)</f>
        <v>0</v>
      </c>
      <c r="J8" s="83">
        <f>COUNTIFS((Submissions!name Submissions!Data),"="&amp;subName,(Submissions!Data Submissions!sWeek),"="&amp;sWeek)</f>
        <v>0</v>
      </c>
      <c r="K8" s="83">
        <f>COUNTIFS((Submissions!name Submissions!Data),"="&amp;subName,(Submissions!Data Submissions!sWeek),"="&amp;sWeek)</f>
        <v>0</v>
      </c>
      <c r="L8" s="83">
        <f>COUNTIFS((Submissions!name Submissions!Data),"="&amp;subName,(Submissions!Data Submissions!sWeek),"="&amp;sWeek)</f>
        <v>0</v>
      </c>
      <c r="M8" s="83">
        <f>COUNTIFS((Submissions!name Submissions!Data),"="&amp;subName,(Submissions!Data Submissions!sWeek),"="&amp;sWeek)</f>
        <v>0</v>
      </c>
      <c r="N8" s="83">
        <f>COUNTIFS((Submissions!name Submissions!Data),"="&amp;subName,(Submissions!Data Submissions!sWeek),"="&amp;sWeek)</f>
        <v>0</v>
      </c>
      <c r="O8" s="83">
        <f>COUNTIFS((Submissions!name Submissions!Data),"="&amp;subName,(Submissions!Data Submissions!sWeek),"="&amp;sWeek)</f>
        <v>0</v>
      </c>
      <c r="P8" s="83">
        <f>COUNTIFS((Submissions!name Submissions!Data),"="&amp;subName,(Submissions!Data Submissions!sWeek),"="&amp;sWeek)</f>
        <v>0</v>
      </c>
      <c r="Q8" s="83">
        <f>COUNTIFS((Submissions!name Submissions!Data),"="&amp;subName,(Submissions!Data Submissions!sWeek),"="&amp;sWeek)</f>
        <v>0</v>
      </c>
      <c r="R8" s="83">
        <f>COUNTIFS((Submissions!name Submissions!Data),"="&amp;subName,(Submissions!Data Submissions!sWeek),"="&amp;sWeek)</f>
        <v>0</v>
      </c>
      <c r="S8" s="79">
        <f t="shared" si="0"/>
        <v>0</v>
      </c>
    </row>
    <row r="9" spans="1:19" x14ac:dyDescent="0.25">
      <c r="A9" s="217">
        <v>3</v>
      </c>
      <c r="B9" s="102" t="str">
        <f>Roster!C10</f>
        <v>Bold, Khasan</v>
      </c>
      <c r="C9" s="82">
        <f>COUNTIFS((Submissions!name Submissions!Data),"="&amp;subName,(Submissions!Data Submissions!sWeek),"="&amp;sWeek)</f>
        <v>0</v>
      </c>
      <c r="D9" s="83">
        <f>COUNTIFS((Submissions!name Submissions!Data),"="&amp;subName,(Submissions!Data Submissions!sWeek),"="&amp;sWeek)</f>
        <v>0</v>
      </c>
      <c r="E9" s="83">
        <f>COUNTIFS((Submissions!name Submissions!Data),"="&amp;subName,(Submissions!Data Submissions!sWeek),"="&amp;sWeek)</f>
        <v>0</v>
      </c>
      <c r="F9" s="83">
        <f>COUNTIFS((Submissions!name Submissions!Data),"="&amp;subName,(Submissions!Data Submissions!sWeek),"="&amp;sWeek)</f>
        <v>0</v>
      </c>
      <c r="G9" s="83">
        <f>COUNTIFS((Submissions!name Submissions!Data),"="&amp;subName,(Submissions!Data Submissions!sWeek),"="&amp;sWeek)</f>
        <v>0</v>
      </c>
      <c r="H9" s="83">
        <f>COUNTIFS((Submissions!name Submissions!Data),"="&amp;subName,(Submissions!Data Submissions!sWeek),"="&amp;sWeek)</f>
        <v>0</v>
      </c>
      <c r="I9" s="83">
        <f>COUNTIFS((Submissions!name Submissions!Data),"="&amp;subName,(Submissions!Data Submissions!sWeek),"="&amp;sWeek)</f>
        <v>0</v>
      </c>
      <c r="J9" s="83">
        <f>COUNTIFS((Submissions!name Submissions!Data),"="&amp;subName,(Submissions!Data Submissions!sWeek),"="&amp;sWeek)</f>
        <v>0</v>
      </c>
      <c r="K9" s="83">
        <f>COUNTIFS((Submissions!name Submissions!Data),"="&amp;subName,(Submissions!Data Submissions!sWeek),"="&amp;sWeek)</f>
        <v>0</v>
      </c>
      <c r="L9" s="83">
        <f>COUNTIFS((Submissions!name Submissions!Data),"="&amp;subName,(Submissions!Data Submissions!sWeek),"="&amp;sWeek)</f>
        <v>0</v>
      </c>
      <c r="M9" s="83">
        <f>COUNTIFS((Submissions!name Submissions!Data),"="&amp;subName,(Submissions!Data Submissions!sWeek),"="&amp;sWeek)</f>
        <v>0</v>
      </c>
      <c r="N9" s="83">
        <f>COUNTIFS((Submissions!name Submissions!Data),"="&amp;subName,(Submissions!Data Submissions!sWeek),"="&amp;sWeek)</f>
        <v>0</v>
      </c>
      <c r="O9" s="83">
        <f>COUNTIFS((Submissions!name Submissions!Data),"="&amp;subName,(Submissions!Data Submissions!sWeek),"="&amp;sWeek)</f>
        <v>0</v>
      </c>
      <c r="P9" s="83">
        <f>COUNTIFS((Submissions!name Submissions!Data),"="&amp;subName,(Submissions!Data Submissions!sWeek),"="&amp;sWeek)</f>
        <v>0</v>
      </c>
      <c r="Q9" s="83">
        <f>COUNTIFS((Submissions!name Submissions!Data),"="&amp;subName,(Submissions!Data Submissions!sWeek),"="&amp;sWeek)</f>
        <v>0</v>
      </c>
      <c r="R9" s="83">
        <f>COUNTIFS((Submissions!name Submissions!Data),"="&amp;subName,(Submissions!Data Submissions!sWeek),"="&amp;sWeek)</f>
        <v>0</v>
      </c>
      <c r="S9" s="79">
        <f t="shared" si="0"/>
        <v>0</v>
      </c>
    </row>
    <row r="10" spans="1:19" x14ac:dyDescent="0.25">
      <c r="A10" s="217">
        <v>4</v>
      </c>
      <c r="B10" s="102" t="str">
        <f>Roster!C11</f>
        <v>Burentogtokh, Batbaatar</v>
      </c>
      <c r="C10" s="82">
        <f>COUNTIFS((Submissions!name Submissions!Data),"="&amp;subName,(Submissions!Data Submissions!sWeek),"="&amp;sWeek)</f>
        <v>0</v>
      </c>
      <c r="D10" s="83">
        <f>COUNTIFS((Submissions!name Submissions!Data),"="&amp;subName,(Submissions!Data Submissions!sWeek),"="&amp;sWeek)</f>
        <v>0</v>
      </c>
      <c r="E10" s="83">
        <f>COUNTIFS((Submissions!name Submissions!Data),"="&amp;subName,(Submissions!Data Submissions!sWeek),"="&amp;sWeek)</f>
        <v>0</v>
      </c>
      <c r="F10" s="83">
        <f>COUNTIFS((Submissions!name Submissions!Data),"="&amp;subName,(Submissions!Data Submissions!sWeek),"="&amp;sWeek)</f>
        <v>0</v>
      </c>
      <c r="G10" s="83">
        <f>COUNTIFS((Submissions!name Submissions!Data),"="&amp;subName,(Submissions!Data Submissions!sWeek),"="&amp;sWeek)</f>
        <v>0</v>
      </c>
      <c r="H10" s="83">
        <f>COUNTIFS((Submissions!name Submissions!Data),"="&amp;subName,(Submissions!Data Submissions!sWeek),"="&amp;sWeek)</f>
        <v>0</v>
      </c>
      <c r="I10" s="83">
        <f>COUNTIFS((Submissions!name Submissions!Data),"="&amp;subName,(Submissions!Data Submissions!sWeek),"="&amp;sWeek)</f>
        <v>0</v>
      </c>
      <c r="J10" s="83">
        <f>COUNTIFS((Submissions!name Submissions!Data),"="&amp;subName,(Submissions!Data Submissions!sWeek),"="&amp;sWeek)</f>
        <v>0</v>
      </c>
      <c r="K10" s="83">
        <f>COUNTIFS((Submissions!name Submissions!Data),"="&amp;subName,(Submissions!Data Submissions!sWeek),"="&amp;sWeek)</f>
        <v>0</v>
      </c>
      <c r="L10" s="83">
        <f>COUNTIFS((Submissions!name Submissions!Data),"="&amp;subName,(Submissions!Data Submissions!sWeek),"="&amp;sWeek)</f>
        <v>0</v>
      </c>
      <c r="M10" s="83">
        <f>COUNTIFS((Submissions!name Submissions!Data),"="&amp;subName,(Submissions!Data Submissions!sWeek),"="&amp;sWeek)</f>
        <v>0</v>
      </c>
      <c r="N10" s="83">
        <f>COUNTIFS((Submissions!name Submissions!Data),"="&amp;subName,(Submissions!Data Submissions!sWeek),"="&amp;sWeek)</f>
        <v>0</v>
      </c>
      <c r="O10" s="83">
        <f>COUNTIFS((Submissions!name Submissions!Data),"="&amp;subName,(Submissions!Data Submissions!sWeek),"="&amp;sWeek)</f>
        <v>0</v>
      </c>
      <c r="P10" s="83">
        <f>COUNTIFS((Submissions!name Submissions!Data),"="&amp;subName,(Submissions!Data Submissions!sWeek),"="&amp;sWeek)</f>
        <v>0</v>
      </c>
      <c r="Q10" s="83">
        <f>COUNTIFS((Submissions!name Submissions!Data),"="&amp;subName,(Submissions!Data Submissions!sWeek),"="&amp;sWeek)</f>
        <v>0</v>
      </c>
      <c r="R10" s="83">
        <f>COUNTIFS((Submissions!name Submissions!Data),"="&amp;subName,(Submissions!Data Submissions!sWeek),"="&amp;sWeek)</f>
        <v>0</v>
      </c>
      <c r="S10" s="79">
        <f t="shared" si="0"/>
        <v>0</v>
      </c>
    </row>
    <row r="11" spans="1:19" x14ac:dyDescent="0.25">
      <c r="A11" s="217">
        <v>5</v>
      </c>
      <c r="B11" s="102" t="str">
        <f>Roster!C12</f>
        <v>Demesie, Elias Debebe</v>
      </c>
      <c r="C11" s="82">
        <f>COUNTIFS((Submissions!name Submissions!Data),"="&amp;subName,(Submissions!Data Submissions!sWeek),"="&amp;sWeek)</f>
        <v>0</v>
      </c>
      <c r="D11" s="83">
        <f>COUNTIFS((Submissions!name Submissions!Data),"="&amp;subName,(Submissions!Data Submissions!sWeek),"="&amp;sWeek)</f>
        <v>0</v>
      </c>
      <c r="E11" s="83">
        <f>COUNTIFS((Submissions!name Submissions!Data),"="&amp;subName,(Submissions!Data Submissions!sWeek),"="&amp;sWeek)</f>
        <v>0</v>
      </c>
      <c r="F11" s="83">
        <f>COUNTIFS((Submissions!name Submissions!Data),"="&amp;subName,(Submissions!Data Submissions!sWeek),"="&amp;sWeek)</f>
        <v>0</v>
      </c>
      <c r="G11" s="83">
        <f>COUNTIFS((Submissions!name Submissions!Data),"="&amp;subName,(Submissions!Data Submissions!sWeek),"="&amp;sWeek)</f>
        <v>0</v>
      </c>
      <c r="H11" s="83">
        <f>COUNTIFS((Submissions!name Submissions!Data),"="&amp;subName,(Submissions!Data Submissions!sWeek),"="&amp;sWeek)</f>
        <v>0</v>
      </c>
      <c r="I11" s="83">
        <f>COUNTIFS((Submissions!name Submissions!Data),"="&amp;subName,(Submissions!Data Submissions!sWeek),"="&amp;sWeek)</f>
        <v>0</v>
      </c>
      <c r="J11" s="83">
        <f>COUNTIFS((Submissions!name Submissions!Data),"="&amp;subName,(Submissions!Data Submissions!sWeek),"="&amp;sWeek)</f>
        <v>0</v>
      </c>
      <c r="K11" s="83">
        <f>COUNTIFS((Submissions!name Submissions!Data),"="&amp;subName,(Submissions!Data Submissions!sWeek),"="&amp;sWeek)</f>
        <v>0</v>
      </c>
      <c r="L11" s="83">
        <f>COUNTIFS((Submissions!name Submissions!Data),"="&amp;subName,(Submissions!Data Submissions!sWeek),"="&amp;sWeek)</f>
        <v>0</v>
      </c>
      <c r="M11" s="83">
        <f>COUNTIFS((Submissions!name Submissions!Data),"="&amp;subName,(Submissions!Data Submissions!sWeek),"="&amp;sWeek)</f>
        <v>0</v>
      </c>
      <c r="N11" s="83">
        <f>COUNTIFS((Submissions!name Submissions!Data),"="&amp;subName,(Submissions!Data Submissions!sWeek),"="&amp;sWeek)</f>
        <v>0</v>
      </c>
      <c r="O11" s="83">
        <f>COUNTIFS((Submissions!name Submissions!Data),"="&amp;subName,(Submissions!Data Submissions!sWeek),"="&amp;sWeek)</f>
        <v>0</v>
      </c>
      <c r="P11" s="83">
        <f>COUNTIFS((Submissions!name Submissions!Data),"="&amp;subName,(Submissions!Data Submissions!sWeek),"="&amp;sWeek)</f>
        <v>0</v>
      </c>
      <c r="Q11" s="83">
        <f>COUNTIFS((Submissions!name Submissions!Data),"="&amp;subName,(Submissions!Data Submissions!sWeek),"="&amp;sWeek)</f>
        <v>0</v>
      </c>
      <c r="R11" s="83">
        <f>COUNTIFS((Submissions!name Submissions!Data),"="&amp;subName,(Submissions!Data Submissions!sWeek),"="&amp;sWeek)</f>
        <v>0</v>
      </c>
      <c r="S11" s="79">
        <f t="shared" si="0"/>
        <v>0</v>
      </c>
    </row>
    <row r="12" spans="1:19" x14ac:dyDescent="0.25">
      <c r="A12" s="217">
        <v>6</v>
      </c>
      <c r="B12" s="102" t="str">
        <f>Roster!C13</f>
        <v>Du, Yuexin</v>
      </c>
      <c r="C12" s="82">
        <f>COUNTIFS((Submissions!name Submissions!Data),"="&amp;subName,(Submissions!Data Submissions!sWeek),"="&amp;sWeek)</f>
        <v>0</v>
      </c>
      <c r="D12" s="83">
        <f>COUNTIFS((Submissions!name Submissions!Data),"="&amp;subName,(Submissions!Data Submissions!sWeek),"="&amp;sWeek)</f>
        <v>0</v>
      </c>
      <c r="E12" s="83">
        <f>COUNTIFS((Submissions!name Submissions!Data),"="&amp;subName,(Submissions!Data Submissions!sWeek),"="&amp;sWeek)</f>
        <v>0</v>
      </c>
      <c r="F12" s="83">
        <f>COUNTIFS((Submissions!name Submissions!Data),"="&amp;subName,(Submissions!Data Submissions!sWeek),"="&amp;sWeek)</f>
        <v>0</v>
      </c>
      <c r="G12" s="83">
        <f>COUNTIFS((Submissions!name Submissions!Data),"="&amp;subName,(Submissions!Data Submissions!sWeek),"="&amp;sWeek)</f>
        <v>0</v>
      </c>
      <c r="H12" s="83">
        <f>COUNTIFS((Submissions!name Submissions!Data),"="&amp;subName,(Submissions!Data Submissions!sWeek),"="&amp;sWeek)</f>
        <v>0</v>
      </c>
      <c r="I12" s="83">
        <f>COUNTIFS((Submissions!name Submissions!Data),"="&amp;subName,(Submissions!Data Submissions!sWeek),"="&amp;sWeek)</f>
        <v>0</v>
      </c>
      <c r="J12" s="83">
        <f>COUNTIFS((Submissions!name Submissions!Data),"="&amp;subName,(Submissions!Data Submissions!sWeek),"="&amp;sWeek)</f>
        <v>0</v>
      </c>
      <c r="K12" s="83">
        <f>COUNTIFS((Submissions!name Submissions!Data),"="&amp;subName,(Submissions!Data Submissions!sWeek),"="&amp;sWeek)</f>
        <v>0</v>
      </c>
      <c r="L12" s="83">
        <f>COUNTIFS((Submissions!name Submissions!Data),"="&amp;subName,(Submissions!Data Submissions!sWeek),"="&amp;sWeek)</f>
        <v>0</v>
      </c>
      <c r="M12" s="83">
        <f>COUNTIFS((Submissions!name Submissions!Data),"="&amp;subName,(Submissions!Data Submissions!sWeek),"="&amp;sWeek)</f>
        <v>0</v>
      </c>
      <c r="N12" s="83">
        <f>COUNTIFS((Submissions!name Submissions!Data),"="&amp;subName,(Submissions!Data Submissions!sWeek),"="&amp;sWeek)</f>
        <v>0</v>
      </c>
      <c r="O12" s="83">
        <f>COUNTIFS((Submissions!name Submissions!Data),"="&amp;subName,(Submissions!Data Submissions!sWeek),"="&amp;sWeek)</f>
        <v>0</v>
      </c>
      <c r="P12" s="83">
        <f>COUNTIFS((Submissions!name Submissions!Data),"="&amp;subName,(Submissions!Data Submissions!sWeek),"="&amp;sWeek)</f>
        <v>0</v>
      </c>
      <c r="Q12" s="83">
        <f>COUNTIFS((Submissions!name Submissions!Data),"="&amp;subName,(Submissions!Data Submissions!sWeek),"="&amp;sWeek)</f>
        <v>0</v>
      </c>
      <c r="R12" s="83">
        <f>COUNTIFS((Submissions!name Submissions!Data),"="&amp;subName,(Submissions!Data Submissions!sWeek),"="&amp;sWeek)</f>
        <v>0</v>
      </c>
      <c r="S12" s="79">
        <f t="shared" si="0"/>
        <v>0</v>
      </c>
    </row>
    <row r="13" spans="1:19" x14ac:dyDescent="0.25">
      <c r="A13" s="217">
        <v>7</v>
      </c>
      <c r="B13" s="102" t="str">
        <f>Roster!C14</f>
        <v>El Gazzar, Abd El Hamid</v>
      </c>
      <c r="C13" s="82">
        <f>COUNTIFS((Submissions!name Submissions!Data),"="&amp;subName,(Submissions!Data Submissions!sWeek),"="&amp;sWeek)</f>
        <v>0</v>
      </c>
      <c r="D13" s="83">
        <f>COUNTIFS((Submissions!name Submissions!Data),"="&amp;subName,(Submissions!Data Submissions!sWeek),"="&amp;sWeek)</f>
        <v>0</v>
      </c>
      <c r="E13" s="83">
        <f>COUNTIFS((Submissions!name Submissions!Data),"="&amp;subName,(Submissions!Data Submissions!sWeek),"="&amp;sWeek)</f>
        <v>0</v>
      </c>
      <c r="F13" s="83">
        <f>COUNTIFS((Submissions!name Submissions!Data),"="&amp;subName,(Submissions!Data Submissions!sWeek),"="&amp;sWeek)</f>
        <v>0</v>
      </c>
      <c r="G13" s="83">
        <f>COUNTIFS((Submissions!name Submissions!Data),"="&amp;subName,(Submissions!Data Submissions!sWeek),"="&amp;sWeek)</f>
        <v>0</v>
      </c>
      <c r="H13" s="83">
        <f>COUNTIFS((Submissions!name Submissions!Data),"="&amp;subName,(Submissions!Data Submissions!sWeek),"="&amp;sWeek)</f>
        <v>0</v>
      </c>
      <c r="I13" s="83">
        <f>COUNTIFS((Submissions!name Submissions!Data),"="&amp;subName,(Submissions!Data Submissions!sWeek),"="&amp;sWeek)</f>
        <v>0</v>
      </c>
      <c r="J13" s="83">
        <f>COUNTIFS((Submissions!name Submissions!Data),"="&amp;subName,(Submissions!Data Submissions!sWeek),"="&amp;sWeek)</f>
        <v>0</v>
      </c>
      <c r="K13" s="83">
        <f>COUNTIFS((Submissions!name Submissions!Data),"="&amp;subName,(Submissions!Data Submissions!sWeek),"="&amp;sWeek)</f>
        <v>0</v>
      </c>
      <c r="L13" s="83">
        <f>COUNTIFS((Submissions!name Submissions!Data),"="&amp;subName,(Submissions!Data Submissions!sWeek),"="&amp;sWeek)</f>
        <v>0</v>
      </c>
      <c r="M13" s="83">
        <f>COUNTIFS((Submissions!name Submissions!Data),"="&amp;subName,(Submissions!Data Submissions!sWeek),"="&amp;sWeek)</f>
        <v>0</v>
      </c>
      <c r="N13" s="83">
        <f>COUNTIFS((Submissions!name Submissions!Data),"="&amp;subName,(Submissions!Data Submissions!sWeek),"="&amp;sWeek)</f>
        <v>0</v>
      </c>
      <c r="O13" s="83">
        <f>COUNTIFS((Submissions!name Submissions!Data),"="&amp;subName,(Submissions!Data Submissions!sWeek),"="&amp;sWeek)</f>
        <v>0</v>
      </c>
      <c r="P13" s="83">
        <f>COUNTIFS((Submissions!name Submissions!Data),"="&amp;subName,(Submissions!Data Submissions!sWeek),"="&amp;sWeek)</f>
        <v>0</v>
      </c>
      <c r="Q13" s="83">
        <f>COUNTIFS((Submissions!name Submissions!Data),"="&amp;subName,(Submissions!Data Submissions!sWeek),"="&amp;sWeek)</f>
        <v>0</v>
      </c>
      <c r="R13" s="83">
        <f>COUNTIFS((Submissions!name Submissions!Data),"="&amp;subName,(Submissions!Data Submissions!sWeek),"="&amp;sWeek)</f>
        <v>0</v>
      </c>
      <c r="S13" s="79">
        <f t="shared" si="0"/>
        <v>0</v>
      </c>
    </row>
    <row r="14" spans="1:19" x14ac:dyDescent="0.25">
      <c r="A14" s="217">
        <v>8</v>
      </c>
      <c r="B14" s="102" t="str">
        <f>Roster!C15</f>
        <v>Elbakry, Abdelrahman</v>
      </c>
      <c r="C14" s="82">
        <f>COUNTIFS((Submissions!name Submissions!Data),"="&amp;subName,(Submissions!Data Submissions!sWeek),"="&amp;sWeek)</f>
        <v>0</v>
      </c>
      <c r="D14" s="83">
        <f>COUNTIFS((Submissions!name Submissions!Data),"="&amp;subName,(Submissions!Data Submissions!sWeek),"="&amp;sWeek)</f>
        <v>0</v>
      </c>
      <c r="E14" s="83">
        <f>COUNTIFS((Submissions!name Submissions!Data),"="&amp;subName,(Submissions!Data Submissions!sWeek),"="&amp;sWeek)</f>
        <v>0</v>
      </c>
      <c r="F14" s="83">
        <f>COUNTIFS((Submissions!name Submissions!Data),"="&amp;subName,(Submissions!Data Submissions!sWeek),"="&amp;sWeek)</f>
        <v>0</v>
      </c>
      <c r="G14" s="83">
        <f>COUNTIFS((Submissions!name Submissions!Data),"="&amp;subName,(Submissions!Data Submissions!sWeek),"="&amp;sWeek)</f>
        <v>0</v>
      </c>
      <c r="H14" s="83">
        <f>COUNTIFS((Submissions!name Submissions!Data),"="&amp;subName,(Submissions!Data Submissions!sWeek),"="&amp;sWeek)</f>
        <v>0</v>
      </c>
      <c r="I14" s="83">
        <f>COUNTIFS((Submissions!name Submissions!Data),"="&amp;subName,(Submissions!Data Submissions!sWeek),"="&amp;sWeek)</f>
        <v>0</v>
      </c>
      <c r="J14" s="83">
        <f>COUNTIFS((Submissions!name Submissions!Data),"="&amp;subName,(Submissions!Data Submissions!sWeek),"="&amp;sWeek)</f>
        <v>0</v>
      </c>
      <c r="K14" s="83">
        <f>COUNTIFS((Submissions!name Submissions!Data),"="&amp;subName,(Submissions!Data Submissions!sWeek),"="&amp;sWeek)</f>
        <v>0</v>
      </c>
      <c r="L14" s="83">
        <f>COUNTIFS((Submissions!name Submissions!Data),"="&amp;subName,(Submissions!Data Submissions!sWeek),"="&amp;sWeek)</f>
        <v>0</v>
      </c>
      <c r="M14" s="83">
        <f>COUNTIFS((Submissions!name Submissions!Data),"="&amp;subName,(Submissions!Data Submissions!sWeek),"="&amp;sWeek)</f>
        <v>0</v>
      </c>
      <c r="N14" s="83">
        <f>COUNTIFS((Submissions!name Submissions!Data),"="&amp;subName,(Submissions!Data Submissions!sWeek),"="&amp;sWeek)</f>
        <v>0</v>
      </c>
      <c r="O14" s="83">
        <f>COUNTIFS((Submissions!name Submissions!Data),"="&amp;subName,(Submissions!Data Submissions!sWeek),"="&amp;sWeek)</f>
        <v>0</v>
      </c>
      <c r="P14" s="83">
        <f>COUNTIFS((Submissions!name Submissions!Data),"="&amp;subName,(Submissions!Data Submissions!sWeek),"="&amp;sWeek)</f>
        <v>0</v>
      </c>
      <c r="Q14" s="83">
        <f>COUNTIFS((Submissions!name Submissions!Data),"="&amp;subName,(Submissions!Data Submissions!sWeek),"="&amp;sWeek)</f>
        <v>0</v>
      </c>
      <c r="R14" s="83">
        <f>COUNTIFS((Submissions!name Submissions!Data),"="&amp;subName,(Submissions!Data Submissions!sWeek),"="&amp;sWeek)</f>
        <v>0</v>
      </c>
      <c r="S14" s="79">
        <f t="shared" si="0"/>
        <v>0</v>
      </c>
    </row>
    <row r="15" spans="1:19" x14ac:dyDescent="0.25">
      <c r="A15" s="217">
        <v>9</v>
      </c>
      <c r="B15" s="102" t="str">
        <f>Roster!C16</f>
        <v>Enkhbold, Khongor</v>
      </c>
      <c r="C15" s="82">
        <f>COUNTIFS((Submissions!name Submissions!Data),"="&amp;subName,(Submissions!Data Submissions!sWeek),"="&amp;sWeek)</f>
        <v>0</v>
      </c>
      <c r="D15" s="83">
        <f>COUNTIFS((Submissions!name Submissions!Data),"="&amp;subName,(Submissions!Data Submissions!sWeek),"="&amp;sWeek)</f>
        <v>0</v>
      </c>
      <c r="E15" s="83">
        <f>COUNTIFS((Submissions!name Submissions!Data),"="&amp;subName,(Submissions!Data Submissions!sWeek),"="&amp;sWeek)</f>
        <v>0</v>
      </c>
      <c r="F15" s="83">
        <f>COUNTIFS((Submissions!name Submissions!Data),"="&amp;subName,(Submissions!Data Submissions!sWeek),"="&amp;sWeek)</f>
        <v>0</v>
      </c>
      <c r="G15" s="83">
        <f>COUNTIFS((Submissions!name Submissions!Data),"="&amp;subName,(Submissions!Data Submissions!sWeek),"="&amp;sWeek)</f>
        <v>0</v>
      </c>
      <c r="H15" s="83">
        <f>COUNTIFS((Submissions!name Submissions!Data),"="&amp;subName,(Submissions!Data Submissions!sWeek),"="&amp;sWeek)</f>
        <v>0</v>
      </c>
      <c r="I15" s="83">
        <f>COUNTIFS((Submissions!name Submissions!Data),"="&amp;subName,(Submissions!Data Submissions!sWeek),"="&amp;sWeek)</f>
        <v>0</v>
      </c>
      <c r="J15" s="83">
        <f>COUNTIFS((Submissions!name Submissions!Data),"="&amp;subName,(Submissions!Data Submissions!sWeek),"="&amp;sWeek)</f>
        <v>0</v>
      </c>
      <c r="K15" s="83">
        <f>COUNTIFS((Submissions!name Submissions!Data),"="&amp;subName,(Submissions!Data Submissions!sWeek),"="&amp;sWeek)</f>
        <v>0</v>
      </c>
      <c r="L15" s="83">
        <f>COUNTIFS((Submissions!name Submissions!Data),"="&amp;subName,(Submissions!Data Submissions!sWeek),"="&amp;sWeek)</f>
        <v>0</v>
      </c>
      <c r="M15" s="83">
        <f>COUNTIFS((Submissions!name Submissions!Data),"="&amp;subName,(Submissions!Data Submissions!sWeek),"="&amp;sWeek)</f>
        <v>0</v>
      </c>
      <c r="N15" s="83">
        <f>COUNTIFS((Submissions!name Submissions!Data),"="&amp;subName,(Submissions!Data Submissions!sWeek),"="&amp;sWeek)</f>
        <v>0</v>
      </c>
      <c r="O15" s="83">
        <f>COUNTIFS((Submissions!name Submissions!Data),"="&amp;subName,(Submissions!Data Submissions!sWeek),"="&amp;sWeek)</f>
        <v>0</v>
      </c>
      <c r="P15" s="83">
        <f>COUNTIFS((Submissions!name Submissions!Data),"="&amp;subName,(Submissions!Data Submissions!sWeek),"="&amp;sWeek)</f>
        <v>0</v>
      </c>
      <c r="Q15" s="83">
        <f>COUNTIFS((Submissions!name Submissions!Data),"="&amp;subName,(Submissions!Data Submissions!sWeek),"="&amp;sWeek)</f>
        <v>0</v>
      </c>
      <c r="R15" s="83">
        <f>COUNTIFS((Submissions!name Submissions!Data),"="&amp;subName,(Submissions!Data Submissions!sWeek),"="&amp;sWeek)</f>
        <v>0</v>
      </c>
      <c r="S15" s="79">
        <f t="shared" si="0"/>
        <v>0</v>
      </c>
    </row>
    <row r="16" spans="1:19" x14ac:dyDescent="0.25">
      <c r="A16" s="217">
        <v>10</v>
      </c>
      <c r="B16" s="102" t="str">
        <f>Roster!C17</f>
        <v>Fathelbab, Hosain</v>
      </c>
      <c r="C16" s="82">
        <f>COUNTIFS((Submissions!name Submissions!Data),"="&amp;subName,(Submissions!Data Submissions!sWeek),"="&amp;sWeek)</f>
        <v>0</v>
      </c>
      <c r="D16" s="83">
        <f>COUNTIFS((Submissions!name Submissions!Data),"="&amp;subName,(Submissions!Data Submissions!sWeek),"="&amp;sWeek)</f>
        <v>0</v>
      </c>
      <c r="E16" s="83">
        <f>COUNTIFS((Submissions!name Submissions!Data),"="&amp;subName,(Submissions!Data Submissions!sWeek),"="&amp;sWeek)</f>
        <v>0</v>
      </c>
      <c r="F16" s="83">
        <f>COUNTIFS((Submissions!name Submissions!Data),"="&amp;subName,(Submissions!Data Submissions!sWeek),"="&amp;sWeek)</f>
        <v>0</v>
      </c>
      <c r="G16" s="83">
        <f>COUNTIFS((Submissions!name Submissions!Data),"="&amp;subName,(Submissions!Data Submissions!sWeek),"="&amp;sWeek)</f>
        <v>0</v>
      </c>
      <c r="H16" s="83">
        <f>COUNTIFS((Submissions!name Submissions!Data),"="&amp;subName,(Submissions!Data Submissions!sWeek),"="&amp;sWeek)</f>
        <v>0</v>
      </c>
      <c r="I16" s="83">
        <f>COUNTIFS((Submissions!name Submissions!Data),"="&amp;subName,(Submissions!Data Submissions!sWeek),"="&amp;sWeek)</f>
        <v>0</v>
      </c>
      <c r="J16" s="83">
        <f>COUNTIFS((Submissions!name Submissions!Data),"="&amp;subName,(Submissions!Data Submissions!sWeek),"="&amp;sWeek)</f>
        <v>0</v>
      </c>
      <c r="K16" s="83">
        <f>COUNTIFS((Submissions!name Submissions!Data),"="&amp;subName,(Submissions!Data Submissions!sWeek),"="&amp;sWeek)</f>
        <v>0</v>
      </c>
      <c r="L16" s="83">
        <f>COUNTIFS((Submissions!name Submissions!Data),"="&amp;subName,(Submissions!Data Submissions!sWeek),"="&amp;sWeek)</f>
        <v>0</v>
      </c>
      <c r="M16" s="83">
        <f>COUNTIFS((Submissions!name Submissions!Data),"="&amp;subName,(Submissions!Data Submissions!sWeek),"="&amp;sWeek)</f>
        <v>0</v>
      </c>
      <c r="N16" s="83">
        <f>COUNTIFS((Submissions!name Submissions!Data),"="&amp;subName,(Submissions!Data Submissions!sWeek),"="&amp;sWeek)</f>
        <v>0</v>
      </c>
      <c r="O16" s="83">
        <f>COUNTIFS((Submissions!name Submissions!Data),"="&amp;subName,(Submissions!Data Submissions!sWeek),"="&amp;sWeek)</f>
        <v>0</v>
      </c>
      <c r="P16" s="83">
        <f>COUNTIFS((Submissions!name Submissions!Data),"="&amp;subName,(Submissions!Data Submissions!sWeek),"="&amp;sWeek)</f>
        <v>0</v>
      </c>
      <c r="Q16" s="83">
        <f>COUNTIFS((Submissions!name Submissions!Data),"="&amp;subName,(Submissions!Data Submissions!sWeek),"="&amp;sWeek)</f>
        <v>0</v>
      </c>
      <c r="R16" s="83">
        <f>COUNTIFS((Submissions!name Submissions!Data),"="&amp;subName,(Submissions!Data Submissions!sWeek),"="&amp;sWeek)</f>
        <v>0</v>
      </c>
      <c r="S16" s="79">
        <f t="shared" si="0"/>
        <v>0</v>
      </c>
    </row>
    <row r="17" spans="1:19" x14ac:dyDescent="0.25">
      <c r="A17" s="217">
        <v>11</v>
      </c>
      <c r="B17" s="102" t="str">
        <f>Roster!C18</f>
        <v>Ganzorig, Enkhsaruul</v>
      </c>
      <c r="C17" s="82">
        <f>COUNTIFS((Submissions!name Submissions!Data),"="&amp;subName,(Submissions!Data Submissions!sWeek),"="&amp;sWeek)</f>
        <v>0</v>
      </c>
      <c r="D17" s="83">
        <f>COUNTIFS((Submissions!name Submissions!Data),"="&amp;subName,(Submissions!Data Submissions!sWeek),"="&amp;sWeek)</f>
        <v>0</v>
      </c>
      <c r="E17" s="83">
        <f>COUNTIFS((Submissions!name Submissions!Data),"="&amp;subName,(Submissions!Data Submissions!sWeek),"="&amp;sWeek)</f>
        <v>0</v>
      </c>
      <c r="F17" s="83">
        <f>COUNTIFS((Submissions!name Submissions!Data),"="&amp;subName,(Submissions!Data Submissions!sWeek),"="&amp;sWeek)</f>
        <v>0</v>
      </c>
      <c r="G17" s="83">
        <f>COUNTIFS((Submissions!name Submissions!Data),"="&amp;subName,(Submissions!Data Submissions!sWeek),"="&amp;sWeek)</f>
        <v>0</v>
      </c>
      <c r="H17" s="83">
        <f>COUNTIFS((Submissions!name Submissions!Data),"="&amp;subName,(Submissions!Data Submissions!sWeek),"="&amp;sWeek)</f>
        <v>0</v>
      </c>
      <c r="I17" s="83">
        <f>COUNTIFS((Submissions!name Submissions!Data),"="&amp;subName,(Submissions!Data Submissions!sWeek),"="&amp;sWeek)</f>
        <v>0</v>
      </c>
      <c r="J17" s="83">
        <f>COUNTIFS((Submissions!name Submissions!Data),"="&amp;subName,(Submissions!Data Submissions!sWeek),"="&amp;sWeek)</f>
        <v>0</v>
      </c>
      <c r="K17" s="83">
        <f>COUNTIFS((Submissions!name Submissions!Data),"="&amp;subName,(Submissions!Data Submissions!sWeek),"="&amp;sWeek)</f>
        <v>0</v>
      </c>
      <c r="L17" s="83">
        <f>COUNTIFS((Submissions!name Submissions!Data),"="&amp;subName,(Submissions!Data Submissions!sWeek),"="&amp;sWeek)</f>
        <v>0</v>
      </c>
      <c r="M17" s="83">
        <f>COUNTIFS((Submissions!name Submissions!Data),"="&amp;subName,(Submissions!Data Submissions!sWeek),"="&amp;sWeek)</f>
        <v>0</v>
      </c>
      <c r="N17" s="83">
        <f>COUNTIFS((Submissions!name Submissions!Data),"="&amp;subName,(Submissions!Data Submissions!sWeek),"="&amp;sWeek)</f>
        <v>0</v>
      </c>
      <c r="O17" s="83">
        <f>COUNTIFS((Submissions!name Submissions!Data),"="&amp;subName,(Submissions!Data Submissions!sWeek),"="&amp;sWeek)</f>
        <v>0</v>
      </c>
      <c r="P17" s="83">
        <f>COUNTIFS((Submissions!name Submissions!Data),"="&amp;subName,(Submissions!Data Submissions!sWeek),"="&amp;sWeek)</f>
        <v>0</v>
      </c>
      <c r="Q17" s="83">
        <f>COUNTIFS((Submissions!name Submissions!Data),"="&amp;subName,(Submissions!Data Submissions!sWeek),"="&amp;sWeek)</f>
        <v>0</v>
      </c>
      <c r="R17" s="83">
        <f>COUNTIFS((Submissions!name Submissions!Data),"="&amp;subName,(Submissions!Data Submissions!sWeek),"="&amp;sWeek)</f>
        <v>0</v>
      </c>
      <c r="S17" s="79">
        <f t="shared" si="0"/>
        <v>0</v>
      </c>
    </row>
    <row r="18" spans="1:19" x14ac:dyDescent="0.25">
      <c r="A18" s="217">
        <v>12</v>
      </c>
      <c r="B18" s="102" t="str">
        <f>Roster!C19</f>
        <v>Gebremeskel, Abiy</v>
      </c>
      <c r="C18" s="82">
        <f>COUNTIFS((Submissions!name Submissions!Data),"="&amp;subName,(Submissions!Data Submissions!sWeek),"="&amp;sWeek)</f>
        <v>0</v>
      </c>
      <c r="D18" s="83">
        <f>COUNTIFS((Submissions!name Submissions!Data),"="&amp;subName,(Submissions!Data Submissions!sWeek),"="&amp;sWeek)</f>
        <v>0</v>
      </c>
      <c r="E18" s="83">
        <f>COUNTIFS((Submissions!name Submissions!Data),"="&amp;subName,(Submissions!Data Submissions!sWeek),"="&amp;sWeek)</f>
        <v>0</v>
      </c>
      <c r="F18" s="83">
        <f>COUNTIFS((Submissions!name Submissions!Data),"="&amp;subName,(Submissions!Data Submissions!sWeek),"="&amp;sWeek)</f>
        <v>0</v>
      </c>
      <c r="G18" s="83">
        <f>COUNTIFS((Submissions!name Submissions!Data),"="&amp;subName,(Submissions!Data Submissions!sWeek),"="&amp;sWeek)</f>
        <v>0</v>
      </c>
      <c r="H18" s="83">
        <f>COUNTIFS((Submissions!name Submissions!Data),"="&amp;subName,(Submissions!Data Submissions!sWeek),"="&amp;sWeek)</f>
        <v>0</v>
      </c>
      <c r="I18" s="83">
        <f>COUNTIFS((Submissions!name Submissions!Data),"="&amp;subName,(Submissions!Data Submissions!sWeek),"="&amp;sWeek)</f>
        <v>0</v>
      </c>
      <c r="J18" s="83">
        <f>COUNTIFS((Submissions!name Submissions!Data),"="&amp;subName,(Submissions!Data Submissions!sWeek),"="&amp;sWeek)</f>
        <v>0</v>
      </c>
      <c r="K18" s="83">
        <f>COUNTIFS((Submissions!name Submissions!Data),"="&amp;subName,(Submissions!Data Submissions!sWeek),"="&amp;sWeek)</f>
        <v>0</v>
      </c>
      <c r="L18" s="83">
        <f>COUNTIFS((Submissions!name Submissions!Data),"="&amp;subName,(Submissions!Data Submissions!sWeek),"="&amp;sWeek)</f>
        <v>0</v>
      </c>
      <c r="M18" s="83">
        <f>COUNTIFS((Submissions!name Submissions!Data),"="&amp;subName,(Submissions!Data Submissions!sWeek),"="&amp;sWeek)</f>
        <v>0</v>
      </c>
      <c r="N18" s="83">
        <f>COUNTIFS((Submissions!name Submissions!Data),"="&amp;subName,(Submissions!Data Submissions!sWeek),"="&amp;sWeek)</f>
        <v>0</v>
      </c>
      <c r="O18" s="83">
        <f>COUNTIFS((Submissions!name Submissions!Data),"="&amp;subName,(Submissions!Data Submissions!sWeek),"="&amp;sWeek)</f>
        <v>0</v>
      </c>
      <c r="P18" s="83">
        <f>COUNTIFS((Submissions!name Submissions!Data),"="&amp;subName,(Submissions!Data Submissions!sWeek),"="&amp;sWeek)</f>
        <v>0</v>
      </c>
      <c r="Q18" s="83">
        <f>COUNTIFS((Submissions!name Submissions!Data),"="&amp;subName,(Submissions!Data Submissions!sWeek),"="&amp;sWeek)</f>
        <v>0</v>
      </c>
      <c r="R18" s="83">
        <f>COUNTIFS((Submissions!name Submissions!Data),"="&amp;subName,(Submissions!Data Submissions!sWeek),"="&amp;sWeek)</f>
        <v>0</v>
      </c>
      <c r="S18" s="79">
        <f t="shared" si="0"/>
        <v>0</v>
      </c>
    </row>
    <row r="19" spans="1:19" x14ac:dyDescent="0.25">
      <c r="A19" s="217">
        <v>13</v>
      </c>
      <c r="B19" s="102" t="str">
        <f>Roster!C20</f>
        <v>Hagag, Ahmad M.M.</v>
      </c>
      <c r="C19" s="82">
        <f>COUNTIFS((Submissions!name Submissions!Data),"="&amp;subName,(Submissions!Data Submissions!sWeek),"="&amp;sWeek)</f>
        <v>0</v>
      </c>
      <c r="D19" s="83">
        <f>COUNTIFS((Submissions!name Submissions!Data),"="&amp;subName,(Submissions!Data Submissions!sWeek),"="&amp;sWeek)</f>
        <v>0</v>
      </c>
      <c r="E19" s="83">
        <f>COUNTIFS((Submissions!name Submissions!Data),"="&amp;subName,(Submissions!Data Submissions!sWeek),"="&amp;sWeek)</f>
        <v>0</v>
      </c>
      <c r="F19" s="83">
        <f>COUNTIFS((Submissions!name Submissions!Data),"="&amp;subName,(Submissions!Data Submissions!sWeek),"="&amp;sWeek)</f>
        <v>0</v>
      </c>
      <c r="G19" s="83">
        <f>COUNTIFS((Submissions!name Submissions!Data),"="&amp;subName,(Submissions!Data Submissions!sWeek),"="&amp;sWeek)</f>
        <v>0</v>
      </c>
      <c r="H19" s="83">
        <f>COUNTIFS((Submissions!name Submissions!Data),"="&amp;subName,(Submissions!Data Submissions!sWeek),"="&amp;sWeek)</f>
        <v>0</v>
      </c>
      <c r="I19" s="83">
        <f>COUNTIFS((Submissions!name Submissions!Data),"="&amp;subName,(Submissions!Data Submissions!sWeek),"="&amp;sWeek)</f>
        <v>0</v>
      </c>
      <c r="J19" s="83">
        <f>COUNTIFS((Submissions!name Submissions!Data),"="&amp;subName,(Submissions!Data Submissions!sWeek),"="&amp;sWeek)</f>
        <v>0</v>
      </c>
      <c r="K19" s="83">
        <f>COUNTIFS((Submissions!name Submissions!Data),"="&amp;subName,(Submissions!Data Submissions!sWeek),"="&amp;sWeek)</f>
        <v>0</v>
      </c>
      <c r="L19" s="83">
        <f>COUNTIFS((Submissions!name Submissions!Data),"="&amp;subName,(Submissions!Data Submissions!sWeek),"="&amp;sWeek)</f>
        <v>0</v>
      </c>
      <c r="M19" s="83">
        <f>COUNTIFS((Submissions!name Submissions!Data),"="&amp;subName,(Submissions!Data Submissions!sWeek),"="&amp;sWeek)</f>
        <v>0</v>
      </c>
      <c r="N19" s="83">
        <f>COUNTIFS((Submissions!name Submissions!Data),"="&amp;subName,(Submissions!Data Submissions!sWeek),"="&amp;sWeek)</f>
        <v>0</v>
      </c>
      <c r="O19" s="83">
        <f>COUNTIFS((Submissions!name Submissions!Data),"="&amp;subName,(Submissions!Data Submissions!sWeek),"="&amp;sWeek)</f>
        <v>0</v>
      </c>
      <c r="P19" s="83">
        <f>COUNTIFS((Submissions!name Submissions!Data),"="&amp;subName,(Submissions!Data Submissions!sWeek),"="&amp;sWeek)</f>
        <v>0</v>
      </c>
      <c r="Q19" s="83">
        <f>COUNTIFS((Submissions!name Submissions!Data),"="&amp;subName,(Submissions!Data Submissions!sWeek),"="&amp;sWeek)</f>
        <v>0</v>
      </c>
      <c r="R19" s="83">
        <f>COUNTIFS((Submissions!name Submissions!Data),"="&amp;subName,(Submissions!Data Submissions!sWeek),"="&amp;sWeek)</f>
        <v>0</v>
      </c>
      <c r="S19" s="79">
        <f t="shared" si="0"/>
        <v>0</v>
      </c>
    </row>
    <row r="20" spans="1:19" x14ac:dyDescent="0.25">
      <c r="A20" s="217">
        <v>14</v>
      </c>
      <c r="B20" s="102" t="str">
        <f>Roster!C21</f>
        <v>Kelkay, Ayalew Alemayehu</v>
      </c>
      <c r="C20" s="82">
        <f>COUNTIFS((Submissions!name Submissions!Data),"="&amp;subName,(Submissions!Data Submissions!sWeek),"="&amp;sWeek)</f>
        <v>0</v>
      </c>
      <c r="D20" s="83">
        <f>COUNTIFS((Submissions!name Submissions!Data),"="&amp;subName,(Submissions!Data Submissions!sWeek),"="&amp;sWeek)</f>
        <v>0</v>
      </c>
      <c r="E20" s="83">
        <f>COUNTIFS((Submissions!name Submissions!Data),"="&amp;subName,(Submissions!Data Submissions!sWeek),"="&amp;sWeek)</f>
        <v>0</v>
      </c>
      <c r="F20" s="83">
        <f>COUNTIFS((Submissions!name Submissions!Data),"="&amp;subName,(Submissions!Data Submissions!sWeek),"="&amp;sWeek)</f>
        <v>0</v>
      </c>
      <c r="G20" s="83">
        <f>COUNTIFS((Submissions!name Submissions!Data),"="&amp;subName,(Submissions!Data Submissions!sWeek),"="&amp;sWeek)</f>
        <v>0</v>
      </c>
      <c r="H20" s="83">
        <f>COUNTIFS((Submissions!name Submissions!Data),"="&amp;subName,(Submissions!Data Submissions!sWeek),"="&amp;sWeek)</f>
        <v>0</v>
      </c>
      <c r="I20" s="83">
        <f>COUNTIFS((Submissions!name Submissions!Data),"="&amp;subName,(Submissions!Data Submissions!sWeek),"="&amp;sWeek)</f>
        <v>0</v>
      </c>
      <c r="J20" s="83">
        <f>COUNTIFS((Submissions!name Submissions!Data),"="&amp;subName,(Submissions!Data Submissions!sWeek),"="&amp;sWeek)</f>
        <v>0</v>
      </c>
      <c r="K20" s="83">
        <f>COUNTIFS((Submissions!name Submissions!Data),"="&amp;subName,(Submissions!Data Submissions!sWeek),"="&amp;sWeek)</f>
        <v>0</v>
      </c>
      <c r="L20" s="83">
        <f>COUNTIFS((Submissions!name Submissions!Data),"="&amp;subName,(Submissions!Data Submissions!sWeek),"="&amp;sWeek)</f>
        <v>0</v>
      </c>
      <c r="M20" s="83">
        <f>COUNTIFS((Submissions!name Submissions!Data),"="&amp;subName,(Submissions!Data Submissions!sWeek),"="&amp;sWeek)</f>
        <v>0</v>
      </c>
      <c r="N20" s="83">
        <f>COUNTIFS((Submissions!name Submissions!Data),"="&amp;subName,(Submissions!Data Submissions!sWeek),"="&amp;sWeek)</f>
        <v>0</v>
      </c>
      <c r="O20" s="83">
        <f>COUNTIFS((Submissions!name Submissions!Data),"="&amp;subName,(Submissions!Data Submissions!sWeek),"="&amp;sWeek)</f>
        <v>0</v>
      </c>
      <c r="P20" s="83">
        <f>COUNTIFS((Submissions!name Submissions!Data),"="&amp;subName,(Submissions!Data Submissions!sWeek),"="&amp;sWeek)</f>
        <v>0</v>
      </c>
      <c r="Q20" s="83">
        <f>COUNTIFS((Submissions!name Submissions!Data),"="&amp;subName,(Submissions!Data Submissions!sWeek),"="&amp;sWeek)</f>
        <v>0</v>
      </c>
      <c r="R20" s="83">
        <f>COUNTIFS((Submissions!name Submissions!Data),"="&amp;subName,(Submissions!Data Submissions!sWeek),"="&amp;sWeek)</f>
        <v>0</v>
      </c>
      <c r="S20" s="79">
        <f t="shared" si="0"/>
        <v>0</v>
      </c>
    </row>
    <row r="21" spans="1:19" x14ac:dyDescent="0.25">
      <c r="A21" s="217">
        <v>15</v>
      </c>
      <c r="B21" s="102" t="str">
        <f>Roster!C22</f>
        <v>Kidane, Ermias</v>
      </c>
      <c r="C21" s="82">
        <f>COUNTIFS((Submissions!name Submissions!Data),"="&amp;subName,(Submissions!Data Submissions!sWeek),"="&amp;sWeek)</f>
        <v>0</v>
      </c>
      <c r="D21" s="83">
        <f>COUNTIFS((Submissions!name Submissions!Data),"="&amp;subName,(Submissions!Data Submissions!sWeek),"="&amp;sWeek)</f>
        <v>0</v>
      </c>
      <c r="E21" s="83">
        <f>COUNTIFS((Submissions!name Submissions!Data),"="&amp;subName,(Submissions!Data Submissions!sWeek),"="&amp;sWeek)</f>
        <v>0</v>
      </c>
      <c r="F21" s="83">
        <f>COUNTIFS((Submissions!name Submissions!Data),"="&amp;subName,(Submissions!Data Submissions!sWeek),"="&amp;sWeek)</f>
        <v>0</v>
      </c>
      <c r="G21" s="83">
        <f>COUNTIFS((Submissions!name Submissions!Data),"="&amp;subName,(Submissions!Data Submissions!sWeek),"="&amp;sWeek)</f>
        <v>0</v>
      </c>
      <c r="H21" s="83">
        <f>COUNTIFS((Submissions!name Submissions!Data),"="&amp;subName,(Submissions!Data Submissions!sWeek),"="&amp;sWeek)</f>
        <v>0</v>
      </c>
      <c r="I21" s="83">
        <f>COUNTIFS((Submissions!name Submissions!Data),"="&amp;subName,(Submissions!Data Submissions!sWeek),"="&amp;sWeek)</f>
        <v>0</v>
      </c>
      <c r="J21" s="83">
        <f>COUNTIFS((Submissions!name Submissions!Data),"="&amp;subName,(Submissions!Data Submissions!sWeek),"="&amp;sWeek)</f>
        <v>0</v>
      </c>
      <c r="K21" s="83">
        <f>COUNTIFS((Submissions!name Submissions!Data),"="&amp;subName,(Submissions!Data Submissions!sWeek),"="&amp;sWeek)</f>
        <v>0</v>
      </c>
      <c r="L21" s="83">
        <f>COUNTIFS((Submissions!name Submissions!Data),"="&amp;subName,(Submissions!Data Submissions!sWeek),"="&amp;sWeek)</f>
        <v>0</v>
      </c>
      <c r="M21" s="83">
        <f>COUNTIFS((Submissions!name Submissions!Data),"="&amp;subName,(Submissions!Data Submissions!sWeek),"="&amp;sWeek)</f>
        <v>0</v>
      </c>
      <c r="N21" s="83">
        <f>COUNTIFS((Submissions!name Submissions!Data),"="&amp;subName,(Submissions!Data Submissions!sWeek),"="&amp;sWeek)</f>
        <v>0</v>
      </c>
      <c r="O21" s="83">
        <f>COUNTIFS((Submissions!name Submissions!Data),"="&amp;subName,(Submissions!Data Submissions!sWeek),"="&amp;sWeek)</f>
        <v>0</v>
      </c>
      <c r="P21" s="83">
        <f>COUNTIFS((Submissions!name Submissions!Data),"="&amp;subName,(Submissions!Data Submissions!sWeek),"="&amp;sWeek)</f>
        <v>0</v>
      </c>
      <c r="Q21" s="83">
        <f>COUNTIFS((Submissions!name Submissions!Data),"="&amp;subName,(Submissions!Data Submissions!sWeek),"="&amp;sWeek)</f>
        <v>0</v>
      </c>
      <c r="R21" s="83">
        <f>COUNTIFS((Submissions!name Submissions!Data),"="&amp;subName,(Submissions!Data Submissions!sWeek),"="&amp;sWeek)</f>
        <v>0</v>
      </c>
      <c r="S21" s="79">
        <f t="shared" si="0"/>
        <v>0</v>
      </c>
    </row>
    <row r="22" spans="1:19" x14ac:dyDescent="0.25">
      <c r="A22" s="217">
        <v>16</v>
      </c>
      <c r="B22" s="102" t="str">
        <f>Roster!C23</f>
        <v>Kouotou Mefire, Ibrahim</v>
      </c>
      <c r="C22" s="82">
        <f>COUNTIFS((Submissions!name Submissions!Data),"="&amp;subName,(Submissions!Data Submissions!sWeek),"="&amp;sWeek)</f>
        <v>0</v>
      </c>
      <c r="D22" s="83">
        <f>COUNTIFS((Submissions!name Submissions!Data),"="&amp;subName,(Submissions!Data Submissions!sWeek),"="&amp;sWeek)</f>
        <v>0</v>
      </c>
      <c r="E22" s="83">
        <f>COUNTIFS((Submissions!name Submissions!Data),"="&amp;subName,(Submissions!Data Submissions!sWeek),"="&amp;sWeek)</f>
        <v>0</v>
      </c>
      <c r="F22" s="83">
        <f>COUNTIFS((Submissions!name Submissions!Data),"="&amp;subName,(Submissions!Data Submissions!sWeek),"="&amp;sWeek)</f>
        <v>0</v>
      </c>
      <c r="G22" s="83">
        <f>COUNTIFS((Submissions!name Submissions!Data),"="&amp;subName,(Submissions!Data Submissions!sWeek),"="&amp;sWeek)</f>
        <v>0</v>
      </c>
      <c r="H22" s="83">
        <f>COUNTIFS((Submissions!name Submissions!Data),"="&amp;subName,(Submissions!Data Submissions!sWeek),"="&amp;sWeek)</f>
        <v>0</v>
      </c>
      <c r="I22" s="83">
        <f>COUNTIFS((Submissions!name Submissions!Data),"="&amp;subName,(Submissions!Data Submissions!sWeek),"="&amp;sWeek)</f>
        <v>0</v>
      </c>
      <c r="J22" s="83">
        <f>COUNTIFS((Submissions!name Submissions!Data),"="&amp;subName,(Submissions!Data Submissions!sWeek),"="&amp;sWeek)</f>
        <v>0</v>
      </c>
      <c r="K22" s="83">
        <f>COUNTIFS((Submissions!name Submissions!Data),"="&amp;subName,(Submissions!Data Submissions!sWeek),"="&amp;sWeek)</f>
        <v>0</v>
      </c>
      <c r="L22" s="83">
        <f>COUNTIFS((Submissions!name Submissions!Data),"="&amp;subName,(Submissions!Data Submissions!sWeek),"="&amp;sWeek)</f>
        <v>0</v>
      </c>
      <c r="M22" s="83">
        <f>COUNTIFS((Submissions!name Submissions!Data),"="&amp;subName,(Submissions!Data Submissions!sWeek),"="&amp;sWeek)</f>
        <v>0</v>
      </c>
      <c r="N22" s="83">
        <f>COUNTIFS((Submissions!name Submissions!Data),"="&amp;subName,(Submissions!Data Submissions!sWeek),"="&amp;sWeek)</f>
        <v>0</v>
      </c>
      <c r="O22" s="83">
        <f>COUNTIFS((Submissions!name Submissions!Data),"="&amp;subName,(Submissions!Data Submissions!sWeek),"="&amp;sWeek)</f>
        <v>0</v>
      </c>
      <c r="P22" s="83">
        <f>COUNTIFS((Submissions!name Submissions!Data),"="&amp;subName,(Submissions!Data Submissions!sWeek),"="&amp;sWeek)</f>
        <v>0</v>
      </c>
      <c r="Q22" s="83">
        <f>COUNTIFS((Submissions!name Submissions!Data),"="&amp;subName,(Submissions!Data Submissions!sWeek),"="&amp;sWeek)</f>
        <v>0</v>
      </c>
      <c r="R22" s="83">
        <f>COUNTIFS((Submissions!name Submissions!Data),"="&amp;subName,(Submissions!Data Submissions!sWeek),"="&amp;sWeek)</f>
        <v>0</v>
      </c>
      <c r="S22" s="79">
        <f t="shared" si="0"/>
        <v>0</v>
      </c>
    </row>
    <row r="23" spans="1:19" x14ac:dyDescent="0.25">
      <c r="A23" s="217">
        <v>17</v>
      </c>
      <c r="B23" s="102" t="str">
        <f>Roster!C24</f>
        <v>Lapitan, Blaine Dondi</v>
      </c>
      <c r="C23" s="82">
        <f>COUNTIFS((Submissions!name Submissions!Data),"="&amp;subName,(Submissions!Data Submissions!sWeek),"="&amp;sWeek)</f>
        <v>0</v>
      </c>
      <c r="D23" s="83">
        <f>COUNTIFS((Submissions!name Submissions!Data),"="&amp;subName,(Submissions!Data Submissions!sWeek),"="&amp;sWeek)</f>
        <v>0</v>
      </c>
      <c r="E23" s="83">
        <f>COUNTIFS((Submissions!name Submissions!Data),"="&amp;subName,(Submissions!Data Submissions!sWeek),"="&amp;sWeek)</f>
        <v>0</v>
      </c>
      <c r="F23" s="83">
        <f>COUNTIFS((Submissions!name Submissions!Data),"="&amp;subName,(Submissions!Data Submissions!sWeek),"="&amp;sWeek)</f>
        <v>0</v>
      </c>
      <c r="G23" s="83">
        <f>COUNTIFS((Submissions!name Submissions!Data),"="&amp;subName,(Submissions!Data Submissions!sWeek),"="&amp;sWeek)</f>
        <v>0</v>
      </c>
      <c r="H23" s="83">
        <f>COUNTIFS((Submissions!name Submissions!Data),"="&amp;subName,(Submissions!Data Submissions!sWeek),"="&amp;sWeek)</f>
        <v>0</v>
      </c>
      <c r="I23" s="83">
        <f>COUNTIFS((Submissions!name Submissions!Data),"="&amp;subName,(Submissions!Data Submissions!sWeek),"="&amp;sWeek)</f>
        <v>0</v>
      </c>
      <c r="J23" s="83">
        <f>COUNTIFS((Submissions!name Submissions!Data),"="&amp;subName,(Submissions!Data Submissions!sWeek),"="&amp;sWeek)</f>
        <v>0</v>
      </c>
      <c r="K23" s="83">
        <f>COUNTIFS((Submissions!name Submissions!Data),"="&amp;subName,(Submissions!Data Submissions!sWeek),"="&amp;sWeek)</f>
        <v>0</v>
      </c>
      <c r="L23" s="83">
        <f>COUNTIFS((Submissions!name Submissions!Data),"="&amp;subName,(Submissions!Data Submissions!sWeek),"="&amp;sWeek)</f>
        <v>0</v>
      </c>
      <c r="M23" s="83">
        <f>COUNTIFS((Submissions!name Submissions!Data),"="&amp;subName,(Submissions!Data Submissions!sWeek),"="&amp;sWeek)</f>
        <v>0</v>
      </c>
      <c r="N23" s="83">
        <f>COUNTIFS((Submissions!name Submissions!Data),"="&amp;subName,(Submissions!Data Submissions!sWeek),"="&amp;sWeek)</f>
        <v>0</v>
      </c>
      <c r="O23" s="83">
        <f>COUNTIFS((Submissions!name Submissions!Data),"="&amp;subName,(Submissions!Data Submissions!sWeek),"="&amp;sWeek)</f>
        <v>0</v>
      </c>
      <c r="P23" s="83">
        <f>COUNTIFS((Submissions!name Submissions!Data),"="&amp;subName,(Submissions!Data Submissions!sWeek),"="&amp;sWeek)</f>
        <v>0</v>
      </c>
      <c r="Q23" s="83">
        <f>COUNTIFS((Submissions!name Submissions!Data),"="&amp;subName,(Submissions!Data Submissions!sWeek),"="&amp;sWeek)</f>
        <v>0</v>
      </c>
      <c r="R23" s="83">
        <f>COUNTIFS((Submissions!name Submissions!Data),"="&amp;subName,(Submissions!Data Submissions!sWeek),"="&amp;sWeek)</f>
        <v>0</v>
      </c>
      <c r="S23" s="79">
        <f t="shared" ref="S23:S44" si="1">SUM(C23:R23)</f>
        <v>0</v>
      </c>
    </row>
    <row r="24" spans="1:19" x14ac:dyDescent="0.25">
      <c r="A24" s="217">
        <v>18</v>
      </c>
      <c r="B24" s="102" t="str">
        <f>Roster!C25</f>
        <v>Muratov, Sherzod</v>
      </c>
      <c r="C24" s="82">
        <f>COUNTIFS((Submissions!name Submissions!Data),"="&amp;subName,(Submissions!Data Submissions!sWeek),"="&amp;sWeek)</f>
        <v>0</v>
      </c>
      <c r="D24" s="83">
        <f>COUNTIFS((Submissions!name Submissions!Data),"="&amp;subName,(Submissions!Data Submissions!sWeek),"="&amp;sWeek)</f>
        <v>0</v>
      </c>
      <c r="E24" s="83">
        <f>COUNTIFS((Submissions!name Submissions!Data),"="&amp;subName,(Submissions!Data Submissions!sWeek),"="&amp;sWeek)</f>
        <v>0</v>
      </c>
      <c r="F24" s="83">
        <f>COUNTIFS((Submissions!name Submissions!Data),"="&amp;subName,(Submissions!Data Submissions!sWeek),"="&amp;sWeek)</f>
        <v>0</v>
      </c>
      <c r="G24" s="83">
        <f>COUNTIFS((Submissions!name Submissions!Data),"="&amp;subName,(Submissions!Data Submissions!sWeek),"="&amp;sWeek)</f>
        <v>0</v>
      </c>
      <c r="H24" s="83">
        <f>COUNTIFS((Submissions!name Submissions!Data),"="&amp;subName,(Submissions!Data Submissions!sWeek),"="&amp;sWeek)</f>
        <v>0</v>
      </c>
      <c r="I24" s="83">
        <f>COUNTIFS((Submissions!name Submissions!Data),"="&amp;subName,(Submissions!Data Submissions!sWeek),"="&amp;sWeek)</f>
        <v>0</v>
      </c>
      <c r="J24" s="83">
        <f>COUNTIFS((Submissions!name Submissions!Data),"="&amp;subName,(Submissions!Data Submissions!sWeek),"="&amp;sWeek)</f>
        <v>0</v>
      </c>
      <c r="K24" s="83">
        <f>COUNTIFS((Submissions!name Submissions!Data),"="&amp;subName,(Submissions!Data Submissions!sWeek),"="&amp;sWeek)</f>
        <v>0</v>
      </c>
      <c r="L24" s="83">
        <f>COUNTIFS((Submissions!name Submissions!Data),"="&amp;subName,(Submissions!Data Submissions!sWeek),"="&amp;sWeek)</f>
        <v>0</v>
      </c>
      <c r="M24" s="83">
        <f>COUNTIFS((Submissions!name Submissions!Data),"="&amp;subName,(Submissions!Data Submissions!sWeek),"="&amp;sWeek)</f>
        <v>0</v>
      </c>
      <c r="N24" s="83">
        <f>COUNTIFS((Submissions!name Submissions!Data),"="&amp;subName,(Submissions!Data Submissions!sWeek),"="&amp;sWeek)</f>
        <v>0</v>
      </c>
      <c r="O24" s="83">
        <f>COUNTIFS((Submissions!name Submissions!Data),"="&amp;subName,(Submissions!Data Submissions!sWeek),"="&amp;sWeek)</f>
        <v>0</v>
      </c>
      <c r="P24" s="83">
        <f>COUNTIFS((Submissions!name Submissions!Data),"="&amp;subName,(Submissions!Data Submissions!sWeek),"="&amp;sWeek)</f>
        <v>0</v>
      </c>
      <c r="Q24" s="83">
        <f>COUNTIFS((Submissions!name Submissions!Data),"="&amp;subName,(Submissions!Data Submissions!sWeek),"="&amp;sWeek)</f>
        <v>0</v>
      </c>
      <c r="R24" s="83">
        <f>COUNTIFS((Submissions!name Submissions!Data),"="&amp;subName,(Submissions!Data Submissions!sWeek),"="&amp;sWeek)</f>
        <v>0</v>
      </c>
      <c r="S24" s="79">
        <f t="shared" si="1"/>
        <v>0</v>
      </c>
    </row>
    <row r="25" spans="1:19" x14ac:dyDescent="0.25">
      <c r="A25" s="217">
        <v>19</v>
      </c>
      <c r="B25" s="102" t="str">
        <f>Roster!C26</f>
        <v>Nazarov, Nodir</v>
      </c>
      <c r="C25" s="82">
        <f>COUNTIFS((Submissions!name Submissions!Data),"="&amp;subName,(Submissions!Data Submissions!sWeek),"="&amp;sWeek)</f>
        <v>0</v>
      </c>
      <c r="D25" s="83">
        <f>COUNTIFS((Submissions!name Submissions!Data),"="&amp;subName,(Submissions!Data Submissions!sWeek),"="&amp;sWeek)</f>
        <v>0</v>
      </c>
      <c r="E25" s="83">
        <f>COUNTIFS((Submissions!name Submissions!Data),"="&amp;subName,(Submissions!Data Submissions!sWeek),"="&amp;sWeek)</f>
        <v>0</v>
      </c>
      <c r="F25" s="83">
        <f>COUNTIFS((Submissions!name Submissions!Data),"="&amp;subName,(Submissions!Data Submissions!sWeek),"="&amp;sWeek)</f>
        <v>0</v>
      </c>
      <c r="G25" s="83">
        <f>COUNTIFS((Submissions!name Submissions!Data),"="&amp;subName,(Submissions!Data Submissions!sWeek),"="&amp;sWeek)</f>
        <v>0</v>
      </c>
      <c r="H25" s="83">
        <f>COUNTIFS((Submissions!name Submissions!Data),"="&amp;subName,(Submissions!Data Submissions!sWeek),"="&amp;sWeek)</f>
        <v>0</v>
      </c>
      <c r="I25" s="83">
        <f>COUNTIFS((Submissions!name Submissions!Data),"="&amp;subName,(Submissions!Data Submissions!sWeek),"="&amp;sWeek)</f>
        <v>0</v>
      </c>
      <c r="J25" s="83">
        <f>COUNTIFS((Submissions!name Submissions!Data),"="&amp;subName,(Submissions!Data Submissions!sWeek),"="&amp;sWeek)</f>
        <v>0</v>
      </c>
      <c r="K25" s="83">
        <f>COUNTIFS((Submissions!name Submissions!Data),"="&amp;subName,(Submissions!Data Submissions!sWeek),"="&amp;sWeek)</f>
        <v>0</v>
      </c>
      <c r="L25" s="83">
        <f>COUNTIFS((Submissions!name Submissions!Data),"="&amp;subName,(Submissions!Data Submissions!sWeek),"="&amp;sWeek)</f>
        <v>0</v>
      </c>
      <c r="M25" s="83">
        <f>COUNTIFS((Submissions!name Submissions!Data),"="&amp;subName,(Submissions!Data Submissions!sWeek),"="&amp;sWeek)</f>
        <v>0</v>
      </c>
      <c r="N25" s="83">
        <f>COUNTIFS((Submissions!name Submissions!Data),"="&amp;subName,(Submissions!Data Submissions!sWeek),"="&amp;sWeek)</f>
        <v>0</v>
      </c>
      <c r="O25" s="83">
        <f>COUNTIFS((Submissions!name Submissions!Data),"="&amp;subName,(Submissions!Data Submissions!sWeek),"="&amp;sWeek)</f>
        <v>0</v>
      </c>
      <c r="P25" s="83">
        <f>COUNTIFS((Submissions!name Submissions!Data),"="&amp;subName,(Submissions!Data Submissions!sWeek),"="&amp;sWeek)</f>
        <v>0</v>
      </c>
      <c r="Q25" s="83">
        <f>COUNTIFS((Submissions!name Submissions!Data),"="&amp;subName,(Submissions!Data Submissions!sWeek),"="&amp;sWeek)</f>
        <v>0</v>
      </c>
      <c r="R25" s="83">
        <f>COUNTIFS((Submissions!name Submissions!Data),"="&amp;subName,(Submissions!Data Submissions!sWeek),"="&amp;sWeek)</f>
        <v>0</v>
      </c>
      <c r="S25" s="79">
        <f t="shared" si="1"/>
        <v>0</v>
      </c>
    </row>
    <row r="26" spans="1:19" x14ac:dyDescent="0.25">
      <c r="A26" s="217">
        <v>20</v>
      </c>
      <c r="B26" s="102" t="str">
        <f>Roster!C27</f>
        <v>Negeri, Wagari Temesgen</v>
      </c>
      <c r="C26" s="82">
        <f>COUNTIFS((Submissions!name Submissions!Data),"="&amp;subName,(Submissions!Data Submissions!sWeek),"="&amp;sWeek)</f>
        <v>0</v>
      </c>
      <c r="D26" s="83">
        <f>COUNTIFS((Submissions!name Submissions!Data),"="&amp;subName,(Submissions!Data Submissions!sWeek),"="&amp;sWeek)</f>
        <v>0</v>
      </c>
      <c r="E26" s="83">
        <f>COUNTIFS((Submissions!name Submissions!Data),"="&amp;subName,(Submissions!Data Submissions!sWeek),"="&amp;sWeek)</f>
        <v>0</v>
      </c>
      <c r="F26" s="83">
        <f>COUNTIFS((Submissions!name Submissions!Data),"="&amp;subName,(Submissions!Data Submissions!sWeek),"="&amp;sWeek)</f>
        <v>0</v>
      </c>
      <c r="G26" s="83">
        <f>COUNTIFS((Submissions!name Submissions!Data),"="&amp;subName,(Submissions!Data Submissions!sWeek),"="&amp;sWeek)</f>
        <v>0</v>
      </c>
      <c r="H26" s="83">
        <f>COUNTIFS((Submissions!name Submissions!Data),"="&amp;subName,(Submissions!Data Submissions!sWeek),"="&amp;sWeek)</f>
        <v>0</v>
      </c>
      <c r="I26" s="83">
        <f>COUNTIFS((Submissions!name Submissions!Data),"="&amp;subName,(Submissions!Data Submissions!sWeek),"="&amp;sWeek)</f>
        <v>0</v>
      </c>
      <c r="J26" s="83">
        <f>COUNTIFS((Submissions!name Submissions!Data),"="&amp;subName,(Submissions!Data Submissions!sWeek),"="&amp;sWeek)</f>
        <v>0</v>
      </c>
      <c r="K26" s="83">
        <f>COUNTIFS((Submissions!name Submissions!Data),"="&amp;subName,(Submissions!Data Submissions!sWeek),"="&amp;sWeek)</f>
        <v>0</v>
      </c>
      <c r="L26" s="83">
        <f>COUNTIFS((Submissions!name Submissions!Data),"="&amp;subName,(Submissions!Data Submissions!sWeek),"="&amp;sWeek)</f>
        <v>0</v>
      </c>
      <c r="M26" s="83">
        <f>COUNTIFS((Submissions!name Submissions!Data),"="&amp;subName,(Submissions!Data Submissions!sWeek),"="&amp;sWeek)</f>
        <v>0</v>
      </c>
      <c r="N26" s="83">
        <f>COUNTIFS((Submissions!name Submissions!Data),"="&amp;subName,(Submissions!Data Submissions!sWeek),"="&amp;sWeek)</f>
        <v>0</v>
      </c>
      <c r="O26" s="83">
        <f>COUNTIFS((Submissions!name Submissions!Data),"="&amp;subName,(Submissions!Data Submissions!sWeek),"="&amp;sWeek)</f>
        <v>0</v>
      </c>
      <c r="P26" s="83">
        <f>COUNTIFS((Submissions!name Submissions!Data),"="&amp;subName,(Submissions!Data Submissions!sWeek),"="&amp;sWeek)</f>
        <v>0</v>
      </c>
      <c r="Q26" s="83">
        <f>COUNTIFS((Submissions!name Submissions!Data),"="&amp;subName,(Submissions!Data Submissions!sWeek),"="&amp;sWeek)</f>
        <v>0</v>
      </c>
      <c r="R26" s="83">
        <f>COUNTIFS((Submissions!name Submissions!Data),"="&amp;subName,(Submissions!Data Submissions!sWeek),"="&amp;sWeek)</f>
        <v>0</v>
      </c>
      <c r="S26" s="79">
        <f t="shared" si="1"/>
        <v>0</v>
      </c>
    </row>
    <row r="27" spans="1:19" x14ac:dyDescent="0.25">
      <c r="A27" s="217">
        <v>21</v>
      </c>
      <c r="B27" s="102" t="str">
        <f>Roster!C28</f>
        <v>Taheri, Homayoon</v>
      </c>
      <c r="C27" s="82">
        <f>COUNTIFS((Submissions!name Submissions!Data),"="&amp;subName,(Submissions!Data Submissions!sWeek),"="&amp;sWeek)</f>
        <v>0</v>
      </c>
      <c r="D27" s="83">
        <f>COUNTIFS((Submissions!name Submissions!Data),"="&amp;subName,(Submissions!Data Submissions!sWeek),"="&amp;sWeek)</f>
        <v>0</v>
      </c>
      <c r="E27" s="83">
        <f>COUNTIFS((Submissions!name Submissions!Data),"="&amp;subName,(Submissions!Data Submissions!sWeek),"="&amp;sWeek)</f>
        <v>0</v>
      </c>
      <c r="F27" s="83">
        <f>COUNTIFS((Submissions!name Submissions!Data),"="&amp;subName,(Submissions!Data Submissions!sWeek),"="&amp;sWeek)</f>
        <v>0</v>
      </c>
      <c r="G27" s="83">
        <f>COUNTIFS((Submissions!name Submissions!Data),"="&amp;subName,(Submissions!Data Submissions!sWeek),"="&amp;sWeek)</f>
        <v>0</v>
      </c>
      <c r="H27" s="83">
        <f>COUNTIFS((Submissions!name Submissions!Data),"="&amp;subName,(Submissions!Data Submissions!sWeek),"="&amp;sWeek)</f>
        <v>0</v>
      </c>
      <c r="I27" s="83">
        <f>COUNTIFS((Submissions!name Submissions!Data),"="&amp;subName,(Submissions!Data Submissions!sWeek),"="&amp;sWeek)</f>
        <v>0</v>
      </c>
      <c r="J27" s="83">
        <f>COUNTIFS((Submissions!name Submissions!Data),"="&amp;subName,(Submissions!Data Submissions!sWeek),"="&amp;sWeek)</f>
        <v>0</v>
      </c>
      <c r="K27" s="83">
        <f>COUNTIFS((Submissions!name Submissions!Data),"="&amp;subName,(Submissions!Data Submissions!sWeek),"="&amp;sWeek)</f>
        <v>0</v>
      </c>
      <c r="L27" s="83">
        <f>COUNTIFS((Submissions!name Submissions!Data),"="&amp;subName,(Submissions!Data Submissions!sWeek),"="&amp;sWeek)</f>
        <v>0</v>
      </c>
      <c r="M27" s="83">
        <f>COUNTIFS((Submissions!name Submissions!Data),"="&amp;subName,(Submissions!Data Submissions!sWeek),"="&amp;sWeek)</f>
        <v>0</v>
      </c>
      <c r="N27" s="83">
        <f>COUNTIFS((Submissions!name Submissions!Data),"="&amp;subName,(Submissions!Data Submissions!sWeek),"="&amp;sWeek)</f>
        <v>0</v>
      </c>
      <c r="O27" s="83">
        <f>COUNTIFS((Submissions!name Submissions!Data),"="&amp;subName,(Submissions!Data Submissions!sWeek),"="&amp;sWeek)</f>
        <v>0</v>
      </c>
      <c r="P27" s="83">
        <f>COUNTIFS((Submissions!name Submissions!Data),"="&amp;subName,(Submissions!Data Submissions!sWeek),"="&amp;sWeek)</f>
        <v>0</v>
      </c>
      <c r="Q27" s="83">
        <f>COUNTIFS((Submissions!name Submissions!Data),"="&amp;subName,(Submissions!Data Submissions!sWeek),"="&amp;sWeek)</f>
        <v>0</v>
      </c>
      <c r="R27" s="83">
        <f>COUNTIFS((Submissions!name Submissions!Data),"="&amp;subName,(Submissions!Data Submissions!sWeek),"="&amp;sWeek)</f>
        <v>0</v>
      </c>
      <c r="S27" s="79">
        <f t="shared" si="1"/>
        <v>0</v>
      </c>
    </row>
    <row r="28" spans="1:19" x14ac:dyDescent="0.25">
      <c r="A28" s="217">
        <v>22</v>
      </c>
      <c r="B28" s="102" t="str">
        <f>Roster!C29</f>
        <v>Tsagaach, Enkhbold</v>
      </c>
      <c r="C28" s="82">
        <f>COUNTIFS((Submissions!name Submissions!Data),"="&amp;subName,(Submissions!Data Submissions!sWeek),"="&amp;sWeek)</f>
        <v>0</v>
      </c>
      <c r="D28" s="83">
        <f>COUNTIFS((Submissions!name Submissions!Data),"="&amp;subName,(Submissions!Data Submissions!sWeek),"="&amp;sWeek)</f>
        <v>0</v>
      </c>
      <c r="E28" s="83">
        <f>COUNTIFS((Submissions!name Submissions!Data),"="&amp;subName,(Submissions!Data Submissions!sWeek),"="&amp;sWeek)</f>
        <v>0</v>
      </c>
      <c r="F28" s="83">
        <f>COUNTIFS((Submissions!name Submissions!Data),"="&amp;subName,(Submissions!Data Submissions!sWeek),"="&amp;sWeek)</f>
        <v>0</v>
      </c>
      <c r="G28" s="83">
        <f>COUNTIFS((Submissions!name Submissions!Data),"="&amp;subName,(Submissions!Data Submissions!sWeek),"="&amp;sWeek)</f>
        <v>0</v>
      </c>
      <c r="H28" s="83">
        <f>COUNTIFS((Submissions!name Submissions!Data),"="&amp;subName,(Submissions!Data Submissions!sWeek),"="&amp;sWeek)</f>
        <v>0</v>
      </c>
      <c r="I28" s="83">
        <f>COUNTIFS((Submissions!name Submissions!Data),"="&amp;subName,(Submissions!Data Submissions!sWeek),"="&amp;sWeek)</f>
        <v>0</v>
      </c>
      <c r="J28" s="83">
        <f>COUNTIFS((Submissions!name Submissions!Data),"="&amp;subName,(Submissions!Data Submissions!sWeek),"="&amp;sWeek)</f>
        <v>0</v>
      </c>
      <c r="K28" s="83">
        <f>COUNTIFS((Submissions!name Submissions!Data),"="&amp;subName,(Submissions!Data Submissions!sWeek),"="&amp;sWeek)</f>
        <v>0</v>
      </c>
      <c r="L28" s="83">
        <f>COUNTIFS((Submissions!name Submissions!Data),"="&amp;subName,(Submissions!Data Submissions!sWeek),"="&amp;sWeek)</f>
        <v>0</v>
      </c>
      <c r="M28" s="83">
        <f>COUNTIFS((Submissions!name Submissions!Data),"="&amp;subName,(Submissions!Data Submissions!sWeek),"="&amp;sWeek)</f>
        <v>0</v>
      </c>
      <c r="N28" s="83">
        <f>COUNTIFS((Submissions!name Submissions!Data),"="&amp;subName,(Submissions!Data Submissions!sWeek),"="&amp;sWeek)</f>
        <v>0</v>
      </c>
      <c r="O28" s="83">
        <f>COUNTIFS((Submissions!name Submissions!Data),"="&amp;subName,(Submissions!Data Submissions!sWeek),"="&amp;sWeek)</f>
        <v>0</v>
      </c>
      <c r="P28" s="83">
        <f>COUNTIFS((Submissions!name Submissions!Data),"="&amp;subName,(Submissions!Data Submissions!sWeek),"="&amp;sWeek)</f>
        <v>0</v>
      </c>
      <c r="Q28" s="83">
        <f>COUNTIFS((Submissions!name Submissions!Data),"="&amp;subName,(Submissions!Data Submissions!sWeek),"="&amp;sWeek)</f>
        <v>0</v>
      </c>
      <c r="R28" s="83">
        <f>COUNTIFS((Submissions!name Submissions!Data),"="&amp;subName,(Submissions!Data Submissions!sWeek),"="&amp;sWeek)</f>
        <v>0</v>
      </c>
      <c r="S28" s="79">
        <f t="shared" si="1"/>
        <v>0</v>
      </c>
    </row>
    <row r="29" spans="1:19" x14ac:dyDescent="0.25">
      <c r="A29" s="217">
        <v>23</v>
      </c>
      <c r="B29" s="102" t="str">
        <f>Roster!C30</f>
        <v>Turabaev, Orifjon</v>
      </c>
      <c r="C29" s="82">
        <f>COUNTIFS((Submissions!name Submissions!Data),"="&amp;subName,(Submissions!Data Submissions!sWeek),"="&amp;sWeek)</f>
        <v>0</v>
      </c>
      <c r="D29" s="83">
        <f>COUNTIFS((Submissions!name Submissions!Data),"="&amp;subName,(Submissions!Data Submissions!sWeek),"="&amp;sWeek)</f>
        <v>0</v>
      </c>
      <c r="E29" s="83">
        <f>COUNTIFS((Submissions!name Submissions!Data),"="&amp;subName,(Submissions!Data Submissions!sWeek),"="&amp;sWeek)</f>
        <v>0</v>
      </c>
      <c r="F29" s="83">
        <f>COUNTIFS((Submissions!name Submissions!Data),"="&amp;subName,(Submissions!Data Submissions!sWeek),"="&amp;sWeek)</f>
        <v>0</v>
      </c>
      <c r="G29" s="83">
        <f>COUNTIFS((Submissions!name Submissions!Data),"="&amp;subName,(Submissions!Data Submissions!sWeek),"="&amp;sWeek)</f>
        <v>0</v>
      </c>
      <c r="H29" s="83">
        <f>COUNTIFS((Submissions!name Submissions!Data),"="&amp;subName,(Submissions!Data Submissions!sWeek),"="&amp;sWeek)</f>
        <v>0</v>
      </c>
      <c r="I29" s="83">
        <f>COUNTIFS((Submissions!name Submissions!Data),"="&amp;subName,(Submissions!Data Submissions!sWeek),"="&amp;sWeek)</f>
        <v>0</v>
      </c>
      <c r="J29" s="83">
        <f>COUNTIFS((Submissions!name Submissions!Data),"="&amp;subName,(Submissions!Data Submissions!sWeek),"="&amp;sWeek)</f>
        <v>0</v>
      </c>
      <c r="K29" s="83">
        <f>COUNTIFS((Submissions!name Submissions!Data),"="&amp;subName,(Submissions!Data Submissions!sWeek),"="&amp;sWeek)</f>
        <v>0</v>
      </c>
      <c r="L29" s="83">
        <f>COUNTIFS((Submissions!name Submissions!Data),"="&amp;subName,(Submissions!Data Submissions!sWeek),"="&amp;sWeek)</f>
        <v>0</v>
      </c>
      <c r="M29" s="83">
        <f>COUNTIFS((Submissions!name Submissions!Data),"="&amp;subName,(Submissions!Data Submissions!sWeek),"="&amp;sWeek)</f>
        <v>0</v>
      </c>
      <c r="N29" s="83">
        <f>COUNTIFS((Submissions!name Submissions!Data),"="&amp;subName,(Submissions!Data Submissions!sWeek),"="&amp;sWeek)</f>
        <v>0</v>
      </c>
      <c r="O29" s="83">
        <f>COUNTIFS((Submissions!name Submissions!Data),"="&amp;subName,(Submissions!Data Submissions!sWeek),"="&amp;sWeek)</f>
        <v>0</v>
      </c>
      <c r="P29" s="83">
        <f>COUNTIFS((Submissions!name Submissions!Data),"="&amp;subName,(Submissions!Data Submissions!sWeek),"="&amp;sWeek)</f>
        <v>0</v>
      </c>
      <c r="Q29" s="83">
        <f>COUNTIFS((Submissions!name Submissions!Data),"="&amp;subName,(Submissions!Data Submissions!sWeek),"="&amp;sWeek)</f>
        <v>0</v>
      </c>
      <c r="R29" s="83">
        <f>COUNTIFS((Submissions!name Submissions!Data),"="&amp;subName,(Submissions!Data Submissions!sWeek),"="&amp;sWeek)</f>
        <v>0</v>
      </c>
      <c r="S29" s="79">
        <f t="shared" si="1"/>
        <v>0</v>
      </c>
    </row>
    <row r="30" spans="1:19" x14ac:dyDescent="0.25">
      <c r="A30" s="217">
        <v>24</v>
      </c>
      <c r="B30" s="102" t="str">
        <f>Roster!C31</f>
        <v>Wang, Huanjie</v>
      </c>
      <c r="C30" s="82">
        <f>COUNTIFS((Submissions!name Submissions!Data),"="&amp;subName,(Submissions!Data Submissions!sWeek),"="&amp;sWeek)</f>
        <v>0</v>
      </c>
      <c r="D30" s="83">
        <f>COUNTIFS((Submissions!name Submissions!Data),"="&amp;subName,(Submissions!Data Submissions!sWeek),"="&amp;sWeek)</f>
        <v>0</v>
      </c>
      <c r="E30" s="83">
        <f>COUNTIFS((Submissions!name Submissions!Data),"="&amp;subName,(Submissions!Data Submissions!sWeek),"="&amp;sWeek)</f>
        <v>0</v>
      </c>
      <c r="F30" s="83">
        <f>COUNTIFS((Submissions!name Submissions!Data),"="&amp;subName,(Submissions!Data Submissions!sWeek),"="&amp;sWeek)</f>
        <v>0</v>
      </c>
      <c r="G30" s="83">
        <f>COUNTIFS((Submissions!name Submissions!Data),"="&amp;subName,(Submissions!Data Submissions!sWeek),"="&amp;sWeek)</f>
        <v>0</v>
      </c>
      <c r="H30" s="83">
        <f>COUNTIFS((Submissions!name Submissions!Data),"="&amp;subName,(Submissions!Data Submissions!sWeek),"="&amp;sWeek)</f>
        <v>0</v>
      </c>
      <c r="I30" s="83">
        <f>COUNTIFS((Submissions!name Submissions!Data),"="&amp;subName,(Submissions!Data Submissions!sWeek),"="&amp;sWeek)</f>
        <v>0</v>
      </c>
      <c r="J30" s="83">
        <f>COUNTIFS((Submissions!name Submissions!Data),"="&amp;subName,(Submissions!Data Submissions!sWeek),"="&amp;sWeek)</f>
        <v>0</v>
      </c>
      <c r="K30" s="83">
        <f>COUNTIFS((Submissions!name Submissions!Data),"="&amp;subName,(Submissions!Data Submissions!sWeek),"="&amp;sWeek)</f>
        <v>0</v>
      </c>
      <c r="L30" s="83">
        <f>COUNTIFS((Submissions!name Submissions!Data),"="&amp;subName,(Submissions!Data Submissions!sWeek),"="&amp;sWeek)</f>
        <v>0</v>
      </c>
      <c r="M30" s="83">
        <f>COUNTIFS((Submissions!name Submissions!Data),"="&amp;subName,(Submissions!Data Submissions!sWeek),"="&amp;sWeek)</f>
        <v>0</v>
      </c>
      <c r="N30" s="83">
        <f>COUNTIFS((Submissions!name Submissions!Data),"="&amp;subName,(Submissions!Data Submissions!sWeek),"="&amp;sWeek)</f>
        <v>0</v>
      </c>
      <c r="O30" s="83">
        <f>COUNTIFS((Submissions!name Submissions!Data),"="&amp;subName,(Submissions!Data Submissions!sWeek),"="&amp;sWeek)</f>
        <v>0</v>
      </c>
      <c r="P30" s="83">
        <f>COUNTIFS((Submissions!name Submissions!Data),"="&amp;subName,(Submissions!Data Submissions!sWeek),"="&amp;sWeek)</f>
        <v>0</v>
      </c>
      <c r="Q30" s="83">
        <f>COUNTIFS((Submissions!name Submissions!Data),"="&amp;subName,(Submissions!Data Submissions!sWeek),"="&amp;sWeek)</f>
        <v>0</v>
      </c>
      <c r="R30" s="83">
        <f>COUNTIFS((Submissions!name Submissions!Data),"="&amp;subName,(Submissions!Data Submissions!sWeek),"="&amp;sWeek)</f>
        <v>0</v>
      </c>
      <c r="S30" s="79">
        <f t="shared" si="1"/>
        <v>0</v>
      </c>
    </row>
    <row r="31" spans="1:19" x14ac:dyDescent="0.25">
      <c r="A31" s="217">
        <v>25</v>
      </c>
      <c r="B31" s="102" t="str">
        <f>Roster!C32</f>
        <v>Wang, Zhenguo</v>
      </c>
      <c r="C31" s="82">
        <f>COUNTIFS((Submissions!name Submissions!Data),"="&amp;subName,(Submissions!Data Submissions!sWeek),"="&amp;sWeek)</f>
        <v>0</v>
      </c>
      <c r="D31" s="83">
        <f>COUNTIFS((Submissions!name Submissions!Data),"="&amp;subName,(Submissions!Data Submissions!sWeek),"="&amp;sWeek)</f>
        <v>0</v>
      </c>
      <c r="E31" s="83">
        <f>COUNTIFS((Submissions!name Submissions!Data),"="&amp;subName,(Submissions!Data Submissions!sWeek),"="&amp;sWeek)</f>
        <v>0</v>
      </c>
      <c r="F31" s="83">
        <f>COUNTIFS((Submissions!name Submissions!Data),"="&amp;subName,(Submissions!Data Submissions!sWeek),"="&amp;sWeek)</f>
        <v>0</v>
      </c>
      <c r="G31" s="83">
        <f>COUNTIFS((Submissions!name Submissions!Data),"="&amp;subName,(Submissions!Data Submissions!sWeek),"="&amp;sWeek)</f>
        <v>0</v>
      </c>
      <c r="H31" s="83">
        <f>COUNTIFS((Submissions!name Submissions!Data),"="&amp;subName,(Submissions!Data Submissions!sWeek),"="&amp;sWeek)</f>
        <v>0</v>
      </c>
      <c r="I31" s="83">
        <f>COUNTIFS((Submissions!name Submissions!Data),"="&amp;subName,(Submissions!Data Submissions!sWeek),"="&amp;sWeek)</f>
        <v>0</v>
      </c>
      <c r="J31" s="83">
        <f>COUNTIFS((Submissions!name Submissions!Data),"="&amp;subName,(Submissions!Data Submissions!sWeek),"="&amp;sWeek)</f>
        <v>0</v>
      </c>
      <c r="K31" s="83">
        <f>COUNTIFS((Submissions!name Submissions!Data),"="&amp;subName,(Submissions!Data Submissions!sWeek),"="&amp;sWeek)</f>
        <v>0</v>
      </c>
      <c r="L31" s="83">
        <f>COUNTIFS((Submissions!name Submissions!Data),"="&amp;subName,(Submissions!Data Submissions!sWeek),"="&amp;sWeek)</f>
        <v>0</v>
      </c>
      <c r="M31" s="83">
        <f>COUNTIFS((Submissions!name Submissions!Data),"="&amp;subName,(Submissions!Data Submissions!sWeek),"="&amp;sWeek)</f>
        <v>0</v>
      </c>
      <c r="N31" s="83">
        <f>COUNTIFS((Submissions!name Submissions!Data),"="&amp;subName,(Submissions!Data Submissions!sWeek),"="&amp;sWeek)</f>
        <v>0</v>
      </c>
      <c r="O31" s="83">
        <f>COUNTIFS((Submissions!name Submissions!Data),"="&amp;subName,(Submissions!Data Submissions!sWeek),"="&amp;sWeek)</f>
        <v>0</v>
      </c>
      <c r="P31" s="83">
        <f>COUNTIFS((Submissions!name Submissions!Data),"="&amp;subName,(Submissions!Data Submissions!sWeek),"="&amp;sWeek)</f>
        <v>0</v>
      </c>
      <c r="Q31" s="83">
        <f>COUNTIFS((Submissions!name Submissions!Data),"="&amp;subName,(Submissions!Data Submissions!sWeek),"="&amp;sWeek)</f>
        <v>0</v>
      </c>
      <c r="R31" s="83">
        <f>COUNTIFS((Submissions!name Submissions!Data),"="&amp;subName,(Submissions!Data Submissions!sWeek),"="&amp;sWeek)</f>
        <v>0</v>
      </c>
      <c r="S31" s="79">
        <f t="shared" si="1"/>
        <v>0</v>
      </c>
    </row>
    <row r="32" spans="1:19" x14ac:dyDescent="0.25">
      <c r="A32" s="217">
        <v>26</v>
      </c>
      <c r="B32" s="102" t="str">
        <f>Roster!C33</f>
        <v>Yousuf, Sundus</v>
      </c>
      <c r="C32" s="82">
        <f>COUNTIFS((Submissions!name Submissions!Data),"="&amp;subName,(Submissions!Data Submissions!sWeek),"="&amp;sWeek)</f>
        <v>0</v>
      </c>
      <c r="D32" s="83">
        <f>COUNTIFS((Submissions!name Submissions!Data),"="&amp;subName,(Submissions!Data Submissions!sWeek),"="&amp;sWeek)</f>
        <v>0</v>
      </c>
      <c r="E32" s="83">
        <f>COUNTIFS((Submissions!name Submissions!Data),"="&amp;subName,(Submissions!Data Submissions!sWeek),"="&amp;sWeek)</f>
        <v>0</v>
      </c>
      <c r="F32" s="83">
        <f>COUNTIFS((Submissions!name Submissions!Data),"="&amp;subName,(Submissions!Data Submissions!sWeek),"="&amp;sWeek)</f>
        <v>0</v>
      </c>
      <c r="G32" s="83">
        <f>COUNTIFS((Submissions!name Submissions!Data),"="&amp;subName,(Submissions!Data Submissions!sWeek),"="&amp;sWeek)</f>
        <v>0</v>
      </c>
      <c r="H32" s="83">
        <f>COUNTIFS((Submissions!name Submissions!Data),"="&amp;subName,(Submissions!Data Submissions!sWeek),"="&amp;sWeek)</f>
        <v>0</v>
      </c>
      <c r="I32" s="83">
        <f>COUNTIFS((Submissions!name Submissions!Data),"="&amp;subName,(Submissions!Data Submissions!sWeek),"="&amp;sWeek)</f>
        <v>0</v>
      </c>
      <c r="J32" s="83">
        <f>COUNTIFS((Submissions!name Submissions!Data),"="&amp;subName,(Submissions!Data Submissions!sWeek),"="&amp;sWeek)</f>
        <v>0</v>
      </c>
      <c r="K32" s="83">
        <f>COUNTIFS((Submissions!name Submissions!Data),"="&amp;subName,(Submissions!Data Submissions!sWeek),"="&amp;sWeek)</f>
        <v>0</v>
      </c>
      <c r="L32" s="83">
        <f>COUNTIFS((Submissions!name Submissions!Data),"="&amp;subName,(Submissions!Data Submissions!sWeek),"="&amp;sWeek)</f>
        <v>0</v>
      </c>
      <c r="M32" s="83">
        <f>COUNTIFS((Submissions!name Submissions!Data),"="&amp;subName,(Submissions!Data Submissions!sWeek),"="&amp;sWeek)</f>
        <v>0</v>
      </c>
      <c r="N32" s="83">
        <f>COUNTIFS((Submissions!name Submissions!Data),"="&amp;subName,(Submissions!Data Submissions!sWeek),"="&amp;sWeek)</f>
        <v>0</v>
      </c>
      <c r="O32" s="83">
        <f>COUNTIFS((Submissions!name Submissions!Data),"="&amp;subName,(Submissions!Data Submissions!sWeek),"="&amp;sWeek)</f>
        <v>0</v>
      </c>
      <c r="P32" s="83">
        <f>COUNTIFS((Submissions!name Submissions!Data),"="&amp;subName,(Submissions!Data Submissions!sWeek),"="&amp;sWeek)</f>
        <v>0</v>
      </c>
      <c r="Q32" s="83">
        <f>COUNTIFS((Submissions!name Submissions!Data),"="&amp;subName,(Submissions!Data Submissions!sWeek),"="&amp;sWeek)</f>
        <v>0</v>
      </c>
      <c r="R32" s="83">
        <f>COUNTIFS((Submissions!name Submissions!Data),"="&amp;subName,(Submissions!Data Submissions!sWeek),"="&amp;sWeek)</f>
        <v>0</v>
      </c>
      <c r="S32" s="79">
        <f t="shared" si="1"/>
        <v>0</v>
      </c>
    </row>
    <row r="33" spans="1:19" x14ac:dyDescent="0.25">
      <c r="A33" s="217">
        <v>27</v>
      </c>
      <c r="B33" s="102" t="str">
        <f>Roster!C34</f>
        <v>Zakaria, Danial</v>
      </c>
      <c r="C33" s="82">
        <f>COUNTIFS((Submissions!name Submissions!Data),"="&amp;subName,(Submissions!Data Submissions!sWeek),"="&amp;sWeek)</f>
        <v>0</v>
      </c>
      <c r="D33" s="83">
        <f>COUNTIFS((Submissions!name Submissions!Data),"="&amp;subName,(Submissions!Data Submissions!sWeek),"="&amp;sWeek)</f>
        <v>0</v>
      </c>
      <c r="E33" s="83">
        <f>COUNTIFS((Submissions!name Submissions!Data),"="&amp;subName,(Submissions!Data Submissions!sWeek),"="&amp;sWeek)</f>
        <v>0</v>
      </c>
      <c r="F33" s="83">
        <f>COUNTIFS((Submissions!name Submissions!Data),"="&amp;subName,(Submissions!Data Submissions!sWeek),"="&amp;sWeek)</f>
        <v>0</v>
      </c>
      <c r="G33" s="83">
        <f>COUNTIFS((Submissions!name Submissions!Data),"="&amp;subName,(Submissions!Data Submissions!sWeek),"="&amp;sWeek)</f>
        <v>0</v>
      </c>
      <c r="H33" s="83">
        <f>COUNTIFS((Submissions!name Submissions!Data),"="&amp;subName,(Submissions!Data Submissions!sWeek),"="&amp;sWeek)</f>
        <v>0</v>
      </c>
      <c r="I33" s="83">
        <f>COUNTIFS((Submissions!name Submissions!Data),"="&amp;subName,(Submissions!Data Submissions!sWeek),"="&amp;sWeek)</f>
        <v>0</v>
      </c>
      <c r="J33" s="83">
        <f>COUNTIFS((Submissions!name Submissions!Data),"="&amp;subName,(Submissions!Data Submissions!sWeek),"="&amp;sWeek)</f>
        <v>0</v>
      </c>
      <c r="K33" s="83">
        <f>COUNTIFS((Submissions!name Submissions!Data),"="&amp;subName,(Submissions!Data Submissions!sWeek),"="&amp;sWeek)</f>
        <v>0</v>
      </c>
      <c r="L33" s="83">
        <f>COUNTIFS((Submissions!name Submissions!Data),"="&amp;subName,(Submissions!Data Submissions!sWeek),"="&amp;sWeek)</f>
        <v>0</v>
      </c>
      <c r="M33" s="83">
        <f>COUNTIFS((Submissions!name Submissions!Data),"="&amp;subName,(Submissions!Data Submissions!sWeek),"="&amp;sWeek)</f>
        <v>0</v>
      </c>
      <c r="N33" s="83">
        <f>COUNTIFS((Submissions!name Submissions!Data),"="&amp;subName,(Submissions!Data Submissions!sWeek),"="&amp;sWeek)</f>
        <v>0</v>
      </c>
      <c r="O33" s="83">
        <f>COUNTIFS((Submissions!name Submissions!Data),"="&amp;subName,(Submissions!Data Submissions!sWeek),"="&amp;sWeek)</f>
        <v>0</v>
      </c>
      <c r="P33" s="83">
        <f>COUNTIFS((Submissions!name Submissions!Data),"="&amp;subName,(Submissions!Data Submissions!sWeek),"="&amp;sWeek)</f>
        <v>0</v>
      </c>
      <c r="Q33" s="83">
        <f>COUNTIFS((Submissions!name Submissions!Data),"="&amp;subName,(Submissions!Data Submissions!sWeek),"="&amp;sWeek)</f>
        <v>0</v>
      </c>
      <c r="R33" s="83">
        <f>COUNTIFS((Submissions!name Submissions!Data),"="&amp;subName,(Submissions!Data Submissions!sWeek),"="&amp;sWeek)</f>
        <v>0</v>
      </c>
      <c r="S33" s="79">
        <f t="shared" si="1"/>
        <v>0</v>
      </c>
    </row>
    <row r="34" spans="1:19" x14ac:dyDescent="0.25">
      <c r="A34" s="217">
        <v>28</v>
      </c>
      <c r="B34" s="102" t="e">
        <f>Roster!#REF!</f>
        <v>#REF!</v>
      </c>
      <c r="C34" s="82">
        <f>COUNTIFS((Submissions!name Submissions!Data),"="&amp;subName,(Submissions!Data Submissions!sWeek),"="&amp;sWeek)</f>
        <v>0</v>
      </c>
      <c r="D34" s="83">
        <f>COUNTIFS((Submissions!name Submissions!Data),"="&amp;subName,(Submissions!Data Submissions!sWeek),"="&amp;sWeek)</f>
        <v>0</v>
      </c>
      <c r="E34" s="83">
        <f>COUNTIFS((Submissions!name Submissions!Data),"="&amp;subName,(Submissions!Data Submissions!sWeek),"="&amp;sWeek)</f>
        <v>0</v>
      </c>
      <c r="F34" s="83">
        <f>COUNTIFS((Submissions!name Submissions!Data),"="&amp;subName,(Submissions!Data Submissions!sWeek),"="&amp;sWeek)</f>
        <v>0</v>
      </c>
      <c r="G34" s="83">
        <f>COUNTIFS((Submissions!name Submissions!Data),"="&amp;subName,(Submissions!Data Submissions!sWeek),"="&amp;sWeek)</f>
        <v>0</v>
      </c>
      <c r="H34" s="83">
        <f>COUNTIFS((Submissions!name Submissions!Data),"="&amp;subName,(Submissions!Data Submissions!sWeek),"="&amp;sWeek)</f>
        <v>0</v>
      </c>
      <c r="I34" s="83">
        <f>COUNTIFS((Submissions!name Submissions!Data),"="&amp;subName,(Submissions!Data Submissions!sWeek),"="&amp;sWeek)</f>
        <v>0</v>
      </c>
      <c r="J34" s="83">
        <f>COUNTIFS((Submissions!name Submissions!Data),"="&amp;subName,(Submissions!Data Submissions!sWeek),"="&amp;sWeek)</f>
        <v>0</v>
      </c>
      <c r="K34" s="83">
        <f>COUNTIFS((Submissions!name Submissions!Data),"="&amp;subName,(Submissions!Data Submissions!sWeek),"="&amp;sWeek)</f>
        <v>0</v>
      </c>
      <c r="L34" s="83">
        <f>COUNTIFS((Submissions!name Submissions!Data),"="&amp;subName,(Submissions!Data Submissions!sWeek),"="&amp;sWeek)</f>
        <v>0</v>
      </c>
      <c r="M34" s="83">
        <f>COUNTIFS((Submissions!name Submissions!Data),"="&amp;subName,(Submissions!Data Submissions!sWeek),"="&amp;sWeek)</f>
        <v>0</v>
      </c>
      <c r="N34" s="83">
        <f>COUNTIFS((Submissions!name Submissions!Data),"="&amp;subName,(Submissions!Data Submissions!sWeek),"="&amp;sWeek)</f>
        <v>0</v>
      </c>
      <c r="O34" s="83">
        <f>COUNTIFS((Submissions!name Submissions!Data),"="&amp;subName,(Submissions!Data Submissions!sWeek),"="&amp;sWeek)</f>
        <v>0</v>
      </c>
      <c r="P34" s="83">
        <f>COUNTIFS((Submissions!name Submissions!Data),"="&amp;subName,(Submissions!Data Submissions!sWeek),"="&amp;sWeek)</f>
        <v>0</v>
      </c>
      <c r="Q34" s="83">
        <f>COUNTIFS((Submissions!name Submissions!Data),"="&amp;subName,(Submissions!Data Submissions!sWeek),"="&amp;sWeek)</f>
        <v>0</v>
      </c>
      <c r="R34" s="83">
        <f>COUNTIFS((Submissions!name Submissions!Data),"="&amp;subName,(Submissions!Data Submissions!sWeek),"="&amp;sWeek)</f>
        <v>0</v>
      </c>
      <c r="S34" s="79">
        <f t="shared" si="1"/>
        <v>0</v>
      </c>
    </row>
    <row r="35" spans="1:19" x14ac:dyDescent="0.25">
      <c r="A35" s="217">
        <v>29</v>
      </c>
      <c r="B35" s="102" t="e">
        <f>Roster!#REF!</f>
        <v>#REF!</v>
      </c>
      <c r="C35" s="82">
        <f>COUNTIFS((Submissions!name Submissions!Data),"="&amp;subName,(Submissions!Data Submissions!sWeek),"="&amp;sWeek)</f>
        <v>0</v>
      </c>
      <c r="D35" s="83">
        <f>COUNTIFS((Submissions!name Submissions!Data),"="&amp;subName,(Submissions!Data Submissions!sWeek),"="&amp;sWeek)</f>
        <v>0</v>
      </c>
      <c r="E35" s="83">
        <f>COUNTIFS((Submissions!name Submissions!Data),"="&amp;subName,(Submissions!Data Submissions!sWeek),"="&amp;sWeek)</f>
        <v>0</v>
      </c>
      <c r="F35" s="83">
        <f>COUNTIFS((Submissions!name Submissions!Data),"="&amp;subName,(Submissions!Data Submissions!sWeek),"="&amp;sWeek)</f>
        <v>0</v>
      </c>
      <c r="G35" s="83">
        <f>COUNTIFS((Submissions!name Submissions!Data),"="&amp;subName,(Submissions!Data Submissions!sWeek),"="&amp;sWeek)</f>
        <v>0</v>
      </c>
      <c r="H35" s="83">
        <f>COUNTIFS((Submissions!name Submissions!Data),"="&amp;subName,(Submissions!Data Submissions!sWeek),"="&amp;sWeek)</f>
        <v>0</v>
      </c>
      <c r="I35" s="83">
        <f>COUNTIFS((Submissions!name Submissions!Data),"="&amp;subName,(Submissions!Data Submissions!sWeek),"="&amp;sWeek)</f>
        <v>0</v>
      </c>
      <c r="J35" s="83">
        <f>COUNTIFS((Submissions!name Submissions!Data),"="&amp;subName,(Submissions!Data Submissions!sWeek),"="&amp;sWeek)</f>
        <v>0</v>
      </c>
      <c r="K35" s="83">
        <f>COUNTIFS((Submissions!name Submissions!Data),"="&amp;subName,(Submissions!Data Submissions!sWeek),"="&amp;sWeek)</f>
        <v>0</v>
      </c>
      <c r="L35" s="83">
        <f>COUNTIFS((Submissions!name Submissions!Data),"="&amp;subName,(Submissions!Data Submissions!sWeek),"="&amp;sWeek)</f>
        <v>0</v>
      </c>
      <c r="M35" s="83">
        <f>COUNTIFS((Submissions!name Submissions!Data),"="&amp;subName,(Submissions!Data Submissions!sWeek),"="&amp;sWeek)</f>
        <v>0</v>
      </c>
      <c r="N35" s="83">
        <f>COUNTIFS((Submissions!name Submissions!Data),"="&amp;subName,(Submissions!Data Submissions!sWeek),"="&amp;sWeek)</f>
        <v>0</v>
      </c>
      <c r="O35" s="83">
        <f>COUNTIFS((Submissions!name Submissions!Data),"="&amp;subName,(Submissions!Data Submissions!sWeek),"="&amp;sWeek)</f>
        <v>0</v>
      </c>
      <c r="P35" s="83">
        <f>COUNTIFS((Submissions!name Submissions!Data),"="&amp;subName,(Submissions!Data Submissions!sWeek),"="&amp;sWeek)</f>
        <v>0</v>
      </c>
      <c r="Q35" s="83">
        <f>COUNTIFS((Submissions!name Submissions!Data),"="&amp;subName,(Submissions!Data Submissions!sWeek),"="&amp;sWeek)</f>
        <v>0</v>
      </c>
      <c r="R35" s="83">
        <f>COUNTIFS((Submissions!name Submissions!Data),"="&amp;subName,(Submissions!Data Submissions!sWeek),"="&amp;sWeek)</f>
        <v>0</v>
      </c>
      <c r="S35" s="79">
        <f t="shared" si="1"/>
        <v>0</v>
      </c>
    </row>
    <row r="36" spans="1:19" x14ac:dyDescent="0.25">
      <c r="A36" s="217">
        <v>30</v>
      </c>
      <c r="B36" s="102" t="e">
        <f>Roster!#REF!</f>
        <v>#REF!</v>
      </c>
      <c r="C36" s="82">
        <f>COUNTIFS((Submissions!name Submissions!Data),"="&amp;subName,(Submissions!Data Submissions!sWeek),"="&amp;sWeek)</f>
        <v>0</v>
      </c>
      <c r="D36" s="83">
        <f>COUNTIFS((Submissions!name Submissions!Data),"="&amp;subName,(Submissions!Data Submissions!sWeek),"="&amp;sWeek)</f>
        <v>0</v>
      </c>
      <c r="E36" s="83">
        <f>COUNTIFS((Submissions!name Submissions!Data),"="&amp;subName,(Submissions!Data Submissions!sWeek),"="&amp;sWeek)</f>
        <v>0</v>
      </c>
      <c r="F36" s="83">
        <f>COUNTIFS((Submissions!name Submissions!Data),"="&amp;subName,(Submissions!Data Submissions!sWeek),"="&amp;sWeek)</f>
        <v>0</v>
      </c>
      <c r="G36" s="83">
        <f>COUNTIFS((Submissions!name Submissions!Data),"="&amp;subName,(Submissions!Data Submissions!sWeek),"="&amp;sWeek)</f>
        <v>0</v>
      </c>
      <c r="H36" s="83">
        <f>COUNTIFS((Submissions!name Submissions!Data),"="&amp;subName,(Submissions!Data Submissions!sWeek),"="&amp;sWeek)</f>
        <v>0</v>
      </c>
      <c r="I36" s="83">
        <f>COUNTIFS((Submissions!name Submissions!Data),"="&amp;subName,(Submissions!Data Submissions!sWeek),"="&amp;sWeek)</f>
        <v>0</v>
      </c>
      <c r="J36" s="83">
        <f>COUNTIFS((Submissions!name Submissions!Data),"="&amp;subName,(Submissions!Data Submissions!sWeek),"="&amp;sWeek)</f>
        <v>0</v>
      </c>
      <c r="K36" s="83">
        <f>COUNTIFS((Submissions!name Submissions!Data),"="&amp;subName,(Submissions!Data Submissions!sWeek),"="&amp;sWeek)</f>
        <v>0</v>
      </c>
      <c r="L36" s="83">
        <f>COUNTIFS((Submissions!name Submissions!Data),"="&amp;subName,(Submissions!Data Submissions!sWeek),"="&amp;sWeek)</f>
        <v>0</v>
      </c>
      <c r="M36" s="83">
        <f>COUNTIFS((Submissions!name Submissions!Data),"="&amp;subName,(Submissions!Data Submissions!sWeek),"="&amp;sWeek)</f>
        <v>0</v>
      </c>
      <c r="N36" s="83">
        <f>COUNTIFS((Submissions!name Submissions!Data),"="&amp;subName,(Submissions!Data Submissions!sWeek),"="&amp;sWeek)</f>
        <v>0</v>
      </c>
      <c r="O36" s="83">
        <f>COUNTIFS((Submissions!name Submissions!Data),"="&amp;subName,(Submissions!Data Submissions!sWeek),"="&amp;sWeek)</f>
        <v>0</v>
      </c>
      <c r="P36" s="83">
        <f>COUNTIFS((Submissions!name Submissions!Data),"="&amp;subName,(Submissions!Data Submissions!sWeek),"="&amp;sWeek)</f>
        <v>0</v>
      </c>
      <c r="Q36" s="83">
        <f>COUNTIFS((Submissions!name Submissions!Data),"="&amp;subName,(Submissions!Data Submissions!sWeek),"="&amp;sWeek)</f>
        <v>0</v>
      </c>
      <c r="R36" s="83">
        <f>COUNTIFS((Submissions!name Submissions!Data),"="&amp;subName,(Submissions!Data Submissions!sWeek),"="&amp;sWeek)</f>
        <v>0</v>
      </c>
      <c r="S36" s="79">
        <f t="shared" si="1"/>
        <v>0</v>
      </c>
    </row>
    <row r="37" spans="1:19" x14ac:dyDescent="0.25">
      <c r="A37" s="217">
        <v>31</v>
      </c>
      <c r="B37" s="102" t="e">
        <f>Roster!#REF!</f>
        <v>#REF!</v>
      </c>
      <c r="C37" s="82">
        <f>COUNTIFS((Submissions!name Submissions!Data),"="&amp;subName,(Submissions!Data Submissions!sWeek),"="&amp;sWeek)</f>
        <v>0</v>
      </c>
      <c r="D37" s="83">
        <f>COUNTIFS((Submissions!name Submissions!Data),"="&amp;subName,(Submissions!Data Submissions!sWeek),"="&amp;sWeek)</f>
        <v>0</v>
      </c>
      <c r="E37" s="83">
        <f>COUNTIFS((Submissions!name Submissions!Data),"="&amp;subName,(Submissions!Data Submissions!sWeek),"="&amp;sWeek)</f>
        <v>0</v>
      </c>
      <c r="F37" s="83">
        <f>COUNTIFS((Submissions!name Submissions!Data),"="&amp;subName,(Submissions!Data Submissions!sWeek),"="&amp;sWeek)</f>
        <v>0</v>
      </c>
      <c r="G37" s="83">
        <f>COUNTIFS((Submissions!name Submissions!Data),"="&amp;subName,(Submissions!Data Submissions!sWeek),"="&amp;sWeek)</f>
        <v>0</v>
      </c>
      <c r="H37" s="83">
        <f>COUNTIFS((Submissions!name Submissions!Data),"="&amp;subName,(Submissions!Data Submissions!sWeek),"="&amp;sWeek)</f>
        <v>0</v>
      </c>
      <c r="I37" s="83">
        <f>COUNTIFS((Submissions!name Submissions!Data),"="&amp;subName,(Submissions!Data Submissions!sWeek),"="&amp;sWeek)</f>
        <v>0</v>
      </c>
      <c r="J37" s="83">
        <f>COUNTIFS((Submissions!name Submissions!Data),"="&amp;subName,(Submissions!Data Submissions!sWeek),"="&amp;sWeek)</f>
        <v>0</v>
      </c>
      <c r="K37" s="83">
        <f>COUNTIFS((Submissions!name Submissions!Data),"="&amp;subName,(Submissions!Data Submissions!sWeek),"="&amp;sWeek)</f>
        <v>0</v>
      </c>
      <c r="L37" s="83">
        <f>COUNTIFS((Submissions!name Submissions!Data),"="&amp;subName,(Submissions!Data Submissions!sWeek),"="&amp;sWeek)</f>
        <v>0</v>
      </c>
      <c r="M37" s="83">
        <f>COUNTIFS((Submissions!name Submissions!Data),"="&amp;subName,(Submissions!Data Submissions!sWeek),"="&amp;sWeek)</f>
        <v>0</v>
      </c>
      <c r="N37" s="83">
        <f>COUNTIFS((Submissions!name Submissions!Data),"="&amp;subName,(Submissions!Data Submissions!sWeek),"="&amp;sWeek)</f>
        <v>0</v>
      </c>
      <c r="O37" s="83">
        <f>COUNTIFS((Submissions!name Submissions!Data),"="&amp;subName,(Submissions!Data Submissions!sWeek),"="&amp;sWeek)</f>
        <v>0</v>
      </c>
      <c r="P37" s="83">
        <f>COUNTIFS((Submissions!name Submissions!Data),"="&amp;subName,(Submissions!Data Submissions!sWeek),"="&amp;sWeek)</f>
        <v>0</v>
      </c>
      <c r="Q37" s="83">
        <f>COUNTIFS((Submissions!name Submissions!Data),"="&amp;subName,(Submissions!Data Submissions!sWeek),"="&amp;sWeek)</f>
        <v>0</v>
      </c>
      <c r="R37" s="83">
        <f>COUNTIFS((Submissions!name Submissions!Data),"="&amp;subName,(Submissions!Data Submissions!sWeek),"="&amp;sWeek)</f>
        <v>0</v>
      </c>
      <c r="S37" s="79">
        <f t="shared" si="1"/>
        <v>0</v>
      </c>
    </row>
    <row r="38" spans="1:19" x14ac:dyDescent="0.25">
      <c r="A38" s="217">
        <v>32</v>
      </c>
      <c r="B38" s="102" t="e">
        <f>Roster!#REF!</f>
        <v>#REF!</v>
      </c>
      <c r="C38" s="82">
        <f>COUNTIFS((Submissions!name Submissions!Data),"="&amp;subName,(Submissions!Data Submissions!sWeek),"="&amp;sWeek)</f>
        <v>0</v>
      </c>
      <c r="D38" s="83">
        <f>COUNTIFS((Submissions!name Submissions!Data),"="&amp;subName,(Submissions!Data Submissions!sWeek),"="&amp;sWeek)</f>
        <v>0</v>
      </c>
      <c r="E38" s="83">
        <f>COUNTIFS((Submissions!name Submissions!Data),"="&amp;subName,(Submissions!Data Submissions!sWeek),"="&amp;sWeek)</f>
        <v>0</v>
      </c>
      <c r="F38" s="83">
        <f>COUNTIFS((Submissions!name Submissions!Data),"="&amp;subName,(Submissions!Data Submissions!sWeek),"="&amp;sWeek)</f>
        <v>0</v>
      </c>
      <c r="G38" s="83">
        <f>COUNTIFS((Submissions!name Submissions!Data),"="&amp;subName,(Submissions!Data Submissions!sWeek),"="&amp;sWeek)</f>
        <v>0</v>
      </c>
      <c r="H38" s="83">
        <f>COUNTIFS((Submissions!name Submissions!Data),"="&amp;subName,(Submissions!Data Submissions!sWeek),"="&amp;sWeek)</f>
        <v>0</v>
      </c>
      <c r="I38" s="83">
        <f>COUNTIFS((Submissions!name Submissions!Data),"="&amp;subName,(Submissions!Data Submissions!sWeek),"="&amp;sWeek)</f>
        <v>0</v>
      </c>
      <c r="J38" s="83">
        <f>COUNTIFS((Submissions!name Submissions!Data),"="&amp;subName,(Submissions!Data Submissions!sWeek),"="&amp;sWeek)</f>
        <v>0</v>
      </c>
      <c r="K38" s="83">
        <f>COUNTIFS((Submissions!name Submissions!Data),"="&amp;subName,(Submissions!Data Submissions!sWeek),"="&amp;sWeek)</f>
        <v>0</v>
      </c>
      <c r="L38" s="83">
        <f>COUNTIFS((Submissions!name Submissions!Data),"="&amp;subName,(Submissions!Data Submissions!sWeek),"="&amp;sWeek)</f>
        <v>0</v>
      </c>
      <c r="M38" s="83">
        <f>COUNTIFS((Submissions!name Submissions!Data),"="&amp;subName,(Submissions!Data Submissions!sWeek),"="&amp;sWeek)</f>
        <v>0</v>
      </c>
      <c r="N38" s="83">
        <f>COUNTIFS((Submissions!name Submissions!Data),"="&amp;subName,(Submissions!Data Submissions!sWeek),"="&amp;sWeek)</f>
        <v>0</v>
      </c>
      <c r="O38" s="83">
        <f>COUNTIFS((Submissions!name Submissions!Data),"="&amp;subName,(Submissions!Data Submissions!sWeek),"="&amp;sWeek)</f>
        <v>0</v>
      </c>
      <c r="P38" s="83">
        <f>COUNTIFS((Submissions!name Submissions!Data),"="&amp;subName,(Submissions!Data Submissions!sWeek),"="&amp;sWeek)</f>
        <v>0</v>
      </c>
      <c r="Q38" s="83">
        <f>COUNTIFS((Submissions!name Submissions!Data),"="&amp;subName,(Submissions!Data Submissions!sWeek),"="&amp;sWeek)</f>
        <v>0</v>
      </c>
      <c r="R38" s="83">
        <f>COUNTIFS((Submissions!name Submissions!Data),"="&amp;subName,(Submissions!Data Submissions!sWeek),"="&amp;sWeek)</f>
        <v>0</v>
      </c>
      <c r="S38" s="79">
        <f t="shared" si="1"/>
        <v>0</v>
      </c>
    </row>
    <row r="39" spans="1:19" x14ac:dyDescent="0.25">
      <c r="A39" s="217">
        <v>33</v>
      </c>
      <c r="B39" s="102" t="e">
        <f>Roster!#REF!</f>
        <v>#REF!</v>
      </c>
      <c r="C39" s="82">
        <f>COUNTIFS((Submissions!name Submissions!Data),"="&amp;subName,(Submissions!Data Submissions!sWeek),"="&amp;sWeek)</f>
        <v>0</v>
      </c>
      <c r="D39" s="83">
        <f>COUNTIFS((Submissions!name Submissions!Data),"="&amp;subName,(Submissions!Data Submissions!sWeek),"="&amp;sWeek)</f>
        <v>0</v>
      </c>
      <c r="E39" s="83">
        <f>COUNTIFS((Submissions!name Submissions!Data),"="&amp;subName,(Submissions!Data Submissions!sWeek),"="&amp;sWeek)</f>
        <v>0</v>
      </c>
      <c r="F39" s="83">
        <f>COUNTIFS((Submissions!name Submissions!Data),"="&amp;subName,(Submissions!Data Submissions!sWeek),"="&amp;sWeek)</f>
        <v>0</v>
      </c>
      <c r="G39" s="83">
        <f>COUNTIFS((Submissions!name Submissions!Data),"="&amp;subName,(Submissions!Data Submissions!sWeek),"="&amp;sWeek)</f>
        <v>0</v>
      </c>
      <c r="H39" s="83">
        <f>COUNTIFS((Submissions!name Submissions!Data),"="&amp;subName,(Submissions!Data Submissions!sWeek),"="&amp;sWeek)</f>
        <v>0</v>
      </c>
      <c r="I39" s="83">
        <f>COUNTIFS((Submissions!name Submissions!Data),"="&amp;subName,(Submissions!Data Submissions!sWeek),"="&amp;sWeek)</f>
        <v>0</v>
      </c>
      <c r="J39" s="83">
        <f>COUNTIFS((Submissions!name Submissions!Data),"="&amp;subName,(Submissions!Data Submissions!sWeek),"="&amp;sWeek)</f>
        <v>0</v>
      </c>
      <c r="K39" s="83">
        <f>COUNTIFS((Submissions!name Submissions!Data),"="&amp;subName,(Submissions!Data Submissions!sWeek),"="&amp;sWeek)</f>
        <v>0</v>
      </c>
      <c r="L39" s="83">
        <f>COUNTIFS((Submissions!name Submissions!Data),"="&amp;subName,(Submissions!Data Submissions!sWeek),"="&amp;sWeek)</f>
        <v>0</v>
      </c>
      <c r="M39" s="83">
        <f>COUNTIFS((Submissions!name Submissions!Data),"="&amp;subName,(Submissions!Data Submissions!sWeek),"="&amp;sWeek)</f>
        <v>0</v>
      </c>
      <c r="N39" s="83">
        <f>COUNTIFS((Submissions!name Submissions!Data),"="&amp;subName,(Submissions!Data Submissions!sWeek),"="&amp;sWeek)</f>
        <v>0</v>
      </c>
      <c r="O39" s="83">
        <f>COUNTIFS((Submissions!name Submissions!Data),"="&amp;subName,(Submissions!Data Submissions!sWeek),"="&amp;sWeek)</f>
        <v>0</v>
      </c>
      <c r="P39" s="83">
        <f>COUNTIFS((Submissions!name Submissions!Data),"="&amp;subName,(Submissions!Data Submissions!sWeek),"="&amp;sWeek)</f>
        <v>0</v>
      </c>
      <c r="Q39" s="83">
        <f>COUNTIFS((Submissions!name Submissions!Data),"="&amp;subName,(Submissions!Data Submissions!sWeek),"="&amp;sWeek)</f>
        <v>0</v>
      </c>
      <c r="R39" s="83">
        <f>COUNTIFS((Submissions!name Submissions!Data),"="&amp;subName,(Submissions!Data Submissions!sWeek),"="&amp;sWeek)</f>
        <v>0</v>
      </c>
      <c r="S39" s="79">
        <f t="shared" si="1"/>
        <v>0</v>
      </c>
    </row>
    <row r="40" spans="1:19" x14ac:dyDescent="0.25">
      <c r="A40" s="217">
        <v>34</v>
      </c>
      <c r="B40" s="102" t="e">
        <f>Roster!#REF!</f>
        <v>#REF!</v>
      </c>
      <c r="C40" s="82">
        <f>COUNTIFS((Submissions!name Submissions!Data),"="&amp;subName,(Submissions!Data Submissions!sWeek),"="&amp;sWeek)</f>
        <v>0</v>
      </c>
      <c r="D40" s="83">
        <f>COUNTIFS((Submissions!name Submissions!Data),"="&amp;subName,(Submissions!Data Submissions!sWeek),"="&amp;sWeek)</f>
        <v>0</v>
      </c>
      <c r="E40" s="83">
        <f>COUNTIFS((Submissions!name Submissions!Data),"="&amp;subName,(Submissions!Data Submissions!sWeek),"="&amp;sWeek)</f>
        <v>0</v>
      </c>
      <c r="F40" s="83">
        <f>COUNTIFS((Submissions!name Submissions!Data),"="&amp;subName,(Submissions!Data Submissions!sWeek),"="&amp;sWeek)</f>
        <v>0</v>
      </c>
      <c r="G40" s="83">
        <f>COUNTIFS((Submissions!name Submissions!Data),"="&amp;subName,(Submissions!Data Submissions!sWeek),"="&amp;sWeek)</f>
        <v>0</v>
      </c>
      <c r="H40" s="83">
        <f>COUNTIFS((Submissions!name Submissions!Data),"="&amp;subName,(Submissions!Data Submissions!sWeek),"="&amp;sWeek)</f>
        <v>0</v>
      </c>
      <c r="I40" s="83">
        <f>COUNTIFS((Submissions!name Submissions!Data),"="&amp;subName,(Submissions!Data Submissions!sWeek),"="&amp;sWeek)</f>
        <v>0</v>
      </c>
      <c r="J40" s="83">
        <f>COUNTIFS((Submissions!name Submissions!Data),"="&amp;subName,(Submissions!Data Submissions!sWeek),"="&amp;sWeek)</f>
        <v>0</v>
      </c>
      <c r="K40" s="83">
        <f>COUNTIFS((Submissions!name Submissions!Data),"="&amp;subName,(Submissions!Data Submissions!sWeek),"="&amp;sWeek)</f>
        <v>0</v>
      </c>
      <c r="L40" s="83">
        <f>COUNTIFS((Submissions!name Submissions!Data),"="&amp;subName,(Submissions!Data Submissions!sWeek),"="&amp;sWeek)</f>
        <v>0</v>
      </c>
      <c r="M40" s="83">
        <f>COUNTIFS((Submissions!name Submissions!Data),"="&amp;subName,(Submissions!Data Submissions!sWeek),"="&amp;sWeek)</f>
        <v>0</v>
      </c>
      <c r="N40" s="83">
        <f>COUNTIFS((Submissions!name Submissions!Data),"="&amp;subName,(Submissions!Data Submissions!sWeek),"="&amp;sWeek)</f>
        <v>0</v>
      </c>
      <c r="O40" s="83">
        <f>COUNTIFS((Submissions!name Submissions!Data),"="&amp;subName,(Submissions!Data Submissions!sWeek),"="&amp;sWeek)</f>
        <v>0</v>
      </c>
      <c r="P40" s="83">
        <f>COUNTIFS((Submissions!name Submissions!Data),"="&amp;subName,(Submissions!Data Submissions!sWeek),"="&amp;sWeek)</f>
        <v>0</v>
      </c>
      <c r="Q40" s="83">
        <f>COUNTIFS((Submissions!name Submissions!Data),"="&amp;subName,(Submissions!Data Submissions!sWeek),"="&amp;sWeek)</f>
        <v>0</v>
      </c>
      <c r="R40" s="83">
        <f>COUNTIFS((Submissions!name Submissions!Data),"="&amp;subName,(Submissions!Data Submissions!sWeek),"="&amp;sWeek)</f>
        <v>0</v>
      </c>
      <c r="S40" s="79">
        <f t="shared" si="1"/>
        <v>0</v>
      </c>
    </row>
    <row r="41" spans="1:19" x14ac:dyDescent="0.25">
      <c r="A41" s="217">
        <v>35</v>
      </c>
      <c r="B41" s="102" t="e">
        <f>Roster!#REF!</f>
        <v>#REF!</v>
      </c>
      <c r="C41" s="82">
        <f>COUNTIFS((Submissions!name Submissions!Data),"="&amp;subName,(Submissions!Data Submissions!sWeek),"="&amp;sWeek)</f>
        <v>0</v>
      </c>
      <c r="D41" s="83">
        <f>COUNTIFS((Submissions!name Submissions!Data),"="&amp;subName,(Submissions!Data Submissions!sWeek),"="&amp;sWeek)</f>
        <v>0</v>
      </c>
      <c r="E41" s="83">
        <f>COUNTIFS((Submissions!name Submissions!Data),"="&amp;subName,(Submissions!Data Submissions!sWeek),"="&amp;sWeek)</f>
        <v>0</v>
      </c>
      <c r="F41" s="83">
        <f>COUNTIFS((Submissions!name Submissions!Data),"="&amp;subName,(Submissions!Data Submissions!sWeek),"="&amp;sWeek)</f>
        <v>0</v>
      </c>
      <c r="G41" s="83">
        <f>COUNTIFS((Submissions!name Submissions!Data),"="&amp;subName,(Submissions!Data Submissions!sWeek),"="&amp;sWeek)</f>
        <v>0</v>
      </c>
      <c r="H41" s="83">
        <f>COUNTIFS((Submissions!name Submissions!Data),"="&amp;subName,(Submissions!Data Submissions!sWeek),"="&amp;sWeek)</f>
        <v>0</v>
      </c>
      <c r="I41" s="83">
        <f>COUNTIFS((Submissions!name Submissions!Data),"="&amp;subName,(Submissions!Data Submissions!sWeek),"="&amp;sWeek)</f>
        <v>0</v>
      </c>
      <c r="J41" s="83">
        <f>COUNTIFS((Submissions!name Submissions!Data),"="&amp;subName,(Submissions!Data Submissions!sWeek),"="&amp;sWeek)</f>
        <v>0</v>
      </c>
      <c r="K41" s="83">
        <f>COUNTIFS((Submissions!name Submissions!Data),"="&amp;subName,(Submissions!Data Submissions!sWeek),"="&amp;sWeek)</f>
        <v>0</v>
      </c>
      <c r="L41" s="83">
        <f>COUNTIFS((Submissions!name Submissions!Data),"="&amp;subName,(Submissions!Data Submissions!sWeek),"="&amp;sWeek)</f>
        <v>0</v>
      </c>
      <c r="M41" s="83">
        <f>COUNTIFS((Submissions!name Submissions!Data),"="&amp;subName,(Submissions!Data Submissions!sWeek),"="&amp;sWeek)</f>
        <v>0</v>
      </c>
      <c r="N41" s="83">
        <f>COUNTIFS((Submissions!name Submissions!Data),"="&amp;subName,(Submissions!Data Submissions!sWeek),"="&amp;sWeek)</f>
        <v>0</v>
      </c>
      <c r="O41" s="83">
        <f>COUNTIFS((Submissions!name Submissions!Data),"="&amp;subName,(Submissions!Data Submissions!sWeek),"="&amp;sWeek)</f>
        <v>0</v>
      </c>
      <c r="P41" s="83">
        <f>COUNTIFS((Submissions!name Submissions!Data),"="&amp;subName,(Submissions!Data Submissions!sWeek),"="&amp;sWeek)</f>
        <v>0</v>
      </c>
      <c r="Q41" s="83">
        <f>COUNTIFS((Submissions!name Submissions!Data),"="&amp;subName,(Submissions!Data Submissions!sWeek),"="&amp;sWeek)</f>
        <v>0</v>
      </c>
      <c r="R41" s="83">
        <f>COUNTIFS((Submissions!name Submissions!Data),"="&amp;subName,(Submissions!Data Submissions!sWeek),"="&amp;sWeek)</f>
        <v>0</v>
      </c>
      <c r="S41" s="79">
        <f t="shared" si="1"/>
        <v>0</v>
      </c>
    </row>
    <row r="42" spans="1:19" x14ac:dyDescent="0.25">
      <c r="A42" s="217">
        <v>36</v>
      </c>
      <c r="B42" s="102" t="e">
        <f>Roster!#REF!</f>
        <v>#REF!</v>
      </c>
      <c r="C42" s="82">
        <f>COUNTIFS((Submissions!name Submissions!Data),"="&amp;subName,(Submissions!Data Submissions!sWeek),"="&amp;sWeek)</f>
        <v>0</v>
      </c>
      <c r="D42" s="83">
        <f>COUNTIFS((Submissions!name Submissions!Data),"="&amp;subName,(Submissions!Data Submissions!sWeek),"="&amp;sWeek)</f>
        <v>0</v>
      </c>
      <c r="E42" s="83">
        <f>COUNTIFS((Submissions!name Submissions!Data),"="&amp;subName,(Submissions!Data Submissions!sWeek),"="&amp;sWeek)</f>
        <v>0</v>
      </c>
      <c r="F42" s="83">
        <f>COUNTIFS((Submissions!name Submissions!Data),"="&amp;subName,(Submissions!Data Submissions!sWeek),"="&amp;sWeek)</f>
        <v>0</v>
      </c>
      <c r="G42" s="83">
        <f>COUNTIFS((Submissions!name Submissions!Data),"="&amp;subName,(Submissions!Data Submissions!sWeek),"="&amp;sWeek)</f>
        <v>0</v>
      </c>
      <c r="H42" s="83">
        <f>COUNTIFS((Submissions!name Submissions!Data),"="&amp;subName,(Submissions!Data Submissions!sWeek),"="&amp;sWeek)</f>
        <v>0</v>
      </c>
      <c r="I42" s="83">
        <f>COUNTIFS((Submissions!name Submissions!Data),"="&amp;subName,(Submissions!Data Submissions!sWeek),"="&amp;sWeek)</f>
        <v>0</v>
      </c>
      <c r="J42" s="83">
        <f>COUNTIFS((Submissions!name Submissions!Data),"="&amp;subName,(Submissions!Data Submissions!sWeek),"="&amp;sWeek)</f>
        <v>0</v>
      </c>
      <c r="K42" s="83">
        <f>COUNTIFS((Submissions!name Submissions!Data),"="&amp;subName,(Submissions!Data Submissions!sWeek),"="&amp;sWeek)</f>
        <v>0</v>
      </c>
      <c r="L42" s="83">
        <f>COUNTIFS((Submissions!name Submissions!Data),"="&amp;subName,(Submissions!Data Submissions!sWeek),"="&amp;sWeek)</f>
        <v>0</v>
      </c>
      <c r="M42" s="83">
        <f>COUNTIFS((Submissions!name Submissions!Data),"="&amp;subName,(Submissions!Data Submissions!sWeek),"="&amp;sWeek)</f>
        <v>0</v>
      </c>
      <c r="N42" s="83">
        <f>COUNTIFS((Submissions!name Submissions!Data),"="&amp;subName,(Submissions!Data Submissions!sWeek),"="&amp;sWeek)</f>
        <v>0</v>
      </c>
      <c r="O42" s="83">
        <f>COUNTIFS((Submissions!name Submissions!Data),"="&amp;subName,(Submissions!Data Submissions!sWeek),"="&amp;sWeek)</f>
        <v>0</v>
      </c>
      <c r="P42" s="83">
        <f>COUNTIFS((Submissions!name Submissions!Data),"="&amp;subName,(Submissions!Data Submissions!sWeek),"="&amp;sWeek)</f>
        <v>0</v>
      </c>
      <c r="Q42" s="83">
        <f>COUNTIFS((Submissions!name Submissions!Data),"="&amp;subName,(Submissions!Data Submissions!sWeek),"="&amp;sWeek)</f>
        <v>0</v>
      </c>
      <c r="R42" s="83">
        <f>COUNTIFS((Submissions!name Submissions!Data),"="&amp;subName,(Submissions!Data Submissions!sWeek),"="&amp;sWeek)</f>
        <v>0</v>
      </c>
      <c r="S42" s="79">
        <f t="shared" si="1"/>
        <v>0</v>
      </c>
    </row>
    <row r="43" spans="1:19" x14ac:dyDescent="0.25">
      <c r="A43" s="217">
        <v>37</v>
      </c>
      <c r="B43" s="102" t="e">
        <f>Roster!#REF!</f>
        <v>#REF!</v>
      </c>
      <c r="C43" s="82">
        <f>COUNTIFS((Submissions!name Submissions!Data),"="&amp;subName,(Submissions!Data Submissions!sWeek),"="&amp;sWeek)</f>
        <v>0</v>
      </c>
      <c r="D43" s="83">
        <f>COUNTIFS((Submissions!name Submissions!Data),"="&amp;subName,(Submissions!Data Submissions!sWeek),"="&amp;sWeek)</f>
        <v>0</v>
      </c>
      <c r="E43" s="83">
        <f>COUNTIFS((Submissions!name Submissions!Data),"="&amp;subName,(Submissions!Data Submissions!sWeek),"="&amp;sWeek)</f>
        <v>0</v>
      </c>
      <c r="F43" s="83">
        <f>COUNTIFS((Submissions!name Submissions!Data),"="&amp;subName,(Submissions!Data Submissions!sWeek),"="&amp;sWeek)</f>
        <v>0</v>
      </c>
      <c r="G43" s="83">
        <f>COUNTIFS((Submissions!name Submissions!Data),"="&amp;subName,(Submissions!Data Submissions!sWeek),"="&amp;sWeek)</f>
        <v>0</v>
      </c>
      <c r="H43" s="83">
        <f>COUNTIFS((Submissions!name Submissions!Data),"="&amp;subName,(Submissions!Data Submissions!sWeek),"="&amp;sWeek)</f>
        <v>0</v>
      </c>
      <c r="I43" s="83">
        <f>COUNTIFS((Submissions!name Submissions!Data),"="&amp;subName,(Submissions!Data Submissions!sWeek),"="&amp;sWeek)</f>
        <v>0</v>
      </c>
      <c r="J43" s="83">
        <f>COUNTIFS((Submissions!name Submissions!Data),"="&amp;subName,(Submissions!Data Submissions!sWeek),"="&amp;sWeek)</f>
        <v>0</v>
      </c>
      <c r="K43" s="83">
        <f>COUNTIFS((Submissions!name Submissions!Data),"="&amp;subName,(Submissions!Data Submissions!sWeek),"="&amp;sWeek)</f>
        <v>0</v>
      </c>
      <c r="L43" s="83">
        <f>COUNTIFS((Submissions!name Submissions!Data),"="&amp;subName,(Submissions!Data Submissions!sWeek),"="&amp;sWeek)</f>
        <v>0</v>
      </c>
      <c r="M43" s="83">
        <f>COUNTIFS((Submissions!name Submissions!Data),"="&amp;subName,(Submissions!Data Submissions!sWeek),"="&amp;sWeek)</f>
        <v>0</v>
      </c>
      <c r="N43" s="83">
        <f>COUNTIFS((Submissions!name Submissions!Data),"="&amp;subName,(Submissions!Data Submissions!sWeek),"="&amp;sWeek)</f>
        <v>0</v>
      </c>
      <c r="O43" s="83">
        <f>COUNTIFS((Submissions!name Submissions!Data),"="&amp;subName,(Submissions!Data Submissions!sWeek),"="&amp;sWeek)</f>
        <v>0</v>
      </c>
      <c r="P43" s="83">
        <f>COUNTIFS((Submissions!name Submissions!Data),"="&amp;subName,(Submissions!Data Submissions!sWeek),"="&amp;sWeek)</f>
        <v>0</v>
      </c>
      <c r="Q43" s="83">
        <f>COUNTIFS((Submissions!name Submissions!Data),"="&amp;subName,(Submissions!Data Submissions!sWeek),"="&amp;sWeek)</f>
        <v>0</v>
      </c>
      <c r="R43" s="83">
        <f>COUNTIFS((Submissions!name Submissions!Data),"="&amp;subName,(Submissions!Data Submissions!sWeek),"="&amp;sWeek)</f>
        <v>0</v>
      </c>
      <c r="S43" s="79">
        <f t="shared" si="1"/>
        <v>0</v>
      </c>
    </row>
    <row r="44" spans="1:19" ht="15.75" thickBot="1" x14ac:dyDescent="0.3">
      <c r="A44" s="217">
        <v>38</v>
      </c>
      <c r="B44" s="102" t="e">
        <f>Roster!#REF!</f>
        <v>#REF!</v>
      </c>
      <c r="C44" s="82">
        <f>COUNTIFS((Submissions!name Submissions!Data),"="&amp;subName,(Submissions!Data Submissions!sWeek),"="&amp;sWeek)</f>
        <v>0</v>
      </c>
      <c r="D44" s="83">
        <f>COUNTIFS((Submissions!name Submissions!Data),"="&amp;subName,(Submissions!Data Submissions!sWeek),"="&amp;sWeek)</f>
        <v>0</v>
      </c>
      <c r="E44" s="83">
        <f>COUNTIFS((Submissions!name Submissions!Data),"="&amp;subName,(Submissions!Data Submissions!sWeek),"="&amp;sWeek)</f>
        <v>0</v>
      </c>
      <c r="F44" s="83">
        <f>COUNTIFS((Submissions!name Submissions!Data),"="&amp;subName,(Submissions!Data Submissions!sWeek),"="&amp;sWeek)</f>
        <v>0</v>
      </c>
      <c r="G44" s="83">
        <f>COUNTIFS((Submissions!name Submissions!Data),"="&amp;subName,(Submissions!Data Submissions!sWeek),"="&amp;sWeek)</f>
        <v>0</v>
      </c>
      <c r="H44" s="83">
        <f>COUNTIFS((Submissions!name Submissions!Data),"="&amp;subName,(Submissions!Data Submissions!sWeek),"="&amp;sWeek)</f>
        <v>0</v>
      </c>
      <c r="I44" s="83">
        <f>COUNTIFS((Submissions!name Submissions!Data),"="&amp;subName,(Submissions!Data Submissions!sWeek),"="&amp;sWeek)</f>
        <v>0</v>
      </c>
      <c r="J44" s="83">
        <f>COUNTIFS((Submissions!name Submissions!Data),"="&amp;subName,(Submissions!Data Submissions!sWeek),"="&amp;sWeek)</f>
        <v>0</v>
      </c>
      <c r="K44" s="83">
        <f>COUNTIFS((Submissions!name Submissions!Data),"="&amp;subName,(Submissions!Data Submissions!sWeek),"="&amp;sWeek)</f>
        <v>0</v>
      </c>
      <c r="L44" s="83">
        <f>COUNTIFS((Submissions!name Submissions!Data),"="&amp;subName,(Submissions!Data Submissions!sWeek),"="&amp;sWeek)</f>
        <v>0</v>
      </c>
      <c r="M44" s="83">
        <f>COUNTIFS((Submissions!name Submissions!Data),"="&amp;subName,(Submissions!Data Submissions!sWeek),"="&amp;sWeek)</f>
        <v>0</v>
      </c>
      <c r="N44" s="83">
        <f>COUNTIFS((Submissions!name Submissions!Data),"="&amp;subName,(Submissions!Data Submissions!sWeek),"="&amp;sWeek)</f>
        <v>0</v>
      </c>
      <c r="O44" s="83">
        <f>COUNTIFS((Submissions!name Submissions!Data),"="&amp;subName,(Submissions!Data Submissions!sWeek),"="&amp;sWeek)</f>
        <v>0</v>
      </c>
      <c r="P44" s="83">
        <f>COUNTIFS((Submissions!name Submissions!Data),"="&amp;subName,(Submissions!Data Submissions!sWeek),"="&amp;sWeek)</f>
        <v>0</v>
      </c>
      <c r="Q44" s="83">
        <f>COUNTIFS((Submissions!name Submissions!Data),"="&amp;subName,(Submissions!Data Submissions!sWeek),"="&amp;sWeek)</f>
        <v>0</v>
      </c>
      <c r="R44" s="83">
        <f>COUNTIFS((Submissions!name Submissions!Data),"="&amp;subName,(Submissions!Data Submissions!sWeek),"="&amp;sWeek)</f>
        <v>0</v>
      </c>
      <c r="S44" s="79">
        <f t="shared" si="1"/>
        <v>0</v>
      </c>
    </row>
    <row r="45" spans="1:19" ht="6" customHeight="1" thickTop="1" x14ac:dyDescent="0.25">
      <c r="A45" s="126"/>
      <c r="B45" s="103"/>
      <c r="C45" s="104"/>
      <c r="D45" s="105"/>
      <c r="E45" s="105"/>
      <c r="F45" s="105"/>
      <c r="G45" s="105"/>
      <c r="H45" s="105"/>
      <c r="I45" s="105"/>
      <c r="J45" s="105"/>
      <c r="K45" s="105"/>
      <c r="L45" s="105"/>
      <c r="M45" s="105"/>
      <c r="N45" s="105"/>
      <c r="O45" s="105"/>
      <c r="P45" s="105"/>
      <c r="Q45" s="105"/>
      <c r="R45" s="106"/>
      <c r="S45" s="107"/>
    </row>
    <row r="46" spans="1:19" x14ac:dyDescent="0.25">
      <c r="A46" s="126"/>
      <c r="B46" s="258">
        <f>COUNTA(VisitData sfName)</f>
        <v>27</v>
      </c>
      <c r="C46" s="85">
        <f t="shared" ref="C46:R46" si="2">SUM(C7:C45)</f>
        <v>0</v>
      </c>
      <c r="D46" s="86">
        <f t="shared" si="2"/>
        <v>0</v>
      </c>
      <c r="E46" s="86">
        <f t="shared" si="2"/>
        <v>0</v>
      </c>
      <c r="F46" s="86">
        <f t="shared" si="2"/>
        <v>0</v>
      </c>
      <c r="G46" s="86">
        <f t="shared" si="2"/>
        <v>0</v>
      </c>
      <c r="H46" s="86">
        <f t="shared" si="2"/>
        <v>0</v>
      </c>
      <c r="I46" s="86">
        <f t="shared" si="2"/>
        <v>0</v>
      </c>
      <c r="J46" s="86">
        <f t="shared" si="2"/>
        <v>0</v>
      </c>
      <c r="K46" s="86">
        <f t="shared" si="2"/>
        <v>0</v>
      </c>
      <c r="L46" s="86">
        <f t="shared" si="2"/>
        <v>0</v>
      </c>
      <c r="M46" s="86">
        <f t="shared" si="2"/>
        <v>0</v>
      </c>
      <c r="N46" s="86">
        <f t="shared" si="2"/>
        <v>0</v>
      </c>
      <c r="O46" s="86">
        <f t="shared" si="2"/>
        <v>0</v>
      </c>
      <c r="P46" s="86">
        <f t="shared" si="2"/>
        <v>0</v>
      </c>
      <c r="Q46" s="86">
        <f t="shared" si="2"/>
        <v>0</v>
      </c>
      <c r="R46" s="87">
        <f t="shared" si="2"/>
        <v>0</v>
      </c>
      <c r="S46" s="81">
        <f>SUM(C46:R46)</f>
        <v>0</v>
      </c>
    </row>
  </sheetData>
  <mergeCells count="1">
    <mergeCell ref="C4:S4"/>
  </mergeCells>
  <conditionalFormatting sqref="S7:S13 C7:R7 F8:R13 C8:E44">
    <cfRule type="cellIs" dxfId="13" priority="5" operator="lessThan">
      <formula>1</formula>
    </cfRule>
  </conditionalFormatting>
  <conditionalFormatting sqref="F14:S44">
    <cfRule type="cellIs" dxfId="12" priority="2" operator="lessThan">
      <formul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V41"/>
  <sheetViews>
    <sheetView zoomScale="85" zoomScaleNormal="85" workbookViewId="0">
      <pane xSplit="3" ySplit="10" topLeftCell="D11" activePane="bottomRight" state="frozen"/>
      <selection activeCell="E9" sqref="E9"/>
      <selection pane="topRight" activeCell="E9" sqref="E9"/>
      <selection pane="bottomLeft" activeCell="E9" sqref="E9"/>
      <selection pane="bottomRight" activeCell="A7" sqref="A7:XFD10"/>
    </sheetView>
  </sheetViews>
  <sheetFormatPr defaultRowHeight="12.75" x14ac:dyDescent="0.2"/>
  <cols>
    <col min="1" max="1" width="6.7109375" style="57" customWidth="1"/>
    <col min="2" max="2" width="25" style="57" hidden="1" customWidth="1"/>
    <col min="3" max="3" width="22" style="57" customWidth="1"/>
    <col min="4" max="11" width="11.5703125" style="126" customWidth="1"/>
    <col min="12" max="12" width="7.28515625" style="57" customWidth="1"/>
    <col min="13" max="13" width="7.5703125" style="57" customWidth="1"/>
    <col min="14" max="14" width="6.28515625" style="57" customWidth="1"/>
    <col min="15" max="15" width="5.140625" style="126" customWidth="1"/>
    <col min="16" max="16" width="8.85546875" style="126" customWidth="1"/>
    <col min="17" max="17" width="5.140625" style="126" customWidth="1"/>
    <col min="18" max="18" width="8.85546875" style="126" customWidth="1"/>
    <col min="19" max="19" width="5.140625" style="126" customWidth="1"/>
    <col min="20" max="20" width="8.85546875" style="126" customWidth="1"/>
    <col min="21" max="21" width="5.140625" style="126" customWidth="1"/>
    <col min="22" max="22" width="8.85546875" style="126" customWidth="1"/>
    <col min="23" max="261" width="9.140625" style="57"/>
    <col min="262" max="262" width="4.5703125" style="57" customWidth="1"/>
    <col min="263" max="263" width="0" style="57" hidden="1" customWidth="1"/>
    <col min="264" max="264" width="22" style="57" customWidth="1"/>
    <col min="265" max="265" width="10.140625" style="57" customWidth="1"/>
    <col min="266" max="269" width="9.140625" style="57"/>
    <col min="270" max="270" width="7.140625" style="57" customWidth="1"/>
    <col min="271" max="272" width="9.140625" style="57"/>
    <col min="273" max="273" width="8.42578125" style="57" customWidth="1"/>
    <col min="274" max="275" width="9.140625" style="57"/>
    <col min="276" max="276" width="9.5703125" style="57" customWidth="1"/>
    <col min="277" max="517" width="9.140625" style="57"/>
    <col min="518" max="518" width="4.5703125" style="57" customWidth="1"/>
    <col min="519" max="519" width="0" style="57" hidden="1" customWidth="1"/>
    <col min="520" max="520" width="22" style="57" customWidth="1"/>
    <col min="521" max="521" width="10.140625" style="57" customWidth="1"/>
    <col min="522" max="525" width="9.140625" style="57"/>
    <col min="526" max="526" width="7.140625" style="57" customWidth="1"/>
    <col min="527" max="528" width="9.140625" style="57"/>
    <col min="529" max="529" width="8.42578125" style="57" customWidth="1"/>
    <col min="530" max="531" width="9.140625" style="57"/>
    <col min="532" max="532" width="9.5703125" style="57" customWidth="1"/>
    <col min="533" max="773" width="9.140625" style="57"/>
    <col min="774" max="774" width="4.5703125" style="57" customWidth="1"/>
    <col min="775" max="775" width="0" style="57" hidden="1" customWidth="1"/>
    <col min="776" max="776" width="22" style="57" customWidth="1"/>
    <col min="777" max="777" width="10.140625" style="57" customWidth="1"/>
    <col min="778" max="781" width="9.140625" style="57"/>
    <col min="782" max="782" width="7.140625" style="57" customWidth="1"/>
    <col min="783" max="784" width="9.140625" style="57"/>
    <col min="785" max="785" width="8.42578125" style="57" customWidth="1"/>
    <col min="786" max="787" width="9.140625" style="57"/>
    <col min="788" max="788" width="9.5703125" style="57" customWidth="1"/>
    <col min="789" max="1029" width="9.140625" style="57"/>
    <col min="1030" max="1030" width="4.5703125" style="57" customWidth="1"/>
    <col min="1031" max="1031" width="0" style="57" hidden="1" customWidth="1"/>
    <col min="1032" max="1032" width="22" style="57" customWidth="1"/>
    <col min="1033" max="1033" width="10.140625" style="57" customWidth="1"/>
    <col min="1034" max="1037" width="9.140625" style="57"/>
    <col min="1038" max="1038" width="7.140625" style="57" customWidth="1"/>
    <col min="1039" max="1040" width="9.140625" style="57"/>
    <col min="1041" max="1041" width="8.42578125" style="57" customWidth="1"/>
    <col min="1042" max="1043" width="9.140625" style="57"/>
    <col min="1044" max="1044" width="9.5703125" style="57" customWidth="1"/>
    <col min="1045" max="1285" width="9.140625" style="57"/>
    <col min="1286" max="1286" width="4.5703125" style="57" customWidth="1"/>
    <col min="1287" max="1287" width="0" style="57" hidden="1" customWidth="1"/>
    <col min="1288" max="1288" width="22" style="57" customWidth="1"/>
    <col min="1289" max="1289" width="10.140625" style="57" customWidth="1"/>
    <col min="1290" max="1293" width="9.140625" style="57"/>
    <col min="1294" max="1294" width="7.140625" style="57" customWidth="1"/>
    <col min="1295" max="1296" width="9.140625" style="57"/>
    <col min="1297" max="1297" width="8.42578125" style="57" customWidth="1"/>
    <col min="1298" max="1299" width="9.140625" style="57"/>
    <col min="1300" max="1300" width="9.5703125" style="57" customWidth="1"/>
    <col min="1301" max="1541" width="9.140625" style="57"/>
    <col min="1542" max="1542" width="4.5703125" style="57" customWidth="1"/>
    <col min="1543" max="1543" width="0" style="57" hidden="1" customWidth="1"/>
    <col min="1544" max="1544" width="22" style="57" customWidth="1"/>
    <col min="1545" max="1545" width="10.140625" style="57" customWidth="1"/>
    <col min="1546" max="1549" width="9.140625" style="57"/>
    <col min="1550" max="1550" width="7.140625" style="57" customWidth="1"/>
    <col min="1551" max="1552" width="9.140625" style="57"/>
    <col min="1553" max="1553" width="8.42578125" style="57" customWidth="1"/>
    <col min="1554" max="1555" width="9.140625" style="57"/>
    <col min="1556" max="1556" width="9.5703125" style="57" customWidth="1"/>
    <col min="1557" max="1797" width="9.140625" style="57"/>
    <col min="1798" max="1798" width="4.5703125" style="57" customWidth="1"/>
    <col min="1799" max="1799" width="0" style="57" hidden="1" customWidth="1"/>
    <col min="1800" max="1800" width="22" style="57" customWidth="1"/>
    <col min="1801" max="1801" width="10.140625" style="57" customWidth="1"/>
    <col min="1802" max="1805" width="9.140625" style="57"/>
    <col min="1806" max="1806" width="7.140625" style="57" customWidth="1"/>
    <col min="1807" max="1808" width="9.140625" style="57"/>
    <col min="1809" max="1809" width="8.42578125" style="57" customWidth="1"/>
    <col min="1810" max="1811" width="9.140625" style="57"/>
    <col min="1812" max="1812" width="9.5703125" style="57" customWidth="1"/>
    <col min="1813" max="2053" width="9.140625" style="57"/>
    <col min="2054" max="2054" width="4.5703125" style="57" customWidth="1"/>
    <col min="2055" max="2055" width="0" style="57" hidden="1" customWidth="1"/>
    <col min="2056" max="2056" width="22" style="57" customWidth="1"/>
    <col min="2057" max="2057" width="10.140625" style="57" customWidth="1"/>
    <col min="2058" max="2061" width="9.140625" style="57"/>
    <col min="2062" max="2062" width="7.140625" style="57" customWidth="1"/>
    <col min="2063" max="2064" width="9.140625" style="57"/>
    <col min="2065" max="2065" width="8.42578125" style="57" customWidth="1"/>
    <col min="2066" max="2067" width="9.140625" style="57"/>
    <col min="2068" max="2068" width="9.5703125" style="57" customWidth="1"/>
    <col min="2069" max="2309" width="9.140625" style="57"/>
    <col min="2310" max="2310" width="4.5703125" style="57" customWidth="1"/>
    <col min="2311" max="2311" width="0" style="57" hidden="1" customWidth="1"/>
    <col min="2312" max="2312" width="22" style="57" customWidth="1"/>
    <col min="2313" max="2313" width="10.140625" style="57" customWidth="1"/>
    <col min="2314" max="2317" width="9.140625" style="57"/>
    <col min="2318" max="2318" width="7.140625" style="57" customWidth="1"/>
    <col min="2319" max="2320" width="9.140625" style="57"/>
    <col min="2321" max="2321" width="8.42578125" style="57" customWidth="1"/>
    <col min="2322" max="2323" width="9.140625" style="57"/>
    <col min="2324" max="2324" width="9.5703125" style="57" customWidth="1"/>
    <col min="2325" max="2565" width="9.140625" style="57"/>
    <col min="2566" max="2566" width="4.5703125" style="57" customWidth="1"/>
    <col min="2567" max="2567" width="0" style="57" hidden="1" customWidth="1"/>
    <col min="2568" max="2568" width="22" style="57" customWidth="1"/>
    <col min="2569" max="2569" width="10.140625" style="57" customWidth="1"/>
    <col min="2570" max="2573" width="9.140625" style="57"/>
    <col min="2574" max="2574" width="7.140625" style="57" customWidth="1"/>
    <col min="2575" max="2576" width="9.140625" style="57"/>
    <col min="2577" max="2577" width="8.42578125" style="57" customWidth="1"/>
    <col min="2578" max="2579" width="9.140625" style="57"/>
    <col min="2580" max="2580" width="9.5703125" style="57" customWidth="1"/>
    <col min="2581" max="2821" width="9.140625" style="57"/>
    <col min="2822" max="2822" width="4.5703125" style="57" customWidth="1"/>
    <col min="2823" max="2823" width="0" style="57" hidden="1" customWidth="1"/>
    <col min="2824" max="2824" width="22" style="57" customWidth="1"/>
    <col min="2825" max="2825" width="10.140625" style="57" customWidth="1"/>
    <col min="2826" max="2829" width="9.140625" style="57"/>
    <col min="2830" max="2830" width="7.140625" style="57" customWidth="1"/>
    <col min="2831" max="2832" width="9.140625" style="57"/>
    <col min="2833" max="2833" width="8.42578125" style="57" customWidth="1"/>
    <col min="2834" max="2835" width="9.140625" style="57"/>
    <col min="2836" max="2836" width="9.5703125" style="57" customWidth="1"/>
    <col min="2837" max="3077" width="9.140625" style="57"/>
    <col min="3078" max="3078" width="4.5703125" style="57" customWidth="1"/>
    <col min="3079" max="3079" width="0" style="57" hidden="1" customWidth="1"/>
    <col min="3080" max="3080" width="22" style="57" customWidth="1"/>
    <col min="3081" max="3081" width="10.140625" style="57" customWidth="1"/>
    <col min="3082" max="3085" width="9.140625" style="57"/>
    <col min="3086" max="3086" width="7.140625" style="57" customWidth="1"/>
    <col min="3087" max="3088" width="9.140625" style="57"/>
    <col min="3089" max="3089" width="8.42578125" style="57" customWidth="1"/>
    <col min="3090" max="3091" width="9.140625" style="57"/>
    <col min="3092" max="3092" width="9.5703125" style="57" customWidth="1"/>
    <col min="3093" max="3333" width="9.140625" style="57"/>
    <col min="3334" max="3334" width="4.5703125" style="57" customWidth="1"/>
    <col min="3335" max="3335" width="0" style="57" hidden="1" customWidth="1"/>
    <col min="3336" max="3336" width="22" style="57" customWidth="1"/>
    <col min="3337" max="3337" width="10.140625" style="57" customWidth="1"/>
    <col min="3338" max="3341" width="9.140625" style="57"/>
    <col min="3342" max="3342" width="7.140625" style="57" customWidth="1"/>
    <col min="3343" max="3344" width="9.140625" style="57"/>
    <col min="3345" max="3345" width="8.42578125" style="57" customWidth="1"/>
    <col min="3346" max="3347" width="9.140625" style="57"/>
    <col min="3348" max="3348" width="9.5703125" style="57" customWidth="1"/>
    <col min="3349" max="3589" width="9.140625" style="57"/>
    <col min="3590" max="3590" width="4.5703125" style="57" customWidth="1"/>
    <col min="3591" max="3591" width="0" style="57" hidden="1" customWidth="1"/>
    <col min="3592" max="3592" width="22" style="57" customWidth="1"/>
    <col min="3593" max="3593" width="10.140625" style="57" customWidth="1"/>
    <col min="3594" max="3597" width="9.140625" style="57"/>
    <col min="3598" max="3598" width="7.140625" style="57" customWidth="1"/>
    <col min="3599" max="3600" width="9.140625" style="57"/>
    <col min="3601" max="3601" width="8.42578125" style="57" customWidth="1"/>
    <col min="3602" max="3603" width="9.140625" style="57"/>
    <col min="3604" max="3604" width="9.5703125" style="57" customWidth="1"/>
    <col min="3605" max="3845" width="9.140625" style="57"/>
    <col min="3846" max="3846" width="4.5703125" style="57" customWidth="1"/>
    <col min="3847" max="3847" width="0" style="57" hidden="1" customWidth="1"/>
    <col min="3848" max="3848" width="22" style="57" customWidth="1"/>
    <col min="3849" max="3849" width="10.140625" style="57" customWidth="1"/>
    <col min="3850" max="3853" width="9.140625" style="57"/>
    <col min="3854" max="3854" width="7.140625" style="57" customWidth="1"/>
    <col min="3855" max="3856" width="9.140625" style="57"/>
    <col min="3857" max="3857" width="8.42578125" style="57" customWidth="1"/>
    <col min="3858" max="3859" width="9.140625" style="57"/>
    <col min="3860" max="3860" width="9.5703125" style="57" customWidth="1"/>
    <col min="3861" max="4101" width="9.140625" style="57"/>
    <col min="4102" max="4102" width="4.5703125" style="57" customWidth="1"/>
    <col min="4103" max="4103" width="0" style="57" hidden="1" customWidth="1"/>
    <col min="4104" max="4104" width="22" style="57" customWidth="1"/>
    <col min="4105" max="4105" width="10.140625" style="57" customWidth="1"/>
    <col min="4106" max="4109" width="9.140625" style="57"/>
    <col min="4110" max="4110" width="7.140625" style="57" customWidth="1"/>
    <col min="4111" max="4112" width="9.140625" style="57"/>
    <col min="4113" max="4113" width="8.42578125" style="57" customWidth="1"/>
    <col min="4114" max="4115" width="9.140625" style="57"/>
    <col min="4116" max="4116" width="9.5703125" style="57" customWidth="1"/>
    <col min="4117" max="4357" width="9.140625" style="57"/>
    <col min="4358" max="4358" width="4.5703125" style="57" customWidth="1"/>
    <col min="4359" max="4359" width="0" style="57" hidden="1" customWidth="1"/>
    <col min="4360" max="4360" width="22" style="57" customWidth="1"/>
    <col min="4361" max="4361" width="10.140625" style="57" customWidth="1"/>
    <col min="4362" max="4365" width="9.140625" style="57"/>
    <col min="4366" max="4366" width="7.140625" style="57" customWidth="1"/>
    <col min="4367" max="4368" width="9.140625" style="57"/>
    <col min="4369" max="4369" width="8.42578125" style="57" customWidth="1"/>
    <col min="4370" max="4371" width="9.140625" style="57"/>
    <col min="4372" max="4372" width="9.5703125" style="57" customWidth="1"/>
    <col min="4373" max="4613" width="9.140625" style="57"/>
    <col min="4614" max="4614" width="4.5703125" style="57" customWidth="1"/>
    <col min="4615" max="4615" width="0" style="57" hidden="1" customWidth="1"/>
    <col min="4616" max="4616" width="22" style="57" customWidth="1"/>
    <col min="4617" max="4617" width="10.140625" style="57" customWidth="1"/>
    <col min="4618" max="4621" width="9.140625" style="57"/>
    <col min="4622" max="4622" width="7.140625" style="57" customWidth="1"/>
    <col min="4623" max="4624" width="9.140625" style="57"/>
    <col min="4625" max="4625" width="8.42578125" style="57" customWidth="1"/>
    <col min="4626" max="4627" width="9.140625" style="57"/>
    <col min="4628" max="4628" width="9.5703125" style="57" customWidth="1"/>
    <col min="4629" max="4869" width="9.140625" style="57"/>
    <col min="4870" max="4870" width="4.5703125" style="57" customWidth="1"/>
    <col min="4871" max="4871" width="0" style="57" hidden="1" customWidth="1"/>
    <col min="4872" max="4872" width="22" style="57" customWidth="1"/>
    <col min="4873" max="4873" width="10.140625" style="57" customWidth="1"/>
    <col min="4874" max="4877" width="9.140625" style="57"/>
    <col min="4878" max="4878" width="7.140625" style="57" customWidth="1"/>
    <col min="4879" max="4880" width="9.140625" style="57"/>
    <col min="4881" max="4881" width="8.42578125" style="57" customWidth="1"/>
    <col min="4882" max="4883" width="9.140625" style="57"/>
    <col min="4884" max="4884" width="9.5703125" style="57" customWidth="1"/>
    <col min="4885" max="5125" width="9.140625" style="57"/>
    <col min="5126" max="5126" width="4.5703125" style="57" customWidth="1"/>
    <col min="5127" max="5127" width="0" style="57" hidden="1" customWidth="1"/>
    <col min="5128" max="5128" width="22" style="57" customWidth="1"/>
    <col min="5129" max="5129" width="10.140625" style="57" customWidth="1"/>
    <col min="5130" max="5133" width="9.140625" style="57"/>
    <col min="5134" max="5134" width="7.140625" style="57" customWidth="1"/>
    <col min="5135" max="5136" width="9.140625" style="57"/>
    <col min="5137" max="5137" width="8.42578125" style="57" customWidth="1"/>
    <col min="5138" max="5139" width="9.140625" style="57"/>
    <col min="5140" max="5140" width="9.5703125" style="57" customWidth="1"/>
    <col min="5141" max="5381" width="9.140625" style="57"/>
    <col min="5382" max="5382" width="4.5703125" style="57" customWidth="1"/>
    <col min="5383" max="5383" width="0" style="57" hidden="1" customWidth="1"/>
    <col min="5384" max="5384" width="22" style="57" customWidth="1"/>
    <col min="5385" max="5385" width="10.140625" style="57" customWidth="1"/>
    <col min="5386" max="5389" width="9.140625" style="57"/>
    <col min="5390" max="5390" width="7.140625" style="57" customWidth="1"/>
    <col min="5391" max="5392" width="9.140625" style="57"/>
    <col min="5393" max="5393" width="8.42578125" style="57" customWidth="1"/>
    <col min="5394" max="5395" width="9.140625" style="57"/>
    <col min="5396" max="5396" width="9.5703125" style="57" customWidth="1"/>
    <col min="5397" max="5637" width="9.140625" style="57"/>
    <col min="5638" max="5638" width="4.5703125" style="57" customWidth="1"/>
    <col min="5639" max="5639" width="0" style="57" hidden="1" customWidth="1"/>
    <col min="5640" max="5640" width="22" style="57" customWidth="1"/>
    <col min="5641" max="5641" width="10.140625" style="57" customWidth="1"/>
    <col min="5642" max="5645" width="9.140625" style="57"/>
    <col min="5646" max="5646" width="7.140625" style="57" customWidth="1"/>
    <col min="5647" max="5648" width="9.140625" style="57"/>
    <col min="5649" max="5649" width="8.42578125" style="57" customWidth="1"/>
    <col min="5650" max="5651" width="9.140625" style="57"/>
    <col min="5652" max="5652" width="9.5703125" style="57" customWidth="1"/>
    <col min="5653" max="5893" width="9.140625" style="57"/>
    <col min="5894" max="5894" width="4.5703125" style="57" customWidth="1"/>
    <col min="5895" max="5895" width="0" style="57" hidden="1" customWidth="1"/>
    <col min="5896" max="5896" width="22" style="57" customWidth="1"/>
    <col min="5897" max="5897" width="10.140625" style="57" customWidth="1"/>
    <col min="5898" max="5901" width="9.140625" style="57"/>
    <col min="5902" max="5902" width="7.140625" style="57" customWidth="1"/>
    <col min="5903" max="5904" width="9.140625" style="57"/>
    <col min="5905" max="5905" width="8.42578125" style="57" customWidth="1"/>
    <col min="5906" max="5907" width="9.140625" style="57"/>
    <col min="5908" max="5908" width="9.5703125" style="57" customWidth="1"/>
    <col min="5909" max="6149" width="9.140625" style="57"/>
    <col min="6150" max="6150" width="4.5703125" style="57" customWidth="1"/>
    <col min="6151" max="6151" width="0" style="57" hidden="1" customWidth="1"/>
    <col min="6152" max="6152" width="22" style="57" customWidth="1"/>
    <col min="6153" max="6153" width="10.140625" style="57" customWidth="1"/>
    <col min="6154" max="6157" width="9.140625" style="57"/>
    <col min="6158" max="6158" width="7.140625" style="57" customWidth="1"/>
    <col min="6159" max="6160" width="9.140625" style="57"/>
    <col min="6161" max="6161" width="8.42578125" style="57" customWidth="1"/>
    <col min="6162" max="6163" width="9.140625" style="57"/>
    <col min="6164" max="6164" width="9.5703125" style="57" customWidth="1"/>
    <col min="6165" max="6405" width="9.140625" style="57"/>
    <col min="6406" max="6406" width="4.5703125" style="57" customWidth="1"/>
    <col min="6407" max="6407" width="0" style="57" hidden="1" customWidth="1"/>
    <col min="6408" max="6408" width="22" style="57" customWidth="1"/>
    <col min="6409" max="6409" width="10.140625" style="57" customWidth="1"/>
    <col min="6410" max="6413" width="9.140625" style="57"/>
    <col min="6414" max="6414" width="7.140625" style="57" customWidth="1"/>
    <col min="6415" max="6416" width="9.140625" style="57"/>
    <col min="6417" max="6417" width="8.42578125" style="57" customWidth="1"/>
    <col min="6418" max="6419" width="9.140625" style="57"/>
    <col min="6420" max="6420" width="9.5703125" style="57" customWidth="1"/>
    <col min="6421" max="6661" width="9.140625" style="57"/>
    <col min="6662" max="6662" width="4.5703125" style="57" customWidth="1"/>
    <col min="6663" max="6663" width="0" style="57" hidden="1" customWidth="1"/>
    <col min="6664" max="6664" width="22" style="57" customWidth="1"/>
    <col min="6665" max="6665" width="10.140625" style="57" customWidth="1"/>
    <col min="6666" max="6669" width="9.140625" style="57"/>
    <col min="6670" max="6670" width="7.140625" style="57" customWidth="1"/>
    <col min="6671" max="6672" width="9.140625" style="57"/>
    <col min="6673" max="6673" width="8.42578125" style="57" customWidth="1"/>
    <col min="6674" max="6675" width="9.140625" style="57"/>
    <col min="6676" max="6676" width="9.5703125" style="57" customWidth="1"/>
    <col min="6677" max="6917" width="9.140625" style="57"/>
    <col min="6918" max="6918" width="4.5703125" style="57" customWidth="1"/>
    <col min="6919" max="6919" width="0" style="57" hidden="1" customWidth="1"/>
    <col min="6920" max="6920" width="22" style="57" customWidth="1"/>
    <col min="6921" max="6921" width="10.140625" style="57" customWidth="1"/>
    <col min="6922" max="6925" width="9.140625" style="57"/>
    <col min="6926" max="6926" width="7.140625" style="57" customWidth="1"/>
    <col min="6927" max="6928" width="9.140625" style="57"/>
    <col min="6929" max="6929" width="8.42578125" style="57" customWidth="1"/>
    <col min="6930" max="6931" width="9.140625" style="57"/>
    <col min="6932" max="6932" width="9.5703125" style="57" customWidth="1"/>
    <col min="6933" max="7173" width="9.140625" style="57"/>
    <col min="7174" max="7174" width="4.5703125" style="57" customWidth="1"/>
    <col min="7175" max="7175" width="0" style="57" hidden="1" customWidth="1"/>
    <col min="7176" max="7176" width="22" style="57" customWidth="1"/>
    <col min="7177" max="7177" width="10.140625" style="57" customWidth="1"/>
    <col min="7178" max="7181" width="9.140625" style="57"/>
    <col min="7182" max="7182" width="7.140625" style="57" customWidth="1"/>
    <col min="7183" max="7184" width="9.140625" style="57"/>
    <col min="7185" max="7185" width="8.42578125" style="57" customWidth="1"/>
    <col min="7186" max="7187" width="9.140625" style="57"/>
    <col min="7188" max="7188" width="9.5703125" style="57" customWidth="1"/>
    <col min="7189" max="7429" width="9.140625" style="57"/>
    <col min="7430" max="7430" width="4.5703125" style="57" customWidth="1"/>
    <col min="7431" max="7431" width="0" style="57" hidden="1" customWidth="1"/>
    <col min="7432" max="7432" width="22" style="57" customWidth="1"/>
    <col min="7433" max="7433" width="10.140625" style="57" customWidth="1"/>
    <col min="7434" max="7437" width="9.140625" style="57"/>
    <col min="7438" max="7438" width="7.140625" style="57" customWidth="1"/>
    <col min="7439" max="7440" width="9.140625" style="57"/>
    <col min="7441" max="7441" width="8.42578125" style="57" customWidth="1"/>
    <col min="7442" max="7443" width="9.140625" style="57"/>
    <col min="7444" max="7444" width="9.5703125" style="57" customWidth="1"/>
    <col min="7445" max="7685" width="9.140625" style="57"/>
    <col min="7686" max="7686" width="4.5703125" style="57" customWidth="1"/>
    <col min="7687" max="7687" width="0" style="57" hidden="1" customWidth="1"/>
    <col min="7688" max="7688" width="22" style="57" customWidth="1"/>
    <col min="7689" max="7689" width="10.140625" style="57" customWidth="1"/>
    <col min="7690" max="7693" width="9.140625" style="57"/>
    <col min="7694" max="7694" width="7.140625" style="57" customWidth="1"/>
    <col min="7695" max="7696" width="9.140625" style="57"/>
    <col min="7697" max="7697" width="8.42578125" style="57" customWidth="1"/>
    <col min="7698" max="7699" width="9.140625" style="57"/>
    <col min="7700" max="7700" width="9.5703125" style="57" customWidth="1"/>
    <col min="7701" max="7941" width="9.140625" style="57"/>
    <col min="7942" max="7942" width="4.5703125" style="57" customWidth="1"/>
    <col min="7943" max="7943" width="0" style="57" hidden="1" customWidth="1"/>
    <col min="7944" max="7944" width="22" style="57" customWidth="1"/>
    <col min="7945" max="7945" width="10.140625" style="57" customWidth="1"/>
    <col min="7946" max="7949" width="9.140625" style="57"/>
    <col min="7950" max="7950" width="7.140625" style="57" customWidth="1"/>
    <col min="7951" max="7952" width="9.140625" style="57"/>
    <col min="7953" max="7953" width="8.42578125" style="57" customWidth="1"/>
    <col min="7954" max="7955" width="9.140625" style="57"/>
    <col min="7956" max="7956" width="9.5703125" style="57" customWidth="1"/>
    <col min="7957" max="8197" width="9.140625" style="57"/>
    <col min="8198" max="8198" width="4.5703125" style="57" customWidth="1"/>
    <col min="8199" max="8199" width="0" style="57" hidden="1" customWidth="1"/>
    <col min="8200" max="8200" width="22" style="57" customWidth="1"/>
    <col min="8201" max="8201" width="10.140625" style="57" customWidth="1"/>
    <col min="8202" max="8205" width="9.140625" style="57"/>
    <col min="8206" max="8206" width="7.140625" style="57" customWidth="1"/>
    <col min="8207" max="8208" width="9.140625" style="57"/>
    <col min="8209" max="8209" width="8.42578125" style="57" customWidth="1"/>
    <col min="8210" max="8211" width="9.140625" style="57"/>
    <col min="8212" max="8212" width="9.5703125" style="57" customWidth="1"/>
    <col min="8213" max="8453" width="9.140625" style="57"/>
    <col min="8454" max="8454" width="4.5703125" style="57" customWidth="1"/>
    <col min="8455" max="8455" width="0" style="57" hidden="1" customWidth="1"/>
    <col min="8456" max="8456" width="22" style="57" customWidth="1"/>
    <col min="8457" max="8457" width="10.140625" style="57" customWidth="1"/>
    <col min="8458" max="8461" width="9.140625" style="57"/>
    <col min="8462" max="8462" width="7.140625" style="57" customWidth="1"/>
    <col min="8463" max="8464" width="9.140625" style="57"/>
    <col min="8465" max="8465" width="8.42578125" style="57" customWidth="1"/>
    <col min="8466" max="8467" width="9.140625" style="57"/>
    <col min="8468" max="8468" width="9.5703125" style="57" customWidth="1"/>
    <col min="8469" max="8709" width="9.140625" style="57"/>
    <col min="8710" max="8710" width="4.5703125" style="57" customWidth="1"/>
    <col min="8711" max="8711" width="0" style="57" hidden="1" customWidth="1"/>
    <col min="8712" max="8712" width="22" style="57" customWidth="1"/>
    <col min="8713" max="8713" width="10.140625" style="57" customWidth="1"/>
    <col min="8714" max="8717" width="9.140625" style="57"/>
    <col min="8718" max="8718" width="7.140625" style="57" customWidth="1"/>
    <col min="8719" max="8720" width="9.140625" style="57"/>
    <col min="8721" max="8721" width="8.42578125" style="57" customWidth="1"/>
    <col min="8722" max="8723" width="9.140625" style="57"/>
    <col min="8724" max="8724" width="9.5703125" style="57" customWidth="1"/>
    <col min="8725" max="8965" width="9.140625" style="57"/>
    <col min="8966" max="8966" width="4.5703125" style="57" customWidth="1"/>
    <col min="8967" max="8967" width="0" style="57" hidden="1" customWidth="1"/>
    <col min="8968" max="8968" width="22" style="57" customWidth="1"/>
    <col min="8969" max="8969" width="10.140625" style="57" customWidth="1"/>
    <col min="8970" max="8973" width="9.140625" style="57"/>
    <col min="8974" max="8974" width="7.140625" style="57" customWidth="1"/>
    <col min="8975" max="8976" width="9.140625" style="57"/>
    <col min="8977" max="8977" width="8.42578125" style="57" customWidth="1"/>
    <col min="8978" max="8979" width="9.140625" style="57"/>
    <col min="8980" max="8980" width="9.5703125" style="57" customWidth="1"/>
    <col min="8981" max="9221" width="9.140625" style="57"/>
    <col min="9222" max="9222" width="4.5703125" style="57" customWidth="1"/>
    <col min="9223" max="9223" width="0" style="57" hidden="1" customWidth="1"/>
    <col min="9224" max="9224" width="22" style="57" customWidth="1"/>
    <col min="9225" max="9225" width="10.140625" style="57" customWidth="1"/>
    <col min="9226" max="9229" width="9.140625" style="57"/>
    <col min="9230" max="9230" width="7.140625" style="57" customWidth="1"/>
    <col min="9231" max="9232" width="9.140625" style="57"/>
    <col min="9233" max="9233" width="8.42578125" style="57" customWidth="1"/>
    <col min="9234" max="9235" width="9.140625" style="57"/>
    <col min="9236" max="9236" width="9.5703125" style="57" customWidth="1"/>
    <col min="9237" max="9477" width="9.140625" style="57"/>
    <col min="9478" max="9478" width="4.5703125" style="57" customWidth="1"/>
    <col min="9479" max="9479" width="0" style="57" hidden="1" customWidth="1"/>
    <col min="9480" max="9480" width="22" style="57" customWidth="1"/>
    <col min="9481" max="9481" width="10.140625" style="57" customWidth="1"/>
    <col min="9482" max="9485" width="9.140625" style="57"/>
    <col min="9486" max="9486" width="7.140625" style="57" customWidth="1"/>
    <col min="9487" max="9488" width="9.140625" style="57"/>
    <col min="9489" max="9489" width="8.42578125" style="57" customWidth="1"/>
    <col min="9490" max="9491" width="9.140625" style="57"/>
    <col min="9492" max="9492" width="9.5703125" style="57" customWidth="1"/>
    <col min="9493" max="9733" width="9.140625" style="57"/>
    <col min="9734" max="9734" width="4.5703125" style="57" customWidth="1"/>
    <col min="9735" max="9735" width="0" style="57" hidden="1" customWidth="1"/>
    <col min="9736" max="9736" width="22" style="57" customWidth="1"/>
    <col min="9737" max="9737" width="10.140625" style="57" customWidth="1"/>
    <col min="9738" max="9741" width="9.140625" style="57"/>
    <col min="9742" max="9742" width="7.140625" style="57" customWidth="1"/>
    <col min="9743" max="9744" width="9.140625" style="57"/>
    <col min="9745" max="9745" width="8.42578125" style="57" customWidth="1"/>
    <col min="9746" max="9747" width="9.140625" style="57"/>
    <col min="9748" max="9748" width="9.5703125" style="57" customWidth="1"/>
    <col min="9749" max="9989" width="9.140625" style="57"/>
    <col min="9990" max="9990" width="4.5703125" style="57" customWidth="1"/>
    <col min="9991" max="9991" width="0" style="57" hidden="1" customWidth="1"/>
    <col min="9992" max="9992" width="22" style="57" customWidth="1"/>
    <col min="9993" max="9993" width="10.140625" style="57" customWidth="1"/>
    <col min="9994" max="9997" width="9.140625" style="57"/>
    <col min="9998" max="9998" width="7.140625" style="57" customWidth="1"/>
    <col min="9999" max="10000" width="9.140625" style="57"/>
    <col min="10001" max="10001" width="8.42578125" style="57" customWidth="1"/>
    <col min="10002" max="10003" width="9.140625" style="57"/>
    <col min="10004" max="10004" width="9.5703125" style="57" customWidth="1"/>
    <col min="10005" max="10245" width="9.140625" style="57"/>
    <col min="10246" max="10246" width="4.5703125" style="57" customWidth="1"/>
    <col min="10247" max="10247" width="0" style="57" hidden="1" customWidth="1"/>
    <col min="10248" max="10248" width="22" style="57" customWidth="1"/>
    <col min="10249" max="10249" width="10.140625" style="57" customWidth="1"/>
    <col min="10250" max="10253" width="9.140625" style="57"/>
    <col min="10254" max="10254" width="7.140625" style="57" customWidth="1"/>
    <col min="10255" max="10256" width="9.140625" style="57"/>
    <col min="10257" max="10257" width="8.42578125" style="57" customWidth="1"/>
    <col min="10258" max="10259" width="9.140625" style="57"/>
    <col min="10260" max="10260" width="9.5703125" style="57" customWidth="1"/>
    <col min="10261" max="10501" width="9.140625" style="57"/>
    <col min="10502" max="10502" width="4.5703125" style="57" customWidth="1"/>
    <col min="10503" max="10503" width="0" style="57" hidden="1" customWidth="1"/>
    <col min="10504" max="10504" width="22" style="57" customWidth="1"/>
    <col min="10505" max="10505" width="10.140625" style="57" customWidth="1"/>
    <col min="10506" max="10509" width="9.140625" style="57"/>
    <col min="10510" max="10510" width="7.140625" style="57" customWidth="1"/>
    <col min="10511" max="10512" width="9.140625" style="57"/>
    <col min="10513" max="10513" width="8.42578125" style="57" customWidth="1"/>
    <col min="10514" max="10515" width="9.140625" style="57"/>
    <col min="10516" max="10516" width="9.5703125" style="57" customWidth="1"/>
    <col min="10517" max="10757" width="9.140625" style="57"/>
    <col min="10758" max="10758" width="4.5703125" style="57" customWidth="1"/>
    <col min="10759" max="10759" width="0" style="57" hidden="1" customWidth="1"/>
    <col min="10760" max="10760" width="22" style="57" customWidth="1"/>
    <col min="10761" max="10761" width="10.140625" style="57" customWidth="1"/>
    <col min="10762" max="10765" width="9.140625" style="57"/>
    <col min="10766" max="10766" width="7.140625" style="57" customWidth="1"/>
    <col min="10767" max="10768" width="9.140625" style="57"/>
    <col min="10769" max="10769" width="8.42578125" style="57" customWidth="1"/>
    <col min="10770" max="10771" width="9.140625" style="57"/>
    <col min="10772" max="10772" width="9.5703125" style="57" customWidth="1"/>
    <col min="10773" max="11013" width="9.140625" style="57"/>
    <col min="11014" max="11014" width="4.5703125" style="57" customWidth="1"/>
    <col min="11015" max="11015" width="0" style="57" hidden="1" customWidth="1"/>
    <col min="11016" max="11016" width="22" style="57" customWidth="1"/>
    <col min="11017" max="11017" width="10.140625" style="57" customWidth="1"/>
    <col min="11018" max="11021" width="9.140625" style="57"/>
    <col min="11022" max="11022" width="7.140625" style="57" customWidth="1"/>
    <col min="11023" max="11024" width="9.140625" style="57"/>
    <col min="11025" max="11025" width="8.42578125" style="57" customWidth="1"/>
    <col min="11026" max="11027" width="9.140625" style="57"/>
    <col min="11028" max="11028" width="9.5703125" style="57" customWidth="1"/>
    <col min="11029" max="11269" width="9.140625" style="57"/>
    <col min="11270" max="11270" width="4.5703125" style="57" customWidth="1"/>
    <col min="11271" max="11271" width="0" style="57" hidden="1" customWidth="1"/>
    <col min="11272" max="11272" width="22" style="57" customWidth="1"/>
    <col min="11273" max="11273" width="10.140625" style="57" customWidth="1"/>
    <col min="11274" max="11277" width="9.140625" style="57"/>
    <col min="11278" max="11278" width="7.140625" style="57" customWidth="1"/>
    <col min="11279" max="11280" width="9.140625" style="57"/>
    <col min="11281" max="11281" width="8.42578125" style="57" customWidth="1"/>
    <col min="11282" max="11283" width="9.140625" style="57"/>
    <col min="11284" max="11284" width="9.5703125" style="57" customWidth="1"/>
    <col min="11285" max="11525" width="9.140625" style="57"/>
    <col min="11526" max="11526" width="4.5703125" style="57" customWidth="1"/>
    <col min="11527" max="11527" width="0" style="57" hidden="1" customWidth="1"/>
    <col min="11528" max="11528" width="22" style="57" customWidth="1"/>
    <col min="11529" max="11529" width="10.140625" style="57" customWidth="1"/>
    <col min="11530" max="11533" width="9.140625" style="57"/>
    <col min="11534" max="11534" width="7.140625" style="57" customWidth="1"/>
    <col min="11535" max="11536" width="9.140625" style="57"/>
    <col min="11537" max="11537" width="8.42578125" style="57" customWidth="1"/>
    <col min="11538" max="11539" width="9.140625" style="57"/>
    <col min="11540" max="11540" width="9.5703125" style="57" customWidth="1"/>
    <col min="11541" max="11781" width="9.140625" style="57"/>
    <col min="11782" max="11782" width="4.5703125" style="57" customWidth="1"/>
    <col min="11783" max="11783" width="0" style="57" hidden="1" customWidth="1"/>
    <col min="11784" max="11784" width="22" style="57" customWidth="1"/>
    <col min="11785" max="11785" width="10.140625" style="57" customWidth="1"/>
    <col min="11786" max="11789" width="9.140625" style="57"/>
    <col min="11790" max="11790" width="7.140625" style="57" customWidth="1"/>
    <col min="11791" max="11792" width="9.140625" style="57"/>
    <col min="11793" max="11793" width="8.42578125" style="57" customWidth="1"/>
    <col min="11794" max="11795" width="9.140625" style="57"/>
    <col min="11796" max="11796" width="9.5703125" style="57" customWidth="1"/>
    <col min="11797" max="12037" width="9.140625" style="57"/>
    <col min="12038" max="12038" width="4.5703125" style="57" customWidth="1"/>
    <col min="12039" max="12039" width="0" style="57" hidden="1" customWidth="1"/>
    <col min="12040" max="12040" width="22" style="57" customWidth="1"/>
    <col min="12041" max="12041" width="10.140625" style="57" customWidth="1"/>
    <col min="12042" max="12045" width="9.140625" style="57"/>
    <col min="12046" max="12046" width="7.140625" style="57" customWidth="1"/>
    <col min="12047" max="12048" width="9.140625" style="57"/>
    <col min="12049" max="12049" width="8.42578125" style="57" customWidth="1"/>
    <col min="12050" max="12051" width="9.140625" style="57"/>
    <col min="12052" max="12052" width="9.5703125" style="57" customWidth="1"/>
    <col min="12053" max="12293" width="9.140625" style="57"/>
    <col min="12294" max="12294" width="4.5703125" style="57" customWidth="1"/>
    <col min="12295" max="12295" width="0" style="57" hidden="1" customWidth="1"/>
    <col min="12296" max="12296" width="22" style="57" customWidth="1"/>
    <col min="12297" max="12297" width="10.140625" style="57" customWidth="1"/>
    <col min="12298" max="12301" width="9.140625" style="57"/>
    <col min="12302" max="12302" width="7.140625" style="57" customWidth="1"/>
    <col min="12303" max="12304" width="9.140625" style="57"/>
    <col min="12305" max="12305" width="8.42578125" style="57" customWidth="1"/>
    <col min="12306" max="12307" width="9.140625" style="57"/>
    <col min="12308" max="12308" width="9.5703125" style="57" customWidth="1"/>
    <col min="12309" max="12549" width="9.140625" style="57"/>
    <col min="12550" max="12550" width="4.5703125" style="57" customWidth="1"/>
    <col min="12551" max="12551" width="0" style="57" hidden="1" customWidth="1"/>
    <col min="12552" max="12552" width="22" style="57" customWidth="1"/>
    <col min="12553" max="12553" width="10.140625" style="57" customWidth="1"/>
    <col min="12554" max="12557" width="9.140625" style="57"/>
    <col min="12558" max="12558" width="7.140625" style="57" customWidth="1"/>
    <col min="12559" max="12560" width="9.140625" style="57"/>
    <col min="12561" max="12561" width="8.42578125" style="57" customWidth="1"/>
    <col min="12562" max="12563" width="9.140625" style="57"/>
    <col min="12564" max="12564" width="9.5703125" style="57" customWidth="1"/>
    <col min="12565" max="12805" width="9.140625" style="57"/>
    <col min="12806" max="12806" width="4.5703125" style="57" customWidth="1"/>
    <col min="12807" max="12807" width="0" style="57" hidden="1" customWidth="1"/>
    <col min="12808" max="12808" width="22" style="57" customWidth="1"/>
    <col min="12809" max="12809" width="10.140625" style="57" customWidth="1"/>
    <col min="12810" max="12813" width="9.140625" style="57"/>
    <col min="12814" max="12814" width="7.140625" style="57" customWidth="1"/>
    <col min="12815" max="12816" width="9.140625" style="57"/>
    <col min="12817" max="12817" width="8.42578125" style="57" customWidth="1"/>
    <col min="12818" max="12819" width="9.140625" style="57"/>
    <col min="12820" max="12820" width="9.5703125" style="57" customWidth="1"/>
    <col min="12821" max="13061" width="9.140625" style="57"/>
    <col min="13062" max="13062" width="4.5703125" style="57" customWidth="1"/>
    <col min="13063" max="13063" width="0" style="57" hidden="1" customWidth="1"/>
    <col min="13064" max="13064" width="22" style="57" customWidth="1"/>
    <col min="13065" max="13065" width="10.140625" style="57" customWidth="1"/>
    <col min="13066" max="13069" width="9.140625" style="57"/>
    <col min="13070" max="13070" width="7.140625" style="57" customWidth="1"/>
    <col min="13071" max="13072" width="9.140625" style="57"/>
    <col min="13073" max="13073" width="8.42578125" style="57" customWidth="1"/>
    <col min="13074" max="13075" width="9.140625" style="57"/>
    <col min="13076" max="13076" width="9.5703125" style="57" customWidth="1"/>
    <col min="13077" max="13317" width="9.140625" style="57"/>
    <col min="13318" max="13318" width="4.5703125" style="57" customWidth="1"/>
    <col min="13319" max="13319" width="0" style="57" hidden="1" customWidth="1"/>
    <col min="13320" max="13320" width="22" style="57" customWidth="1"/>
    <col min="13321" max="13321" width="10.140625" style="57" customWidth="1"/>
    <col min="13322" max="13325" width="9.140625" style="57"/>
    <col min="13326" max="13326" width="7.140625" style="57" customWidth="1"/>
    <col min="13327" max="13328" width="9.140625" style="57"/>
    <col min="13329" max="13329" width="8.42578125" style="57" customWidth="1"/>
    <col min="13330" max="13331" width="9.140625" style="57"/>
    <col min="13332" max="13332" width="9.5703125" style="57" customWidth="1"/>
    <col min="13333" max="13573" width="9.140625" style="57"/>
    <col min="13574" max="13574" width="4.5703125" style="57" customWidth="1"/>
    <col min="13575" max="13575" width="0" style="57" hidden="1" customWidth="1"/>
    <col min="13576" max="13576" width="22" style="57" customWidth="1"/>
    <col min="13577" max="13577" width="10.140625" style="57" customWidth="1"/>
    <col min="13578" max="13581" width="9.140625" style="57"/>
    <col min="13582" max="13582" width="7.140625" style="57" customWidth="1"/>
    <col min="13583" max="13584" width="9.140625" style="57"/>
    <col min="13585" max="13585" width="8.42578125" style="57" customWidth="1"/>
    <col min="13586" max="13587" width="9.140625" style="57"/>
    <col min="13588" max="13588" width="9.5703125" style="57" customWidth="1"/>
    <col min="13589" max="13829" width="9.140625" style="57"/>
    <col min="13830" max="13830" width="4.5703125" style="57" customWidth="1"/>
    <col min="13831" max="13831" width="0" style="57" hidden="1" customWidth="1"/>
    <col min="13832" max="13832" width="22" style="57" customWidth="1"/>
    <col min="13833" max="13833" width="10.140625" style="57" customWidth="1"/>
    <col min="13834" max="13837" width="9.140625" style="57"/>
    <col min="13838" max="13838" width="7.140625" style="57" customWidth="1"/>
    <col min="13839" max="13840" width="9.140625" style="57"/>
    <col min="13841" max="13841" width="8.42578125" style="57" customWidth="1"/>
    <col min="13842" max="13843" width="9.140625" style="57"/>
    <col min="13844" max="13844" width="9.5703125" style="57" customWidth="1"/>
    <col min="13845" max="14085" width="9.140625" style="57"/>
    <col min="14086" max="14086" width="4.5703125" style="57" customWidth="1"/>
    <col min="14087" max="14087" width="0" style="57" hidden="1" customWidth="1"/>
    <col min="14088" max="14088" width="22" style="57" customWidth="1"/>
    <col min="14089" max="14089" width="10.140625" style="57" customWidth="1"/>
    <col min="14090" max="14093" width="9.140625" style="57"/>
    <col min="14094" max="14094" width="7.140625" style="57" customWidth="1"/>
    <col min="14095" max="14096" width="9.140625" style="57"/>
    <col min="14097" max="14097" width="8.42578125" style="57" customWidth="1"/>
    <col min="14098" max="14099" width="9.140625" style="57"/>
    <col min="14100" max="14100" width="9.5703125" style="57" customWidth="1"/>
    <col min="14101" max="14341" width="9.140625" style="57"/>
    <col min="14342" max="14342" width="4.5703125" style="57" customWidth="1"/>
    <col min="14343" max="14343" width="0" style="57" hidden="1" customWidth="1"/>
    <col min="14344" max="14344" width="22" style="57" customWidth="1"/>
    <col min="14345" max="14345" width="10.140625" style="57" customWidth="1"/>
    <col min="14346" max="14349" width="9.140625" style="57"/>
    <col min="14350" max="14350" width="7.140625" style="57" customWidth="1"/>
    <col min="14351" max="14352" width="9.140625" style="57"/>
    <col min="14353" max="14353" width="8.42578125" style="57" customWidth="1"/>
    <col min="14354" max="14355" width="9.140625" style="57"/>
    <col min="14356" max="14356" width="9.5703125" style="57" customWidth="1"/>
    <col min="14357" max="14597" width="9.140625" style="57"/>
    <col min="14598" max="14598" width="4.5703125" style="57" customWidth="1"/>
    <col min="14599" max="14599" width="0" style="57" hidden="1" customWidth="1"/>
    <col min="14600" max="14600" width="22" style="57" customWidth="1"/>
    <col min="14601" max="14601" width="10.140625" style="57" customWidth="1"/>
    <col min="14602" max="14605" width="9.140625" style="57"/>
    <col min="14606" max="14606" width="7.140625" style="57" customWidth="1"/>
    <col min="14607" max="14608" width="9.140625" style="57"/>
    <col min="14609" max="14609" width="8.42578125" style="57" customWidth="1"/>
    <col min="14610" max="14611" width="9.140625" style="57"/>
    <col min="14612" max="14612" width="9.5703125" style="57" customWidth="1"/>
    <col min="14613" max="14853" width="9.140625" style="57"/>
    <col min="14854" max="14854" width="4.5703125" style="57" customWidth="1"/>
    <col min="14855" max="14855" width="0" style="57" hidden="1" customWidth="1"/>
    <col min="14856" max="14856" width="22" style="57" customWidth="1"/>
    <col min="14857" max="14857" width="10.140625" style="57" customWidth="1"/>
    <col min="14858" max="14861" width="9.140625" style="57"/>
    <col min="14862" max="14862" width="7.140625" style="57" customWidth="1"/>
    <col min="14863" max="14864" width="9.140625" style="57"/>
    <col min="14865" max="14865" width="8.42578125" style="57" customWidth="1"/>
    <col min="14866" max="14867" width="9.140625" style="57"/>
    <col min="14868" max="14868" width="9.5703125" style="57" customWidth="1"/>
    <col min="14869" max="15109" width="9.140625" style="57"/>
    <col min="15110" max="15110" width="4.5703125" style="57" customWidth="1"/>
    <col min="15111" max="15111" width="0" style="57" hidden="1" customWidth="1"/>
    <col min="15112" max="15112" width="22" style="57" customWidth="1"/>
    <col min="15113" max="15113" width="10.140625" style="57" customWidth="1"/>
    <col min="15114" max="15117" width="9.140625" style="57"/>
    <col min="15118" max="15118" width="7.140625" style="57" customWidth="1"/>
    <col min="15119" max="15120" width="9.140625" style="57"/>
    <col min="15121" max="15121" width="8.42578125" style="57" customWidth="1"/>
    <col min="15122" max="15123" width="9.140625" style="57"/>
    <col min="15124" max="15124" width="9.5703125" style="57" customWidth="1"/>
    <col min="15125" max="15365" width="9.140625" style="57"/>
    <col min="15366" max="15366" width="4.5703125" style="57" customWidth="1"/>
    <col min="15367" max="15367" width="0" style="57" hidden="1" customWidth="1"/>
    <col min="15368" max="15368" width="22" style="57" customWidth="1"/>
    <col min="15369" max="15369" width="10.140625" style="57" customWidth="1"/>
    <col min="15370" max="15373" width="9.140625" style="57"/>
    <col min="15374" max="15374" width="7.140625" style="57" customWidth="1"/>
    <col min="15375" max="15376" width="9.140625" style="57"/>
    <col min="15377" max="15377" width="8.42578125" style="57" customWidth="1"/>
    <col min="15378" max="15379" width="9.140625" style="57"/>
    <col min="15380" max="15380" width="9.5703125" style="57" customWidth="1"/>
    <col min="15381" max="15621" width="9.140625" style="57"/>
    <col min="15622" max="15622" width="4.5703125" style="57" customWidth="1"/>
    <col min="15623" max="15623" width="0" style="57" hidden="1" customWidth="1"/>
    <col min="15624" max="15624" width="22" style="57" customWidth="1"/>
    <col min="15625" max="15625" width="10.140625" style="57" customWidth="1"/>
    <col min="15626" max="15629" width="9.140625" style="57"/>
    <col min="15630" max="15630" width="7.140625" style="57" customWidth="1"/>
    <col min="15631" max="15632" width="9.140625" style="57"/>
    <col min="15633" max="15633" width="8.42578125" style="57" customWidth="1"/>
    <col min="15634" max="15635" width="9.140625" style="57"/>
    <col min="15636" max="15636" width="9.5703125" style="57" customWidth="1"/>
    <col min="15637" max="15877" width="9.140625" style="57"/>
    <col min="15878" max="15878" width="4.5703125" style="57" customWidth="1"/>
    <col min="15879" max="15879" width="0" style="57" hidden="1" customWidth="1"/>
    <col min="15880" max="15880" width="22" style="57" customWidth="1"/>
    <col min="15881" max="15881" width="10.140625" style="57" customWidth="1"/>
    <col min="15882" max="15885" width="9.140625" style="57"/>
    <col min="15886" max="15886" width="7.140625" style="57" customWidth="1"/>
    <col min="15887" max="15888" width="9.140625" style="57"/>
    <col min="15889" max="15889" width="8.42578125" style="57" customWidth="1"/>
    <col min="15890" max="15891" width="9.140625" style="57"/>
    <col min="15892" max="15892" width="9.5703125" style="57" customWidth="1"/>
    <col min="15893" max="16133" width="9.140625" style="57"/>
    <col min="16134" max="16134" width="4.5703125" style="57" customWidth="1"/>
    <col min="16135" max="16135" width="0" style="57" hidden="1" customWidth="1"/>
    <col min="16136" max="16136" width="22" style="57" customWidth="1"/>
    <col min="16137" max="16137" width="10.140625" style="57" customWidth="1"/>
    <col min="16138" max="16141" width="9.140625" style="57"/>
    <col min="16142" max="16142" width="7.140625" style="57" customWidth="1"/>
    <col min="16143" max="16144" width="9.140625" style="57"/>
    <col min="16145" max="16145" width="8.42578125" style="57" customWidth="1"/>
    <col min="16146" max="16147" width="9.140625" style="57"/>
    <col min="16148" max="16148" width="9.5703125" style="57" customWidth="1"/>
    <col min="16149" max="16384" width="9.140625" style="57"/>
  </cols>
  <sheetData>
    <row r="1" spans="1:22" ht="18" x14ac:dyDescent="0.25">
      <c r="A1" s="56" t="s">
        <v>303</v>
      </c>
    </row>
    <row r="2" spans="1:22" ht="18" x14ac:dyDescent="0.25">
      <c r="A2" s="56" t="str">
        <f>CourseName</f>
        <v>Cs525 ASD - Fall 2012</v>
      </c>
    </row>
    <row r="3" spans="1:22" s="126" customFormat="1" ht="7.5" customHeight="1" x14ac:dyDescent="0.25">
      <c r="A3" s="56"/>
    </row>
    <row r="4" spans="1:22" s="126" customFormat="1" ht="14.25" x14ac:dyDescent="0.2">
      <c r="A4" s="91" t="s">
        <v>80</v>
      </c>
      <c r="C4" s="253">
        <f>Submissions!Data_Update</f>
        <v>41793.895590277774</v>
      </c>
    </row>
    <row r="5" spans="1:22" ht="14.25" customHeight="1" x14ac:dyDescent="0.2">
      <c r="O5" s="390" t="s">
        <v>150</v>
      </c>
      <c r="P5" s="391"/>
      <c r="Q5" s="390" t="s">
        <v>150</v>
      </c>
      <c r="R5" s="391"/>
      <c r="S5" s="390" t="s">
        <v>150</v>
      </c>
      <c r="T5" s="391"/>
      <c r="U5" s="390" t="s">
        <v>150</v>
      </c>
      <c r="V5" s="391"/>
    </row>
    <row r="6" spans="1:22" s="126" customFormat="1" x14ac:dyDescent="0.2">
      <c r="C6" s="182" t="s">
        <v>187</v>
      </c>
      <c r="D6" s="58">
        <f t="shared" ref="D6:K6" si="0">TRUNC((D9-start)/7)+1</f>
        <v>61</v>
      </c>
      <c r="E6" s="58">
        <f t="shared" si="0"/>
        <v>62</v>
      </c>
      <c r="F6" s="58">
        <f t="shared" si="0"/>
        <v>62</v>
      </c>
      <c r="G6" s="58">
        <f t="shared" si="0"/>
        <v>63</v>
      </c>
      <c r="H6" s="58">
        <f t="shared" si="0"/>
        <v>63</v>
      </c>
      <c r="I6" s="58">
        <f t="shared" si="0"/>
        <v>64</v>
      </c>
      <c r="J6" s="58">
        <f t="shared" si="0"/>
        <v>64</v>
      </c>
      <c r="K6" s="58">
        <f t="shared" si="0"/>
        <v>64</v>
      </c>
      <c r="O6" s="191">
        <v>4</v>
      </c>
      <c r="P6" s="192"/>
      <c r="Q6" s="191">
        <v>8</v>
      </c>
      <c r="R6" s="192"/>
      <c r="S6" s="191">
        <v>12</v>
      </c>
      <c r="T6" s="192"/>
      <c r="U6" s="191">
        <v>16</v>
      </c>
      <c r="V6" s="192"/>
    </row>
    <row r="7" spans="1:22" s="113" customFormat="1" ht="64.5" customHeight="1" x14ac:dyDescent="0.2">
      <c r="B7" s="114" t="s">
        <v>72</v>
      </c>
      <c r="C7" s="252" t="s">
        <v>222</v>
      </c>
      <c r="D7" s="254" t="s">
        <v>372</v>
      </c>
      <c r="E7" s="254" t="s">
        <v>373</v>
      </c>
      <c r="F7" s="254" t="s">
        <v>374</v>
      </c>
      <c r="G7" s="254" t="s">
        <v>375</v>
      </c>
      <c r="H7" s="254" t="s">
        <v>376</v>
      </c>
      <c r="I7" s="254" t="s">
        <v>377</v>
      </c>
      <c r="J7" s="254" t="s">
        <v>378</v>
      </c>
      <c r="K7" s="254" t="s">
        <v>379</v>
      </c>
      <c r="L7" s="185" t="s">
        <v>4</v>
      </c>
      <c r="M7" s="183"/>
      <c r="N7" s="184"/>
      <c r="O7" s="187" t="s">
        <v>76</v>
      </c>
      <c r="P7" s="188"/>
      <c r="Q7" s="187" t="s">
        <v>76</v>
      </c>
      <c r="R7" s="188"/>
      <c r="S7" s="187" t="s">
        <v>76</v>
      </c>
      <c r="T7" s="188"/>
      <c r="U7" s="187" t="s">
        <v>76</v>
      </c>
      <c r="V7" s="188"/>
    </row>
    <row r="8" spans="1:22" s="113" customFormat="1" ht="15.75" hidden="1" customHeight="1" x14ac:dyDescent="0.2">
      <c r="B8" s="115"/>
      <c r="C8" s="241" t="s">
        <v>221</v>
      </c>
      <c r="D8" s="255">
        <v>41239</v>
      </c>
      <c r="E8" s="255">
        <v>41246</v>
      </c>
      <c r="F8" s="255">
        <v>41249</v>
      </c>
      <c r="G8" s="255">
        <v>41252</v>
      </c>
      <c r="H8" s="255">
        <v>41257</v>
      </c>
      <c r="I8" s="255">
        <v>41259</v>
      </c>
      <c r="J8" s="255">
        <v>41263</v>
      </c>
      <c r="K8" s="255">
        <v>41263</v>
      </c>
      <c r="L8" s="263"/>
      <c r="M8" s="228"/>
      <c r="N8" s="228"/>
      <c r="O8" s="265"/>
      <c r="P8" s="258"/>
      <c r="Q8" s="265"/>
      <c r="R8" s="258"/>
      <c r="S8" s="265"/>
      <c r="T8" s="258"/>
      <c r="U8" s="265"/>
      <c r="V8" s="258"/>
    </row>
    <row r="9" spans="1:22" s="113" customFormat="1" ht="15.75" customHeight="1" x14ac:dyDescent="0.2">
      <c r="B9" s="115"/>
      <c r="C9" s="241" t="s">
        <v>209</v>
      </c>
      <c r="D9" s="255">
        <v>41239</v>
      </c>
      <c r="E9" s="255">
        <v>41246</v>
      </c>
      <c r="F9" s="255">
        <v>41249</v>
      </c>
      <c r="G9" s="255">
        <v>41252</v>
      </c>
      <c r="H9" s="255">
        <v>41257</v>
      </c>
      <c r="I9" s="255">
        <v>41259</v>
      </c>
      <c r="J9" s="255">
        <v>41263</v>
      </c>
      <c r="K9" s="255">
        <v>41263</v>
      </c>
      <c r="L9" s="264"/>
      <c r="M9" s="228"/>
      <c r="N9" s="228"/>
      <c r="O9" s="266"/>
      <c r="P9" s="267"/>
      <c r="Q9" s="266"/>
      <c r="R9" s="267"/>
      <c r="S9" s="266"/>
      <c r="T9" s="267"/>
      <c r="U9" s="266"/>
      <c r="V9" s="267"/>
    </row>
    <row r="10" spans="1:22" s="113" customFormat="1" ht="16.5" customHeight="1" thickBot="1" x14ac:dyDescent="0.25">
      <c r="B10" s="115"/>
      <c r="C10" s="242" t="s">
        <v>210</v>
      </c>
      <c r="D10" s="298">
        <v>10</v>
      </c>
      <c r="E10" s="299">
        <v>10</v>
      </c>
      <c r="F10" s="299">
        <v>10</v>
      </c>
      <c r="G10" s="299">
        <v>10</v>
      </c>
      <c r="H10" s="299">
        <v>35</v>
      </c>
      <c r="I10" s="299">
        <v>10</v>
      </c>
      <c r="J10" s="299">
        <v>10</v>
      </c>
      <c r="K10" s="299">
        <v>10</v>
      </c>
      <c r="L10" s="299">
        <f>SUM(AsgnData 10:10)</f>
        <v>105</v>
      </c>
      <c r="M10" s="300" t="s">
        <v>146</v>
      </c>
      <c r="N10" s="301" t="s">
        <v>147</v>
      </c>
      <c r="O10" s="189">
        <f>COUNTIFS(AsgnData 10:10, "&gt;0", asnRep AsgnData, "&lt;="&amp;asnRep O:O)</f>
        <v>0</v>
      </c>
      <c r="P10" s="190" t="s">
        <v>144</v>
      </c>
      <c r="Q10" s="189">
        <f>COUNTIFS(AsgnData 10:10, "&gt;0", asnRep AsgnData, "&lt;="&amp;asnRep Q:Q)</f>
        <v>0</v>
      </c>
      <c r="R10" s="190" t="s">
        <v>144</v>
      </c>
      <c r="S10" s="189">
        <f>COUNTIFS(AsgnData 10:10, "&gt;0", asnRep AsgnData, "&lt;="&amp;asnRep S:S)</f>
        <v>0</v>
      </c>
      <c r="T10" s="190" t="s">
        <v>144</v>
      </c>
      <c r="U10" s="189">
        <f>COUNTIFS(AsgnData 10:10, "&gt;0", asnRep AsgnData, "&lt;="&amp;asnRep U:U)</f>
        <v>0</v>
      </c>
      <c r="V10" s="190" t="s">
        <v>144</v>
      </c>
    </row>
    <row r="11" spans="1:22" ht="15.75" thickTop="1" x14ac:dyDescent="0.25">
      <c r="A11" s="58">
        <f>Roster!B8</f>
        <v>1</v>
      </c>
      <c r="B11" s="57" t="s">
        <v>31</v>
      </c>
      <c r="C11" s="280" t="str">
        <f>Roster!C8</f>
        <v>Abdalgni, Khalid</v>
      </c>
      <c r="D11" s="281">
        <f>COUNTIFS( Submissions!name Submissions!Data,"="&amp;(11:11  names),  Submissions!assign Submissions!Data,"="&amp;(D:D  asnNames),Submissions!subDate Submissions!Data, "&lt;&gt;")</f>
        <v>1</v>
      </c>
      <c r="E11" s="281">
        <f>COUNTIFS( Submissions!name Submissions!Data,"="&amp;(11:11  names),  Submissions!assign Submissions!Data,"="&amp;(E:E  asnNames),Submissions!subDate Submissions!Data, "&lt;&gt;")</f>
        <v>1</v>
      </c>
      <c r="F11" s="281">
        <f>COUNTIFS( Submissions!name Submissions!Data,"="&amp;(11:11  names),  Submissions!assign Submissions!Data,"="&amp;(F:F  asnNames),Submissions!subDate Submissions!Data, "&lt;&gt;")</f>
        <v>1</v>
      </c>
      <c r="G11" s="281">
        <f>COUNTIFS( Submissions!name Submissions!Data,"="&amp;(11:11  names),  Submissions!assign Submissions!Data,"="&amp;(G:G  asnNames),Submissions!subDate Submissions!Data, "&lt;&gt;")</f>
        <v>0</v>
      </c>
      <c r="H11" s="281">
        <f>COUNTIFS( Submissions!name Submissions!Data,"="&amp;(11:11  names),  Submissions!assign Submissions!Data,"="&amp;(H:H  asnNames),Submissions!subDate Submissions!Data, "&lt;&gt;")</f>
        <v>0</v>
      </c>
      <c r="I11" s="281">
        <f>COUNTIFS( Submissions!name Submissions!Data,"="&amp;(11:11  names),  Submissions!assign Submissions!Data,"="&amp;(I:I  asnNames),Submissions!subDate Submissions!Data, "&lt;&gt;")</f>
        <v>0</v>
      </c>
      <c r="J11" s="281">
        <f>COUNTIFS( Submissions!name Submissions!Data,"="&amp;(11:11  names),  Submissions!assign Submissions!Data,"="&amp;(J:J  asnNames),Submissions!subDate Submissions!Data, "&lt;&gt;")</f>
        <v>0</v>
      </c>
      <c r="K11" s="281">
        <f>COUNTIFS( Submissions!name Submissions!Data,"="&amp;(11:11  names),  Submissions!assign Submissions!Data,"="&amp;(K:K  asnNames),Submissions!subDate Submissions!Data, "&lt;&gt;")</f>
        <v>1</v>
      </c>
      <c r="L11" s="281"/>
      <c r="M11" s="82">
        <f t="shared" ref="M11:M37" si="1">SUM(D11:L11)</f>
        <v>4</v>
      </c>
      <c r="N11" s="297">
        <f t="shared" ref="N11:N19" si="2">M11/Total</f>
        <v>3.8095238095238099E-2</v>
      </c>
      <c r="O11" s="82">
        <f>COUNTIFS(  AsgnData 11:11, "&gt;0", asnRep AsgnData, "&lt;="&amp;asnRep)</f>
        <v>0</v>
      </c>
      <c r="P11" s="297" t="e">
        <f t="shared" ref="P11:P19" si="3">O11/a1Total</f>
        <v>#DIV/0!</v>
      </c>
      <c r="Q11" s="82">
        <f>COUNTIFS(  AsgnData 11:11, "&gt;0", asnRep AsgnData, "&lt;="&amp;asnRep)</f>
        <v>0</v>
      </c>
      <c r="R11" s="297" t="e">
        <f t="shared" ref="R11:R19" si="4">Q11/a2Total</f>
        <v>#DIV/0!</v>
      </c>
      <c r="S11" s="82">
        <f>COUNTIFS(  AsgnData 11:11, "&gt;0", asnRep AsgnData, "&lt;="&amp;asnRep)</f>
        <v>0</v>
      </c>
      <c r="T11" s="297" t="e">
        <f t="shared" ref="T11:T19" si="5">S11/a3Total</f>
        <v>#DIV/0!</v>
      </c>
      <c r="U11" s="82">
        <f>COUNTIFS(  AsgnData 11:11, "&gt;0", asnRep AsgnData, "&lt;="&amp;asnRep)</f>
        <v>0</v>
      </c>
      <c r="V11" s="297" t="e">
        <f t="shared" ref="V11:V19" si="6">U11/a4Total</f>
        <v>#DIV/0!</v>
      </c>
    </row>
    <row r="12" spans="1:22" ht="15" x14ac:dyDescent="0.25">
      <c r="A12" s="58">
        <f>Roster!B9</f>
        <v>2</v>
      </c>
      <c r="B12" s="57" t="s">
        <v>33</v>
      </c>
      <c r="C12" s="282" t="str">
        <f>Roster!C9</f>
        <v>Alam, Md. Ashraful</v>
      </c>
      <c r="D12" s="283">
        <f>COUNTIFS( Submissions!name Submissions!Data,"="&amp;(12:12  names),  Submissions!assign Submissions!Data,"="&amp;(D:D  asnNames),Submissions!subDate Submissions!Data, "&lt;&gt;")</f>
        <v>1</v>
      </c>
      <c r="E12" s="283">
        <f>COUNTIFS( Submissions!name Submissions!Data,"="&amp;(12:12  names),  Submissions!assign Submissions!Data,"="&amp;(E:E  asnNames),Submissions!subDate Submissions!Data, "&lt;&gt;")</f>
        <v>1</v>
      </c>
      <c r="F12" s="283">
        <f>COUNTIFS( Submissions!name Submissions!Data,"="&amp;(12:12  names),  Submissions!assign Submissions!Data,"="&amp;(F:F  asnNames),Submissions!subDate Submissions!Data, "&lt;&gt;")</f>
        <v>1</v>
      </c>
      <c r="G12" s="283">
        <f>COUNTIFS( Submissions!name Submissions!Data,"="&amp;(12:12  names),  Submissions!assign Submissions!Data,"="&amp;(G:G  asnNames),Submissions!subDate Submissions!Data, "&lt;&gt;")</f>
        <v>1</v>
      </c>
      <c r="H12" s="283">
        <f>COUNTIFS( Submissions!name Submissions!Data,"="&amp;(12:12  names),  Submissions!assign Submissions!Data,"="&amp;(H:H  asnNames),Submissions!subDate Submissions!Data, "&lt;&gt;")</f>
        <v>0</v>
      </c>
      <c r="I12" s="283">
        <f>COUNTIFS( Submissions!name Submissions!Data,"="&amp;(12:12  names),  Submissions!assign Submissions!Data,"="&amp;(I:I  asnNames),Submissions!subDate Submissions!Data, "&lt;&gt;")</f>
        <v>0</v>
      </c>
      <c r="J12" s="283">
        <f>COUNTIFS( Submissions!name Submissions!Data,"="&amp;(12:12  names),  Submissions!assign Submissions!Data,"="&amp;(J:J  asnNames),Submissions!subDate Submissions!Data, "&lt;&gt;")</f>
        <v>0</v>
      </c>
      <c r="K12" s="283">
        <f>COUNTIFS( Submissions!name Submissions!Data,"="&amp;(12:12  names),  Submissions!assign Submissions!Data,"="&amp;(K:K  asnNames),Submissions!subDate Submissions!Data, "&lt;&gt;")</f>
        <v>1</v>
      </c>
      <c r="L12" s="283"/>
      <c r="M12" s="284">
        <f t="shared" si="1"/>
        <v>5</v>
      </c>
      <c r="N12" s="285">
        <f t="shared" si="2"/>
        <v>4.7619047619047616E-2</v>
      </c>
      <c r="O12" s="284">
        <f>COUNTIFS(  AsgnData 12:12, "&gt;0", asnRep AsgnData, "&lt;="&amp;asnRep)</f>
        <v>0</v>
      </c>
      <c r="P12" s="285" t="e">
        <f t="shared" si="3"/>
        <v>#DIV/0!</v>
      </c>
      <c r="Q12" s="284">
        <f>COUNTIFS(  AsgnData 12:12, "&gt;0", asnRep AsgnData, "&lt;="&amp;asnRep)</f>
        <v>0</v>
      </c>
      <c r="R12" s="285" t="e">
        <f t="shared" si="4"/>
        <v>#DIV/0!</v>
      </c>
      <c r="S12" s="284">
        <f>COUNTIFS(  AsgnData 12:12, "&gt;0", asnRep AsgnData, "&lt;="&amp;asnRep)</f>
        <v>0</v>
      </c>
      <c r="T12" s="285" t="e">
        <f t="shared" si="5"/>
        <v>#DIV/0!</v>
      </c>
      <c r="U12" s="284">
        <f>COUNTIFS(  AsgnData 12:12, "&gt;0", asnRep AsgnData, "&lt;="&amp;asnRep)</f>
        <v>0</v>
      </c>
      <c r="V12" s="285" t="e">
        <f t="shared" si="6"/>
        <v>#DIV/0!</v>
      </c>
    </row>
    <row r="13" spans="1:22" ht="15" x14ac:dyDescent="0.25">
      <c r="A13" s="58">
        <f>Roster!B10</f>
        <v>3</v>
      </c>
      <c r="B13" s="57" t="s">
        <v>8</v>
      </c>
      <c r="C13" s="282" t="str">
        <f>Roster!C10</f>
        <v>Bold, Khasan</v>
      </c>
      <c r="D13" s="283">
        <f>COUNTIFS( Submissions!name Submissions!Data,"="&amp;(13:13  names),  Submissions!assign Submissions!Data,"="&amp;(D:D  asnNames),Submissions!subDate Submissions!Data, "&lt;&gt;")</f>
        <v>1</v>
      </c>
      <c r="E13" s="283">
        <f>COUNTIFS( Submissions!name Submissions!Data,"="&amp;(13:13  names),  Submissions!assign Submissions!Data,"="&amp;(E:E  asnNames),Submissions!subDate Submissions!Data, "&lt;&gt;")</f>
        <v>1</v>
      </c>
      <c r="F13" s="283">
        <f>COUNTIFS( Submissions!name Submissions!Data,"="&amp;(13:13  names),  Submissions!assign Submissions!Data,"="&amp;(F:F  asnNames),Submissions!subDate Submissions!Data, "&lt;&gt;")</f>
        <v>1</v>
      </c>
      <c r="G13" s="283">
        <f>COUNTIFS( Submissions!name Submissions!Data,"="&amp;(13:13  names),  Submissions!assign Submissions!Data,"="&amp;(G:G  asnNames),Submissions!subDate Submissions!Data, "&lt;&gt;")</f>
        <v>1</v>
      </c>
      <c r="H13" s="283">
        <f>COUNTIFS( Submissions!name Submissions!Data,"="&amp;(13:13  names),  Submissions!assign Submissions!Data,"="&amp;(H:H  asnNames),Submissions!subDate Submissions!Data, "&lt;&gt;")</f>
        <v>0</v>
      </c>
      <c r="I13" s="283">
        <f>COUNTIFS( Submissions!name Submissions!Data,"="&amp;(13:13  names),  Submissions!assign Submissions!Data,"="&amp;(I:I  asnNames),Submissions!subDate Submissions!Data, "&lt;&gt;")</f>
        <v>1</v>
      </c>
      <c r="J13" s="283">
        <f>COUNTIFS( Submissions!name Submissions!Data,"="&amp;(13:13  names),  Submissions!assign Submissions!Data,"="&amp;(J:J  asnNames),Submissions!subDate Submissions!Data, "&lt;&gt;")</f>
        <v>0</v>
      </c>
      <c r="K13" s="283">
        <f>COUNTIFS( Submissions!name Submissions!Data,"="&amp;(13:13  names),  Submissions!assign Submissions!Data,"="&amp;(K:K  asnNames),Submissions!subDate Submissions!Data, "&lt;&gt;")</f>
        <v>1</v>
      </c>
      <c r="L13" s="283"/>
      <c r="M13" s="284">
        <f t="shared" si="1"/>
        <v>6</v>
      </c>
      <c r="N13" s="285">
        <f t="shared" si="2"/>
        <v>5.7142857142857141E-2</v>
      </c>
      <c r="O13" s="284">
        <f>COUNTIFS(  AsgnData 13:13, "&gt;0", asnRep AsgnData, "&lt;="&amp;asnRep)</f>
        <v>0</v>
      </c>
      <c r="P13" s="285" t="e">
        <f t="shared" si="3"/>
        <v>#DIV/0!</v>
      </c>
      <c r="Q13" s="284">
        <f>COUNTIFS(  AsgnData 13:13, "&gt;0", asnRep AsgnData, "&lt;="&amp;asnRep)</f>
        <v>0</v>
      </c>
      <c r="R13" s="285" t="e">
        <f t="shared" si="4"/>
        <v>#DIV/0!</v>
      </c>
      <c r="S13" s="284">
        <f>COUNTIFS(  AsgnData 13:13, "&gt;0", asnRep AsgnData, "&lt;="&amp;asnRep)</f>
        <v>0</v>
      </c>
      <c r="T13" s="285" t="e">
        <f t="shared" si="5"/>
        <v>#DIV/0!</v>
      </c>
      <c r="U13" s="284">
        <f>COUNTIFS(  AsgnData 13:13, "&gt;0", asnRep AsgnData, "&lt;="&amp;asnRep)</f>
        <v>0</v>
      </c>
      <c r="V13" s="285" t="e">
        <f t="shared" si="6"/>
        <v>#DIV/0!</v>
      </c>
    </row>
    <row r="14" spans="1:22" ht="15" x14ac:dyDescent="0.25">
      <c r="A14" s="58">
        <f>Roster!B11</f>
        <v>4</v>
      </c>
      <c r="B14" s="57" t="s">
        <v>34</v>
      </c>
      <c r="C14" s="282" t="str">
        <f>Roster!C11</f>
        <v>Burentogtokh, Batbaatar</v>
      </c>
      <c r="D14" s="283">
        <f>COUNTIFS( Submissions!name Submissions!Data,"="&amp;(14:14  names),  Submissions!assign Submissions!Data,"="&amp;(D:D  asnNames),Submissions!subDate Submissions!Data, "&lt;&gt;")</f>
        <v>1</v>
      </c>
      <c r="E14" s="283">
        <f>COUNTIFS( Submissions!name Submissions!Data,"="&amp;(14:14  names),  Submissions!assign Submissions!Data,"="&amp;(E:E  asnNames),Submissions!subDate Submissions!Data, "&lt;&gt;")</f>
        <v>1</v>
      </c>
      <c r="F14" s="283">
        <f>COUNTIFS( Submissions!name Submissions!Data,"="&amp;(14:14  names),  Submissions!assign Submissions!Data,"="&amp;(F:F  asnNames),Submissions!subDate Submissions!Data, "&lt;&gt;")</f>
        <v>1</v>
      </c>
      <c r="G14" s="283">
        <f>COUNTIFS( Submissions!name Submissions!Data,"="&amp;(14:14  names),  Submissions!assign Submissions!Data,"="&amp;(G:G  asnNames),Submissions!subDate Submissions!Data, "&lt;&gt;")</f>
        <v>1</v>
      </c>
      <c r="H14" s="283">
        <f>COUNTIFS( Submissions!name Submissions!Data,"="&amp;(14:14  names),  Submissions!assign Submissions!Data,"="&amp;(H:H  asnNames),Submissions!subDate Submissions!Data, "&lt;&gt;")</f>
        <v>0</v>
      </c>
      <c r="I14" s="283">
        <f>COUNTIFS( Submissions!name Submissions!Data,"="&amp;(14:14  names),  Submissions!assign Submissions!Data,"="&amp;(I:I  asnNames),Submissions!subDate Submissions!Data, "&lt;&gt;")</f>
        <v>1</v>
      </c>
      <c r="J14" s="283">
        <f>COUNTIFS( Submissions!name Submissions!Data,"="&amp;(14:14  names),  Submissions!assign Submissions!Data,"="&amp;(J:J  asnNames),Submissions!subDate Submissions!Data, "&lt;&gt;")</f>
        <v>0</v>
      </c>
      <c r="K14" s="283">
        <f>COUNTIFS( Submissions!name Submissions!Data,"="&amp;(14:14  names),  Submissions!assign Submissions!Data,"="&amp;(K:K  asnNames),Submissions!subDate Submissions!Data, "&lt;&gt;")</f>
        <v>1</v>
      </c>
      <c r="L14" s="283"/>
      <c r="M14" s="284">
        <f t="shared" si="1"/>
        <v>6</v>
      </c>
      <c r="N14" s="285">
        <f t="shared" si="2"/>
        <v>5.7142857142857141E-2</v>
      </c>
      <c r="O14" s="284">
        <f>COUNTIFS(  AsgnData 14:14, "&gt;0", asnRep AsgnData, "&lt;="&amp;asnRep)</f>
        <v>0</v>
      </c>
      <c r="P14" s="285" t="e">
        <f t="shared" si="3"/>
        <v>#DIV/0!</v>
      </c>
      <c r="Q14" s="284">
        <f>COUNTIFS(  AsgnData 14:14, "&gt;0", asnRep AsgnData, "&lt;="&amp;asnRep)</f>
        <v>0</v>
      </c>
      <c r="R14" s="285" t="e">
        <f t="shared" si="4"/>
        <v>#DIV/0!</v>
      </c>
      <c r="S14" s="284">
        <f>COUNTIFS(  AsgnData 14:14, "&gt;0", asnRep AsgnData, "&lt;="&amp;asnRep)</f>
        <v>0</v>
      </c>
      <c r="T14" s="285" t="e">
        <f t="shared" si="5"/>
        <v>#DIV/0!</v>
      </c>
      <c r="U14" s="284">
        <f>COUNTIFS(  AsgnData 14:14, "&gt;0", asnRep AsgnData, "&lt;="&amp;asnRep)</f>
        <v>0</v>
      </c>
      <c r="V14" s="285" t="e">
        <f t="shared" si="6"/>
        <v>#DIV/0!</v>
      </c>
    </row>
    <row r="15" spans="1:22" ht="15" x14ac:dyDescent="0.25">
      <c r="A15" s="58">
        <f>Roster!B12</f>
        <v>5</v>
      </c>
      <c r="B15" s="57" t="s">
        <v>35</v>
      </c>
      <c r="C15" s="282" t="str">
        <f>Roster!C12</f>
        <v>Demesie, Elias Debebe</v>
      </c>
      <c r="D15" s="283">
        <f>COUNTIFS( Submissions!name Submissions!Data,"="&amp;(15:15  names),  Submissions!assign Submissions!Data,"="&amp;(D:D  asnNames),Submissions!subDate Submissions!Data, "&lt;&gt;")</f>
        <v>1</v>
      </c>
      <c r="E15" s="283">
        <f>COUNTIFS( Submissions!name Submissions!Data,"="&amp;(15:15  names),  Submissions!assign Submissions!Data,"="&amp;(E:E  asnNames),Submissions!subDate Submissions!Data, "&lt;&gt;")</f>
        <v>1</v>
      </c>
      <c r="F15" s="283">
        <f>COUNTIFS( Submissions!name Submissions!Data,"="&amp;(15:15  names),  Submissions!assign Submissions!Data,"="&amp;(F:F  asnNames),Submissions!subDate Submissions!Data, "&lt;&gt;")</f>
        <v>1</v>
      </c>
      <c r="G15" s="283">
        <f>COUNTIFS( Submissions!name Submissions!Data,"="&amp;(15:15  names),  Submissions!assign Submissions!Data,"="&amp;(G:G  asnNames),Submissions!subDate Submissions!Data, "&lt;&gt;")</f>
        <v>1</v>
      </c>
      <c r="H15" s="283">
        <f>COUNTIFS( Submissions!name Submissions!Data,"="&amp;(15:15  names),  Submissions!assign Submissions!Data,"="&amp;(H:H  asnNames),Submissions!subDate Submissions!Data, "&lt;&gt;")</f>
        <v>0</v>
      </c>
      <c r="I15" s="283">
        <f>COUNTIFS( Submissions!name Submissions!Data,"="&amp;(15:15  names),  Submissions!assign Submissions!Data,"="&amp;(I:I  asnNames),Submissions!subDate Submissions!Data, "&lt;&gt;")</f>
        <v>1</v>
      </c>
      <c r="J15" s="283">
        <f>COUNTIFS( Submissions!name Submissions!Data,"="&amp;(15:15  names),  Submissions!assign Submissions!Data,"="&amp;(J:J  asnNames),Submissions!subDate Submissions!Data, "&lt;&gt;")</f>
        <v>0</v>
      </c>
      <c r="K15" s="283">
        <f>COUNTIFS( Submissions!name Submissions!Data,"="&amp;(15:15  names),  Submissions!assign Submissions!Data,"="&amp;(K:K  asnNames),Submissions!subDate Submissions!Data, "&lt;&gt;")</f>
        <v>1</v>
      </c>
      <c r="L15" s="283"/>
      <c r="M15" s="284">
        <f t="shared" si="1"/>
        <v>6</v>
      </c>
      <c r="N15" s="285">
        <f t="shared" si="2"/>
        <v>5.7142857142857141E-2</v>
      </c>
      <c r="O15" s="284">
        <f>COUNTIFS(  AsgnData 15:15, "&gt;0", asnRep AsgnData, "&lt;="&amp;asnRep)</f>
        <v>0</v>
      </c>
      <c r="P15" s="285" t="e">
        <f t="shared" si="3"/>
        <v>#DIV/0!</v>
      </c>
      <c r="Q15" s="284">
        <f>COUNTIFS(  AsgnData 15:15, "&gt;0", asnRep AsgnData, "&lt;="&amp;asnRep)</f>
        <v>0</v>
      </c>
      <c r="R15" s="285" t="e">
        <f t="shared" si="4"/>
        <v>#DIV/0!</v>
      </c>
      <c r="S15" s="284">
        <f>COUNTIFS(  AsgnData 15:15, "&gt;0", asnRep AsgnData, "&lt;="&amp;asnRep)</f>
        <v>0</v>
      </c>
      <c r="T15" s="285" t="e">
        <f t="shared" si="5"/>
        <v>#DIV/0!</v>
      </c>
      <c r="U15" s="284">
        <f>COUNTIFS(  AsgnData 15:15, "&gt;0", asnRep AsgnData, "&lt;="&amp;asnRep)</f>
        <v>0</v>
      </c>
      <c r="V15" s="285" t="e">
        <f t="shared" si="6"/>
        <v>#DIV/0!</v>
      </c>
    </row>
    <row r="16" spans="1:22" ht="15" x14ac:dyDescent="0.25">
      <c r="A16" s="58">
        <f>Roster!B13</f>
        <v>6</v>
      </c>
      <c r="B16" s="57" t="s">
        <v>14</v>
      </c>
      <c r="C16" s="282" t="str">
        <f>Roster!C13</f>
        <v>Du, Yuexin</v>
      </c>
      <c r="D16" s="283">
        <f>COUNTIFS( Submissions!name Submissions!Data,"="&amp;(16:16  names),  Submissions!assign Submissions!Data,"="&amp;(D:D  asnNames),Submissions!subDate Submissions!Data, "&lt;&gt;")</f>
        <v>0</v>
      </c>
      <c r="E16" s="283">
        <f>COUNTIFS( Submissions!name Submissions!Data,"="&amp;(16:16  names),  Submissions!assign Submissions!Data,"="&amp;(E:E  asnNames),Submissions!subDate Submissions!Data, "&lt;&gt;")</f>
        <v>1</v>
      </c>
      <c r="F16" s="283">
        <f>COUNTIFS( Submissions!name Submissions!Data,"="&amp;(16:16  names),  Submissions!assign Submissions!Data,"="&amp;(F:F  asnNames),Submissions!subDate Submissions!Data, "&lt;&gt;")</f>
        <v>1</v>
      </c>
      <c r="G16" s="283">
        <f>COUNTIFS( Submissions!name Submissions!Data,"="&amp;(16:16  names),  Submissions!assign Submissions!Data,"="&amp;(G:G  asnNames),Submissions!subDate Submissions!Data, "&lt;&gt;")</f>
        <v>1</v>
      </c>
      <c r="H16" s="283">
        <f>COUNTIFS( Submissions!name Submissions!Data,"="&amp;(16:16  names),  Submissions!assign Submissions!Data,"="&amp;(H:H  asnNames),Submissions!subDate Submissions!Data, "&lt;&gt;")</f>
        <v>0</v>
      </c>
      <c r="I16" s="283">
        <f>COUNTIFS( Submissions!name Submissions!Data,"="&amp;(16:16  names),  Submissions!assign Submissions!Data,"="&amp;(I:I  asnNames),Submissions!subDate Submissions!Data, "&lt;&gt;")</f>
        <v>0</v>
      </c>
      <c r="J16" s="283">
        <f>COUNTIFS( Submissions!name Submissions!Data,"="&amp;(16:16  names),  Submissions!assign Submissions!Data,"="&amp;(J:J  asnNames),Submissions!subDate Submissions!Data, "&lt;&gt;")</f>
        <v>0</v>
      </c>
      <c r="K16" s="283">
        <f>COUNTIFS( Submissions!name Submissions!Data,"="&amp;(16:16  names),  Submissions!assign Submissions!Data,"="&amp;(K:K  asnNames),Submissions!subDate Submissions!Data, "&lt;&gt;")</f>
        <v>1</v>
      </c>
      <c r="L16" s="283"/>
      <c r="M16" s="284">
        <f t="shared" si="1"/>
        <v>4</v>
      </c>
      <c r="N16" s="285">
        <f t="shared" si="2"/>
        <v>3.8095238095238099E-2</v>
      </c>
      <c r="O16" s="284">
        <f>COUNTIFS(  AsgnData 16:16, "&gt;0", asnRep AsgnData, "&lt;="&amp;asnRep)</f>
        <v>0</v>
      </c>
      <c r="P16" s="285" t="e">
        <f t="shared" si="3"/>
        <v>#DIV/0!</v>
      </c>
      <c r="Q16" s="284">
        <f>COUNTIFS(  AsgnData 16:16, "&gt;0", asnRep AsgnData, "&lt;="&amp;asnRep)</f>
        <v>0</v>
      </c>
      <c r="R16" s="285" t="e">
        <f t="shared" si="4"/>
        <v>#DIV/0!</v>
      </c>
      <c r="S16" s="284">
        <f>COUNTIFS(  AsgnData 16:16, "&gt;0", asnRep AsgnData, "&lt;="&amp;asnRep)</f>
        <v>0</v>
      </c>
      <c r="T16" s="285" t="e">
        <f t="shared" si="5"/>
        <v>#DIV/0!</v>
      </c>
      <c r="U16" s="284">
        <f>COUNTIFS(  AsgnData 16:16, "&gt;0", asnRep AsgnData, "&lt;="&amp;asnRep)</f>
        <v>0</v>
      </c>
      <c r="V16" s="285" t="e">
        <f t="shared" si="6"/>
        <v>#DIV/0!</v>
      </c>
    </row>
    <row r="17" spans="1:22" ht="15" x14ac:dyDescent="0.25">
      <c r="A17" s="58">
        <f>Roster!B14</f>
        <v>7</v>
      </c>
      <c r="B17" s="57" t="s">
        <v>36</v>
      </c>
      <c r="C17" s="282" t="str">
        <f>Roster!C14</f>
        <v>El Gazzar, Abd El Hamid</v>
      </c>
      <c r="D17" s="283">
        <f>COUNTIFS( Submissions!name Submissions!Data,"="&amp;(17:17  names),  Submissions!assign Submissions!Data,"="&amp;(D:D  asnNames),Submissions!subDate Submissions!Data, "&lt;&gt;")</f>
        <v>0</v>
      </c>
      <c r="E17" s="283">
        <f>COUNTIFS( Submissions!name Submissions!Data,"="&amp;(17:17  names),  Submissions!assign Submissions!Data,"="&amp;(E:E  asnNames),Submissions!subDate Submissions!Data, "&lt;&gt;")</f>
        <v>1</v>
      </c>
      <c r="F17" s="283">
        <f>COUNTIFS( Submissions!name Submissions!Data,"="&amp;(17:17  names),  Submissions!assign Submissions!Data,"="&amp;(F:F  asnNames),Submissions!subDate Submissions!Data, "&lt;&gt;")</f>
        <v>1</v>
      </c>
      <c r="G17" s="283">
        <f>COUNTIFS( Submissions!name Submissions!Data,"="&amp;(17:17  names),  Submissions!assign Submissions!Data,"="&amp;(G:G  asnNames),Submissions!subDate Submissions!Data, "&lt;&gt;")</f>
        <v>1</v>
      </c>
      <c r="H17" s="283">
        <f>COUNTIFS( Submissions!name Submissions!Data,"="&amp;(17:17  names),  Submissions!assign Submissions!Data,"="&amp;(H:H  asnNames),Submissions!subDate Submissions!Data, "&lt;&gt;")</f>
        <v>0</v>
      </c>
      <c r="I17" s="283">
        <f>COUNTIFS( Submissions!name Submissions!Data,"="&amp;(17:17  names),  Submissions!assign Submissions!Data,"="&amp;(I:I  asnNames),Submissions!subDate Submissions!Data, "&lt;&gt;")</f>
        <v>0</v>
      </c>
      <c r="J17" s="283">
        <f>COUNTIFS( Submissions!name Submissions!Data,"="&amp;(17:17  names),  Submissions!assign Submissions!Data,"="&amp;(J:J  asnNames),Submissions!subDate Submissions!Data, "&lt;&gt;")</f>
        <v>0</v>
      </c>
      <c r="K17" s="283">
        <f>COUNTIFS( Submissions!name Submissions!Data,"="&amp;(17:17  names),  Submissions!assign Submissions!Data,"="&amp;(K:K  asnNames),Submissions!subDate Submissions!Data, "&lt;&gt;")</f>
        <v>1</v>
      </c>
      <c r="L17" s="283"/>
      <c r="M17" s="284">
        <f t="shared" si="1"/>
        <v>4</v>
      </c>
      <c r="N17" s="285">
        <f t="shared" si="2"/>
        <v>3.8095238095238099E-2</v>
      </c>
      <c r="O17" s="284">
        <f>COUNTIFS(  AsgnData 17:17, "&gt;0", asnRep AsgnData, "&lt;="&amp;asnRep)</f>
        <v>0</v>
      </c>
      <c r="P17" s="285" t="e">
        <f t="shared" si="3"/>
        <v>#DIV/0!</v>
      </c>
      <c r="Q17" s="284">
        <f>COUNTIFS(  AsgnData 17:17, "&gt;0", asnRep AsgnData, "&lt;="&amp;asnRep)</f>
        <v>0</v>
      </c>
      <c r="R17" s="285" t="e">
        <f t="shared" si="4"/>
        <v>#DIV/0!</v>
      </c>
      <c r="S17" s="284">
        <f>COUNTIFS(  AsgnData 17:17, "&gt;0", asnRep AsgnData, "&lt;="&amp;asnRep)</f>
        <v>0</v>
      </c>
      <c r="T17" s="285" t="e">
        <f t="shared" si="5"/>
        <v>#DIV/0!</v>
      </c>
      <c r="U17" s="284">
        <f>COUNTIFS(  AsgnData 17:17, "&gt;0", asnRep AsgnData, "&lt;="&amp;asnRep)</f>
        <v>0</v>
      </c>
      <c r="V17" s="285" t="e">
        <f t="shared" si="6"/>
        <v>#DIV/0!</v>
      </c>
    </row>
    <row r="18" spans="1:22" ht="15" x14ac:dyDescent="0.25">
      <c r="A18" s="58">
        <f>Roster!B15</f>
        <v>8</v>
      </c>
      <c r="B18" s="57" t="s">
        <v>37</v>
      </c>
      <c r="C18" s="282" t="str">
        <f>Roster!C15</f>
        <v>Elbakry, Abdelrahman</v>
      </c>
      <c r="D18" s="283">
        <f>COUNTIFS( Submissions!name Submissions!Data,"="&amp;(18:18  names),  Submissions!assign Submissions!Data,"="&amp;(D:D  asnNames),Submissions!subDate Submissions!Data, "&lt;&gt;")</f>
        <v>1</v>
      </c>
      <c r="E18" s="283">
        <f>COUNTIFS( Submissions!name Submissions!Data,"="&amp;(18:18  names),  Submissions!assign Submissions!Data,"="&amp;(E:E  asnNames),Submissions!subDate Submissions!Data, "&lt;&gt;")</f>
        <v>1</v>
      </c>
      <c r="F18" s="283">
        <f>COUNTIFS( Submissions!name Submissions!Data,"="&amp;(18:18  names),  Submissions!assign Submissions!Data,"="&amp;(F:F  asnNames),Submissions!subDate Submissions!Data, "&lt;&gt;")</f>
        <v>1</v>
      </c>
      <c r="G18" s="283">
        <f>COUNTIFS( Submissions!name Submissions!Data,"="&amp;(18:18  names),  Submissions!assign Submissions!Data,"="&amp;(G:G  asnNames),Submissions!subDate Submissions!Data, "&lt;&gt;")</f>
        <v>1</v>
      </c>
      <c r="H18" s="283">
        <f>COUNTIFS( Submissions!name Submissions!Data,"="&amp;(18:18  names),  Submissions!assign Submissions!Data,"="&amp;(H:H  asnNames),Submissions!subDate Submissions!Data, "&lt;&gt;")</f>
        <v>0</v>
      </c>
      <c r="I18" s="283">
        <f>COUNTIFS( Submissions!name Submissions!Data,"="&amp;(18:18  names),  Submissions!assign Submissions!Data,"="&amp;(I:I  asnNames),Submissions!subDate Submissions!Data, "&lt;&gt;")</f>
        <v>0</v>
      </c>
      <c r="J18" s="283">
        <f>COUNTIFS( Submissions!name Submissions!Data,"="&amp;(18:18  names),  Submissions!assign Submissions!Data,"="&amp;(J:J  asnNames),Submissions!subDate Submissions!Data, "&lt;&gt;")</f>
        <v>0</v>
      </c>
      <c r="K18" s="283">
        <f>COUNTIFS( Submissions!name Submissions!Data,"="&amp;(18:18  names),  Submissions!assign Submissions!Data,"="&amp;(K:K  asnNames),Submissions!subDate Submissions!Data, "&lt;&gt;")</f>
        <v>1</v>
      </c>
      <c r="L18" s="283"/>
      <c r="M18" s="284">
        <f t="shared" si="1"/>
        <v>5</v>
      </c>
      <c r="N18" s="285">
        <f t="shared" si="2"/>
        <v>4.7619047619047616E-2</v>
      </c>
      <c r="O18" s="284">
        <f>COUNTIFS(  AsgnData 18:18, "&gt;0", asnRep AsgnData, "&lt;="&amp;asnRep)</f>
        <v>0</v>
      </c>
      <c r="P18" s="285" t="e">
        <f t="shared" si="3"/>
        <v>#DIV/0!</v>
      </c>
      <c r="Q18" s="284">
        <f>COUNTIFS(  AsgnData 18:18, "&gt;0", asnRep AsgnData, "&lt;="&amp;asnRep)</f>
        <v>0</v>
      </c>
      <c r="R18" s="285" t="e">
        <f t="shared" si="4"/>
        <v>#DIV/0!</v>
      </c>
      <c r="S18" s="284">
        <f>COUNTIFS(  AsgnData 18:18, "&gt;0", asnRep AsgnData, "&lt;="&amp;asnRep)</f>
        <v>0</v>
      </c>
      <c r="T18" s="285" t="e">
        <f t="shared" si="5"/>
        <v>#DIV/0!</v>
      </c>
      <c r="U18" s="284">
        <f>COUNTIFS(  AsgnData 18:18, "&gt;0", asnRep AsgnData, "&lt;="&amp;asnRep)</f>
        <v>0</v>
      </c>
      <c r="V18" s="285" t="e">
        <f t="shared" si="6"/>
        <v>#DIV/0!</v>
      </c>
    </row>
    <row r="19" spans="1:22" ht="15" x14ac:dyDescent="0.25">
      <c r="A19" s="58">
        <f>Roster!B16</f>
        <v>9</v>
      </c>
      <c r="B19" s="57" t="s">
        <v>38</v>
      </c>
      <c r="C19" s="282" t="str">
        <f>Roster!C16</f>
        <v>Enkhbold, Khongor</v>
      </c>
      <c r="D19" s="283">
        <f>COUNTIFS( Submissions!name Submissions!Data,"="&amp;(19:19  names),  Submissions!assign Submissions!Data,"="&amp;(D:D  asnNames),Submissions!subDate Submissions!Data, "&lt;&gt;")</f>
        <v>1</v>
      </c>
      <c r="E19" s="283">
        <f>COUNTIFS( Submissions!name Submissions!Data,"="&amp;(19:19  names),  Submissions!assign Submissions!Data,"="&amp;(E:E  asnNames),Submissions!subDate Submissions!Data, "&lt;&gt;")</f>
        <v>1</v>
      </c>
      <c r="F19" s="283">
        <f>COUNTIFS( Submissions!name Submissions!Data,"="&amp;(19:19  names),  Submissions!assign Submissions!Data,"="&amp;(F:F  asnNames),Submissions!subDate Submissions!Data, "&lt;&gt;")</f>
        <v>1</v>
      </c>
      <c r="G19" s="283">
        <f>COUNTIFS( Submissions!name Submissions!Data,"="&amp;(19:19  names),  Submissions!assign Submissions!Data,"="&amp;(G:G  asnNames),Submissions!subDate Submissions!Data, "&lt;&gt;")</f>
        <v>1</v>
      </c>
      <c r="H19" s="283">
        <f>COUNTIFS( Submissions!name Submissions!Data,"="&amp;(19:19  names),  Submissions!assign Submissions!Data,"="&amp;(H:H  asnNames),Submissions!subDate Submissions!Data, "&lt;&gt;")</f>
        <v>0</v>
      </c>
      <c r="I19" s="283">
        <f>COUNTIFS( Submissions!name Submissions!Data,"="&amp;(19:19  names),  Submissions!assign Submissions!Data,"="&amp;(I:I  asnNames),Submissions!subDate Submissions!Data, "&lt;&gt;")</f>
        <v>1</v>
      </c>
      <c r="J19" s="283">
        <f>COUNTIFS( Submissions!name Submissions!Data,"="&amp;(19:19  names),  Submissions!assign Submissions!Data,"="&amp;(J:J  asnNames),Submissions!subDate Submissions!Data, "&lt;&gt;")</f>
        <v>0</v>
      </c>
      <c r="K19" s="283">
        <f>COUNTIFS( Submissions!name Submissions!Data,"="&amp;(19:19  names),  Submissions!assign Submissions!Data,"="&amp;(K:K  asnNames),Submissions!subDate Submissions!Data, "&lt;&gt;")</f>
        <v>1</v>
      </c>
      <c r="L19" s="283"/>
      <c r="M19" s="284">
        <f t="shared" si="1"/>
        <v>6</v>
      </c>
      <c r="N19" s="285">
        <f t="shared" si="2"/>
        <v>5.7142857142857141E-2</v>
      </c>
      <c r="O19" s="284">
        <f>COUNTIFS(  AsgnData 19:19, "&gt;0", asnRep AsgnData, "&lt;="&amp;asnRep)</f>
        <v>0</v>
      </c>
      <c r="P19" s="285" t="e">
        <f t="shared" si="3"/>
        <v>#DIV/0!</v>
      </c>
      <c r="Q19" s="284">
        <f>COUNTIFS(  AsgnData 19:19, "&gt;0", asnRep AsgnData, "&lt;="&amp;asnRep)</f>
        <v>0</v>
      </c>
      <c r="R19" s="285" t="e">
        <f t="shared" si="4"/>
        <v>#DIV/0!</v>
      </c>
      <c r="S19" s="284">
        <f>COUNTIFS(  AsgnData 19:19, "&gt;0", asnRep AsgnData, "&lt;="&amp;asnRep)</f>
        <v>0</v>
      </c>
      <c r="T19" s="285" t="e">
        <f t="shared" si="5"/>
        <v>#DIV/0!</v>
      </c>
      <c r="U19" s="284">
        <f>COUNTIFS(  AsgnData 19:19, "&gt;0", asnRep AsgnData, "&lt;="&amp;asnRep)</f>
        <v>0</v>
      </c>
      <c r="V19" s="285" t="e">
        <f t="shared" si="6"/>
        <v>#DIV/0!</v>
      </c>
    </row>
    <row r="20" spans="1:22" s="126" customFormat="1" ht="15" x14ac:dyDescent="0.25">
      <c r="A20" s="58">
        <f>Roster!B17</f>
        <v>10</v>
      </c>
      <c r="B20" s="126" t="s">
        <v>38</v>
      </c>
      <c r="C20" s="282" t="str">
        <f>Roster!C17</f>
        <v>Fathelbab, Hosain</v>
      </c>
      <c r="D20" s="283">
        <f>COUNTIFS( Submissions!name Submissions!Data,"="&amp;(20:20  names),  Submissions!assign Submissions!Data,"="&amp;(D:D  asnNames),Submissions!subDate Submissions!Data, "&lt;&gt;")</f>
        <v>1</v>
      </c>
      <c r="E20" s="283">
        <f>COUNTIFS( Submissions!name Submissions!Data,"="&amp;(20:20  names),  Submissions!assign Submissions!Data,"="&amp;(E:E  asnNames),Submissions!subDate Submissions!Data, "&lt;&gt;")</f>
        <v>1</v>
      </c>
      <c r="F20" s="283">
        <f>COUNTIFS( Submissions!name Submissions!Data,"="&amp;(20:20  names),  Submissions!assign Submissions!Data,"="&amp;(F:F  asnNames),Submissions!subDate Submissions!Data, "&lt;&gt;")</f>
        <v>1</v>
      </c>
      <c r="G20" s="283">
        <f>COUNTIFS( Submissions!name Submissions!Data,"="&amp;(20:20  names),  Submissions!assign Submissions!Data,"="&amp;(G:G  asnNames),Submissions!subDate Submissions!Data, "&lt;&gt;")</f>
        <v>1</v>
      </c>
      <c r="H20" s="283">
        <f>COUNTIFS( Submissions!name Submissions!Data,"="&amp;(20:20  names),  Submissions!assign Submissions!Data,"="&amp;(H:H  asnNames),Submissions!subDate Submissions!Data, "&lt;&gt;")</f>
        <v>0</v>
      </c>
      <c r="I20" s="283">
        <f>COUNTIFS( Submissions!name Submissions!Data,"="&amp;(20:20  names),  Submissions!assign Submissions!Data,"="&amp;(I:I  asnNames),Submissions!subDate Submissions!Data, "&lt;&gt;")</f>
        <v>1</v>
      </c>
      <c r="J20" s="283">
        <f>COUNTIFS( Submissions!name Submissions!Data,"="&amp;(20:20  names),  Submissions!assign Submissions!Data,"="&amp;(J:J  asnNames),Submissions!subDate Submissions!Data, "&lt;&gt;")</f>
        <v>0</v>
      </c>
      <c r="K20" s="283">
        <f>COUNTIFS( Submissions!name Submissions!Data,"="&amp;(20:20  names),  Submissions!assign Submissions!Data,"="&amp;(K:K  asnNames),Submissions!subDate Submissions!Data, "&lt;&gt;")</f>
        <v>1</v>
      </c>
      <c r="L20" s="283"/>
      <c r="M20" s="284">
        <f t="shared" si="1"/>
        <v>6</v>
      </c>
      <c r="N20" s="285">
        <f t="shared" ref="N20:N27" si="7">M20/Total</f>
        <v>5.7142857142857141E-2</v>
      </c>
      <c r="O20" s="284">
        <f>COUNTIFS(  AsgnData 20:20, "&gt;0", asnRep AsgnData, "&lt;="&amp;asnRep)</f>
        <v>0</v>
      </c>
      <c r="P20" s="285" t="e">
        <f t="shared" ref="P20:P27" si="8">O20/a1Total</f>
        <v>#DIV/0!</v>
      </c>
      <c r="Q20" s="284">
        <f>COUNTIFS(  AsgnData 20:20, "&gt;0", asnRep AsgnData, "&lt;="&amp;asnRep)</f>
        <v>0</v>
      </c>
      <c r="R20" s="285" t="e">
        <f t="shared" ref="R20:R27" si="9">Q20/a2Total</f>
        <v>#DIV/0!</v>
      </c>
      <c r="S20" s="284">
        <f>COUNTIFS(  AsgnData 20:20, "&gt;0", asnRep AsgnData, "&lt;="&amp;asnRep)</f>
        <v>0</v>
      </c>
      <c r="T20" s="285" t="e">
        <f t="shared" ref="T20:T27" si="10">S20/a3Total</f>
        <v>#DIV/0!</v>
      </c>
      <c r="U20" s="284">
        <f>COUNTIFS(  AsgnData 20:20, "&gt;0", asnRep AsgnData, "&lt;="&amp;asnRep)</f>
        <v>0</v>
      </c>
      <c r="V20" s="285" t="e">
        <f t="shared" ref="V20:V27" si="11">U20/a4Total</f>
        <v>#DIV/0!</v>
      </c>
    </row>
    <row r="21" spans="1:22" s="126" customFormat="1" ht="15" x14ac:dyDescent="0.25">
      <c r="A21" s="58">
        <f>Roster!B18</f>
        <v>11</v>
      </c>
      <c r="B21" s="126" t="s">
        <v>38</v>
      </c>
      <c r="C21" s="282" t="str">
        <f>Roster!C18</f>
        <v>Ganzorig, Enkhsaruul</v>
      </c>
      <c r="D21" s="283">
        <f>COUNTIFS( Submissions!name Submissions!Data,"="&amp;(21:21  names),  Submissions!assign Submissions!Data,"="&amp;(D:D  asnNames),Submissions!subDate Submissions!Data, "&lt;&gt;")</f>
        <v>1</v>
      </c>
      <c r="E21" s="283">
        <f>COUNTIFS( Submissions!name Submissions!Data,"="&amp;(21:21  names),  Submissions!assign Submissions!Data,"="&amp;(E:E  asnNames),Submissions!subDate Submissions!Data, "&lt;&gt;")</f>
        <v>1</v>
      </c>
      <c r="F21" s="283">
        <f>COUNTIFS( Submissions!name Submissions!Data,"="&amp;(21:21  names),  Submissions!assign Submissions!Data,"="&amp;(F:F  asnNames),Submissions!subDate Submissions!Data, "&lt;&gt;")</f>
        <v>1</v>
      </c>
      <c r="G21" s="283">
        <f>COUNTIFS( Submissions!name Submissions!Data,"="&amp;(21:21  names),  Submissions!assign Submissions!Data,"="&amp;(G:G  asnNames),Submissions!subDate Submissions!Data, "&lt;&gt;")</f>
        <v>1</v>
      </c>
      <c r="H21" s="283">
        <f>COUNTIFS( Submissions!name Submissions!Data,"="&amp;(21:21  names),  Submissions!assign Submissions!Data,"="&amp;(H:H  asnNames),Submissions!subDate Submissions!Data, "&lt;&gt;")</f>
        <v>0</v>
      </c>
      <c r="I21" s="283">
        <f>COUNTIFS( Submissions!name Submissions!Data,"="&amp;(21:21  names),  Submissions!assign Submissions!Data,"="&amp;(I:I  asnNames),Submissions!subDate Submissions!Data, "&lt;&gt;")</f>
        <v>0</v>
      </c>
      <c r="J21" s="283">
        <f>COUNTIFS( Submissions!name Submissions!Data,"="&amp;(21:21  names),  Submissions!assign Submissions!Data,"="&amp;(J:J  asnNames),Submissions!subDate Submissions!Data, "&lt;&gt;")</f>
        <v>0</v>
      </c>
      <c r="K21" s="283">
        <f>COUNTIFS( Submissions!name Submissions!Data,"="&amp;(21:21  names),  Submissions!assign Submissions!Data,"="&amp;(K:K  asnNames),Submissions!subDate Submissions!Data, "&lt;&gt;")</f>
        <v>1</v>
      </c>
      <c r="L21" s="283"/>
      <c r="M21" s="284">
        <f t="shared" si="1"/>
        <v>5</v>
      </c>
      <c r="N21" s="285">
        <f t="shared" si="7"/>
        <v>4.7619047619047616E-2</v>
      </c>
      <c r="O21" s="284">
        <f>COUNTIFS(  AsgnData 21:21, "&gt;0", asnRep AsgnData, "&lt;="&amp;asnRep)</f>
        <v>0</v>
      </c>
      <c r="P21" s="285" t="e">
        <f t="shared" si="8"/>
        <v>#DIV/0!</v>
      </c>
      <c r="Q21" s="284">
        <f>COUNTIFS(  AsgnData 21:21, "&gt;0", asnRep AsgnData, "&lt;="&amp;asnRep)</f>
        <v>0</v>
      </c>
      <c r="R21" s="285" t="e">
        <f t="shared" si="9"/>
        <v>#DIV/0!</v>
      </c>
      <c r="S21" s="284">
        <f>COUNTIFS(  AsgnData 21:21, "&gt;0", asnRep AsgnData, "&lt;="&amp;asnRep)</f>
        <v>0</v>
      </c>
      <c r="T21" s="285" t="e">
        <f t="shared" si="10"/>
        <v>#DIV/0!</v>
      </c>
      <c r="U21" s="284">
        <f>COUNTIFS(  AsgnData 21:21, "&gt;0", asnRep AsgnData, "&lt;="&amp;asnRep)</f>
        <v>0</v>
      </c>
      <c r="V21" s="285" t="e">
        <f t="shared" si="11"/>
        <v>#DIV/0!</v>
      </c>
    </row>
    <row r="22" spans="1:22" s="126" customFormat="1" ht="15" x14ac:dyDescent="0.25">
      <c r="A22" s="58">
        <f>Roster!B19</f>
        <v>12</v>
      </c>
      <c r="B22" s="126" t="s">
        <v>38</v>
      </c>
      <c r="C22" s="282" t="str">
        <f>Roster!C19</f>
        <v>Gebremeskel, Abiy</v>
      </c>
      <c r="D22" s="283">
        <f>COUNTIFS( Submissions!name Submissions!Data,"="&amp;(22:22  names),  Submissions!assign Submissions!Data,"="&amp;(D:D  asnNames),Submissions!subDate Submissions!Data, "&lt;&gt;")</f>
        <v>1</v>
      </c>
      <c r="E22" s="283">
        <f>COUNTIFS( Submissions!name Submissions!Data,"="&amp;(22:22  names),  Submissions!assign Submissions!Data,"="&amp;(E:E  asnNames),Submissions!subDate Submissions!Data, "&lt;&gt;")</f>
        <v>1</v>
      </c>
      <c r="F22" s="283">
        <f>COUNTIFS( Submissions!name Submissions!Data,"="&amp;(22:22  names),  Submissions!assign Submissions!Data,"="&amp;(F:F  asnNames),Submissions!subDate Submissions!Data, "&lt;&gt;")</f>
        <v>1</v>
      </c>
      <c r="G22" s="283">
        <f>COUNTIFS( Submissions!name Submissions!Data,"="&amp;(22:22  names),  Submissions!assign Submissions!Data,"="&amp;(G:G  asnNames),Submissions!subDate Submissions!Data, "&lt;&gt;")</f>
        <v>1</v>
      </c>
      <c r="H22" s="283">
        <f>COUNTIFS( Submissions!name Submissions!Data,"="&amp;(22:22  names),  Submissions!assign Submissions!Data,"="&amp;(H:H  asnNames),Submissions!subDate Submissions!Data, "&lt;&gt;")</f>
        <v>0</v>
      </c>
      <c r="I22" s="283">
        <f>COUNTIFS( Submissions!name Submissions!Data,"="&amp;(22:22  names),  Submissions!assign Submissions!Data,"="&amp;(I:I  asnNames),Submissions!subDate Submissions!Data, "&lt;&gt;")</f>
        <v>0</v>
      </c>
      <c r="J22" s="283">
        <f>COUNTIFS( Submissions!name Submissions!Data,"="&amp;(22:22  names),  Submissions!assign Submissions!Data,"="&amp;(J:J  asnNames),Submissions!subDate Submissions!Data, "&lt;&gt;")</f>
        <v>0</v>
      </c>
      <c r="K22" s="283">
        <f>COUNTIFS( Submissions!name Submissions!Data,"="&amp;(22:22  names),  Submissions!assign Submissions!Data,"="&amp;(K:K  asnNames),Submissions!subDate Submissions!Data, "&lt;&gt;")</f>
        <v>1</v>
      </c>
      <c r="L22" s="283"/>
      <c r="M22" s="284">
        <f t="shared" si="1"/>
        <v>5</v>
      </c>
      <c r="N22" s="285">
        <f t="shared" si="7"/>
        <v>4.7619047619047616E-2</v>
      </c>
      <c r="O22" s="284">
        <f>COUNTIFS(  AsgnData 22:22, "&gt;0", asnRep AsgnData, "&lt;="&amp;asnRep)</f>
        <v>0</v>
      </c>
      <c r="P22" s="285" t="e">
        <f t="shared" si="8"/>
        <v>#DIV/0!</v>
      </c>
      <c r="Q22" s="284">
        <f>COUNTIFS(  AsgnData 22:22, "&gt;0", asnRep AsgnData, "&lt;="&amp;asnRep)</f>
        <v>0</v>
      </c>
      <c r="R22" s="285" t="e">
        <f t="shared" si="9"/>
        <v>#DIV/0!</v>
      </c>
      <c r="S22" s="284">
        <f>COUNTIFS(  AsgnData 22:22, "&gt;0", asnRep AsgnData, "&lt;="&amp;asnRep)</f>
        <v>0</v>
      </c>
      <c r="T22" s="285" t="e">
        <f t="shared" si="10"/>
        <v>#DIV/0!</v>
      </c>
      <c r="U22" s="284">
        <f>COUNTIFS(  AsgnData 22:22, "&gt;0", asnRep AsgnData, "&lt;="&amp;asnRep)</f>
        <v>0</v>
      </c>
      <c r="V22" s="285" t="e">
        <f t="shared" si="11"/>
        <v>#DIV/0!</v>
      </c>
    </row>
    <row r="23" spans="1:22" s="126" customFormat="1" ht="15" x14ac:dyDescent="0.25">
      <c r="A23" s="58">
        <f>Roster!B20</f>
        <v>13</v>
      </c>
      <c r="B23" s="126" t="s">
        <v>38</v>
      </c>
      <c r="C23" s="282" t="str">
        <f>Roster!C20</f>
        <v>Hagag, Ahmad M.M.</v>
      </c>
      <c r="D23" s="283">
        <f>COUNTIFS( Submissions!name Submissions!Data,"="&amp;(23:23  names),  Submissions!assign Submissions!Data,"="&amp;(D:D  asnNames),Submissions!subDate Submissions!Data, "&lt;&gt;")</f>
        <v>1</v>
      </c>
      <c r="E23" s="283">
        <f>COUNTIFS( Submissions!name Submissions!Data,"="&amp;(23:23  names),  Submissions!assign Submissions!Data,"="&amp;(E:E  asnNames),Submissions!subDate Submissions!Data, "&lt;&gt;")</f>
        <v>1</v>
      </c>
      <c r="F23" s="283">
        <f>COUNTIFS( Submissions!name Submissions!Data,"="&amp;(23:23  names),  Submissions!assign Submissions!Data,"="&amp;(F:F  asnNames),Submissions!subDate Submissions!Data, "&lt;&gt;")</f>
        <v>0</v>
      </c>
      <c r="G23" s="283">
        <f>COUNTIFS( Submissions!name Submissions!Data,"="&amp;(23:23  names),  Submissions!assign Submissions!Data,"="&amp;(G:G  asnNames),Submissions!subDate Submissions!Data, "&lt;&gt;")</f>
        <v>1</v>
      </c>
      <c r="H23" s="283">
        <f>COUNTIFS( Submissions!name Submissions!Data,"="&amp;(23:23  names),  Submissions!assign Submissions!Data,"="&amp;(H:H  asnNames),Submissions!subDate Submissions!Data, "&lt;&gt;")</f>
        <v>0</v>
      </c>
      <c r="I23" s="283">
        <f>COUNTIFS( Submissions!name Submissions!Data,"="&amp;(23:23  names),  Submissions!assign Submissions!Data,"="&amp;(I:I  asnNames),Submissions!subDate Submissions!Data, "&lt;&gt;")</f>
        <v>1</v>
      </c>
      <c r="J23" s="283">
        <f>COUNTIFS( Submissions!name Submissions!Data,"="&amp;(23:23  names),  Submissions!assign Submissions!Data,"="&amp;(J:J  asnNames),Submissions!subDate Submissions!Data, "&lt;&gt;")</f>
        <v>0</v>
      </c>
      <c r="K23" s="283">
        <f>COUNTIFS( Submissions!name Submissions!Data,"="&amp;(23:23  names),  Submissions!assign Submissions!Data,"="&amp;(K:K  asnNames),Submissions!subDate Submissions!Data, "&lt;&gt;")</f>
        <v>1</v>
      </c>
      <c r="L23" s="283"/>
      <c r="M23" s="284">
        <f t="shared" si="1"/>
        <v>5</v>
      </c>
      <c r="N23" s="285">
        <f t="shared" si="7"/>
        <v>4.7619047619047616E-2</v>
      </c>
      <c r="O23" s="284">
        <f>COUNTIFS(  AsgnData 23:23, "&gt;0", asnRep AsgnData, "&lt;="&amp;asnRep)</f>
        <v>0</v>
      </c>
      <c r="P23" s="285" t="e">
        <f t="shared" si="8"/>
        <v>#DIV/0!</v>
      </c>
      <c r="Q23" s="284">
        <f>COUNTIFS(  AsgnData 23:23, "&gt;0", asnRep AsgnData, "&lt;="&amp;asnRep)</f>
        <v>0</v>
      </c>
      <c r="R23" s="285" t="e">
        <f t="shared" si="9"/>
        <v>#DIV/0!</v>
      </c>
      <c r="S23" s="284">
        <f>COUNTIFS(  AsgnData 23:23, "&gt;0", asnRep AsgnData, "&lt;="&amp;asnRep)</f>
        <v>0</v>
      </c>
      <c r="T23" s="285" t="e">
        <f t="shared" si="10"/>
        <v>#DIV/0!</v>
      </c>
      <c r="U23" s="284">
        <f>COUNTIFS(  AsgnData 23:23, "&gt;0", asnRep AsgnData, "&lt;="&amp;asnRep)</f>
        <v>0</v>
      </c>
      <c r="V23" s="285" t="e">
        <f t="shared" si="11"/>
        <v>#DIV/0!</v>
      </c>
    </row>
    <row r="24" spans="1:22" s="126" customFormat="1" ht="15" x14ac:dyDescent="0.25">
      <c r="A24" s="58">
        <f>Roster!B21</f>
        <v>14</v>
      </c>
      <c r="B24" s="126" t="s">
        <v>38</v>
      </c>
      <c r="C24" s="282" t="str">
        <f>Roster!C21</f>
        <v>Kelkay, Ayalew Alemayehu</v>
      </c>
      <c r="D24" s="283">
        <f>COUNTIFS( Submissions!name Submissions!Data,"="&amp;(24:24  names),  Submissions!assign Submissions!Data,"="&amp;(D:D  asnNames),Submissions!subDate Submissions!Data, "&lt;&gt;")</f>
        <v>0</v>
      </c>
      <c r="E24" s="283">
        <f>COUNTIFS( Submissions!name Submissions!Data,"="&amp;(24:24  names),  Submissions!assign Submissions!Data,"="&amp;(E:E  asnNames),Submissions!subDate Submissions!Data, "&lt;&gt;")</f>
        <v>0</v>
      </c>
      <c r="F24" s="283">
        <f>COUNTIFS( Submissions!name Submissions!Data,"="&amp;(24:24  names),  Submissions!assign Submissions!Data,"="&amp;(F:F  asnNames),Submissions!subDate Submissions!Data, "&lt;&gt;")</f>
        <v>0</v>
      </c>
      <c r="G24" s="283">
        <f>COUNTIFS( Submissions!name Submissions!Data,"="&amp;(24:24  names),  Submissions!assign Submissions!Data,"="&amp;(G:G  asnNames),Submissions!subDate Submissions!Data, "&lt;&gt;")</f>
        <v>0</v>
      </c>
      <c r="H24" s="283">
        <f>COUNTIFS( Submissions!name Submissions!Data,"="&amp;(24:24  names),  Submissions!assign Submissions!Data,"="&amp;(H:H  asnNames),Submissions!subDate Submissions!Data, "&lt;&gt;")</f>
        <v>0</v>
      </c>
      <c r="I24" s="283">
        <f>COUNTIFS( Submissions!name Submissions!Data,"="&amp;(24:24  names),  Submissions!assign Submissions!Data,"="&amp;(I:I  asnNames),Submissions!subDate Submissions!Data, "&lt;&gt;")</f>
        <v>0</v>
      </c>
      <c r="J24" s="283">
        <f>COUNTIFS( Submissions!name Submissions!Data,"="&amp;(24:24  names),  Submissions!assign Submissions!Data,"="&amp;(J:J  asnNames),Submissions!subDate Submissions!Data, "&lt;&gt;")</f>
        <v>0</v>
      </c>
      <c r="K24" s="283">
        <f>COUNTIFS( Submissions!name Submissions!Data,"="&amp;(24:24  names),  Submissions!assign Submissions!Data,"="&amp;(K:K  asnNames),Submissions!subDate Submissions!Data, "&lt;&gt;")</f>
        <v>0</v>
      </c>
      <c r="L24" s="283"/>
      <c r="M24" s="284">
        <f t="shared" si="1"/>
        <v>0</v>
      </c>
      <c r="N24" s="285">
        <f t="shared" si="7"/>
        <v>0</v>
      </c>
      <c r="O24" s="284">
        <f>COUNTIFS(  AsgnData 24:24, "&gt;0", asnRep AsgnData, "&lt;="&amp;asnRep)</f>
        <v>0</v>
      </c>
      <c r="P24" s="285" t="e">
        <f t="shared" si="8"/>
        <v>#DIV/0!</v>
      </c>
      <c r="Q24" s="284">
        <f>COUNTIFS(  AsgnData 24:24, "&gt;0", asnRep AsgnData, "&lt;="&amp;asnRep)</f>
        <v>0</v>
      </c>
      <c r="R24" s="285" t="e">
        <f t="shared" si="9"/>
        <v>#DIV/0!</v>
      </c>
      <c r="S24" s="284">
        <f>COUNTIFS(  AsgnData 24:24, "&gt;0", asnRep AsgnData, "&lt;="&amp;asnRep)</f>
        <v>0</v>
      </c>
      <c r="T24" s="285" t="e">
        <f t="shared" si="10"/>
        <v>#DIV/0!</v>
      </c>
      <c r="U24" s="284">
        <f>COUNTIFS(  AsgnData 24:24, "&gt;0", asnRep AsgnData, "&lt;="&amp;asnRep)</f>
        <v>0</v>
      </c>
      <c r="V24" s="285" t="e">
        <f t="shared" si="11"/>
        <v>#DIV/0!</v>
      </c>
    </row>
    <row r="25" spans="1:22" s="126" customFormat="1" ht="15" x14ac:dyDescent="0.25">
      <c r="A25" s="58">
        <f>Roster!B22</f>
        <v>15</v>
      </c>
      <c r="B25" s="126" t="s">
        <v>38</v>
      </c>
      <c r="C25" s="282" t="str">
        <f>Roster!C22</f>
        <v>Kidane, Ermias</v>
      </c>
      <c r="D25" s="283">
        <f>COUNTIFS( Submissions!name Submissions!Data,"="&amp;(25:25  names),  Submissions!assign Submissions!Data,"="&amp;(D:D  asnNames),Submissions!subDate Submissions!Data, "&lt;&gt;")</f>
        <v>1</v>
      </c>
      <c r="E25" s="283">
        <f>COUNTIFS( Submissions!name Submissions!Data,"="&amp;(25:25  names),  Submissions!assign Submissions!Data,"="&amp;(E:E  asnNames),Submissions!subDate Submissions!Data, "&lt;&gt;")</f>
        <v>1</v>
      </c>
      <c r="F25" s="283">
        <f>COUNTIFS( Submissions!name Submissions!Data,"="&amp;(25:25  names),  Submissions!assign Submissions!Data,"="&amp;(F:F  asnNames),Submissions!subDate Submissions!Data, "&lt;&gt;")</f>
        <v>1</v>
      </c>
      <c r="G25" s="283">
        <f>COUNTIFS( Submissions!name Submissions!Data,"="&amp;(25:25  names),  Submissions!assign Submissions!Data,"="&amp;(G:G  asnNames),Submissions!subDate Submissions!Data, "&lt;&gt;")</f>
        <v>1</v>
      </c>
      <c r="H25" s="283">
        <f>COUNTIFS( Submissions!name Submissions!Data,"="&amp;(25:25  names),  Submissions!assign Submissions!Data,"="&amp;(H:H  asnNames),Submissions!subDate Submissions!Data, "&lt;&gt;")</f>
        <v>0</v>
      </c>
      <c r="I25" s="283">
        <f>COUNTIFS( Submissions!name Submissions!Data,"="&amp;(25:25  names),  Submissions!assign Submissions!Data,"="&amp;(I:I  asnNames),Submissions!subDate Submissions!Data, "&lt;&gt;")</f>
        <v>1</v>
      </c>
      <c r="J25" s="283">
        <f>COUNTIFS( Submissions!name Submissions!Data,"="&amp;(25:25  names),  Submissions!assign Submissions!Data,"="&amp;(J:J  asnNames),Submissions!subDate Submissions!Data, "&lt;&gt;")</f>
        <v>0</v>
      </c>
      <c r="K25" s="283">
        <f>COUNTIFS( Submissions!name Submissions!Data,"="&amp;(25:25  names),  Submissions!assign Submissions!Data,"="&amp;(K:K  asnNames),Submissions!subDate Submissions!Data, "&lt;&gt;")</f>
        <v>0</v>
      </c>
      <c r="L25" s="283"/>
      <c r="M25" s="284">
        <f t="shared" si="1"/>
        <v>5</v>
      </c>
      <c r="N25" s="285">
        <f t="shared" si="7"/>
        <v>4.7619047619047616E-2</v>
      </c>
      <c r="O25" s="284">
        <f>COUNTIFS(  AsgnData 25:25, "&gt;0", asnRep AsgnData, "&lt;="&amp;asnRep)</f>
        <v>0</v>
      </c>
      <c r="P25" s="285" t="e">
        <f t="shared" si="8"/>
        <v>#DIV/0!</v>
      </c>
      <c r="Q25" s="284">
        <f>COUNTIFS(  AsgnData 25:25, "&gt;0", asnRep AsgnData, "&lt;="&amp;asnRep)</f>
        <v>0</v>
      </c>
      <c r="R25" s="285" t="e">
        <f t="shared" si="9"/>
        <v>#DIV/0!</v>
      </c>
      <c r="S25" s="284">
        <f>COUNTIFS(  AsgnData 25:25, "&gt;0", asnRep AsgnData, "&lt;="&amp;asnRep)</f>
        <v>0</v>
      </c>
      <c r="T25" s="285" t="e">
        <f t="shared" si="10"/>
        <v>#DIV/0!</v>
      </c>
      <c r="U25" s="284">
        <f>COUNTIFS(  AsgnData 25:25, "&gt;0", asnRep AsgnData, "&lt;="&amp;asnRep)</f>
        <v>0</v>
      </c>
      <c r="V25" s="285" t="e">
        <f t="shared" si="11"/>
        <v>#DIV/0!</v>
      </c>
    </row>
    <row r="26" spans="1:22" s="126" customFormat="1" ht="15" x14ac:dyDescent="0.25">
      <c r="A26" s="58">
        <f>Roster!B23</f>
        <v>16</v>
      </c>
      <c r="B26" s="126" t="s">
        <v>38</v>
      </c>
      <c r="C26" s="282" t="str">
        <f>Roster!C23</f>
        <v>Kouotou Mefire, Ibrahim</v>
      </c>
      <c r="D26" s="283">
        <f>COUNTIFS( Submissions!name Submissions!Data,"="&amp;(26:26  names),  Submissions!assign Submissions!Data,"="&amp;(D:D  asnNames),Submissions!subDate Submissions!Data, "&lt;&gt;")</f>
        <v>1</v>
      </c>
      <c r="E26" s="283">
        <f>COUNTIFS( Submissions!name Submissions!Data,"="&amp;(26:26  names),  Submissions!assign Submissions!Data,"="&amp;(E:E  asnNames),Submissions!subDate Submissions!Data, "&lt;&gt;")</f>
        <v>1</v>
      </c>
      <c r="F26" s="283">
        <f>COUNTIFS( Submissions!name Submissions!Data,"="&amp;(26:26  names),  Submissions!assign Submissions!Data,"="&amp;(F:F  asnNames),Submissions!subDate Submissions!Data, "&lt;&gt;")</f>
        <v>1</v>
      </c>
      <c r="G26" s="283">
        <f>COUNTIFS( Submissions!name Submissions!Data,"="&amp;(26:26  names),  Submissions!assign Submissions!Data,"="&amp;(G:G  asnNames),Submissions!subDate Submissions!Data, "&lt;&gt;")</f>
        <v>1</v>
      </c>
      <c r="H26" s="283">
        <f>COUNTIFS( Submissions!name Submissions!Data,"="&amp;(26:26  names),  Submissions!assign Submissions!Data,"="&amp;(H:H  asnNames),Submissions!subDate Submissions!Data, "&lt;&gt;")</f>
        <v>0</v>
      </c>
      <c r="I26" s="283">
        <f>COUNTIFS( Submissions!name Submissions!Data,"="&amp;(26:26  names),  Submissions!assign Submissions!Data,"="&amp;(I:I  asnNames),Submissions!subDate Submissions!Data, "&lt;&gt;")</f>
        <v>1</v>
      </c>
      <c r="J26" s="283">
        <f>COUNTIFS( Submissions!name Submissions!Data,"="&amp;(26:26  names),  Submissions!assign Submissions!Data,"="&amp;(J:J  asnNames),Submissions!subDate Submissions!Data, "&lt;&gt;")</f>
        <v>0</v>
      </c>
      <c r="K26" s="283">
        <f>COUNTIFS( Submissions!name Submissions!Data,"="&amp;(26:26  names),  Submissions!assign Submissions!Data,"="&amp;(K:K  asnNames),Submissions!subDate Submissions!Data, "&lt;&gt;")</f>
        <v>1</v>
      </c>
      <c r="L26" s="283"/>
      <c r="M26" s="284">
        <f t="shared" si="1"/>
        <v>6</v>
      </c>
      <c r="N26" s="285">
        <f t="shared" si="7"/>
        <v>5.7142857142857141E-2</v>
      </c>
      <c r="O26" s="284">
        <f>COUNTIFS(  AsgnData 26:26, "&gt;0", asnRep AsgnData, "&lt;="&amp;asnRep)</f>
        <v>0</v>
      </c>
      <c r="P26" s="285" t="e">
        <f t="shared" si="8"/>
        <v>#DIV/0!</v>
      </c>
      <c r="Q26" s="284">
        <f>COUNTIFS(  AsgnData 26:26, "&gt;0", asnRep AsgnData, "&lt;="&amp;asnRep)</f>
        <v>0</v>
      </c>
      <c r="R26" s="285" t="e">
        <f t="shared" si="9"/>
        <v>#DIV/0!</v>
      </c>
      <c r="S26" s="284">
        <f>COUNTIFS(  AsgnData 26:26, "&gt;0", asnRep AsgnData, "&lt;="&amp;asnRep)</f>
        <v>0</v>
      </c>
      <c r="T26" s="285" t="e">
        <f t="shared" si="10"/>
        <v>#DIV/0!</v>
      </c>
      <c r="U26" s="284">
        <f>COUNTIFS(  AsgnData 26:26, "&gt;0", asnRep AsgnData, "&lt;="&amp;asnRep)</f>
        <v>0</v>
      </c>
      <c r="V26" s="285" t="e">
        <f t="shared" si="11"/>
        <v>#DIV/0!</v>
      </c>
    </row>
    <row r="27" spans="1:22" s="126" customFormat="1" ht="15" x14ac:dyDescent="0.25">
      <c r="A27" s="58">
        <f>Roster!B24</f>
        <v>17</v>
      </c>
      <c r="B27" s="126" t="s">
        <v>38</v>
      </c>
      <c r="C27" s="282" t="str">
        <f>Roster!C24</f>
        <v>Lapitan, Blaine Dondi</v>
      </c>
      <c r="D27" s="283">
        <f>COUNTIFS( Submissions!name Submissions!Data,"="&amp;(27:27  names),  Submissions!assign Submissions!Data,"="&amp;(D:D  asnNames),Submissions!subDate Submissions!Data, "&lt;&gt;")</f>
        <v>1</v>
      </c>
      <c r="E27" s="283">
        <f>COUNTIFS( Submissions!name Submissions!Data,"="&amp;(27:27  names),  Submissions!assign Submissions!Data,"="&amp;(E:E  asnNames),Submissions!subDate Submissions!Data, "&lt;&gt;")</f>
        <v>1</v>
      </c>
      <c r="F27" s="283">
        <f>COUNTIFS( Submissions!name Submissions!Data,"="&amp;(27:27  names),  Submissions!assign Submissions!Data,"="&amp;(F:F  asnNames),Submissions!subDate Submissions!Data, "&lt;&gt;")</f>
        <v>1</v>
      </c>
      <c r="G27" s="283">
        <f>COUNTIFS( Submissions!name Submissions!Data,"="&amp;(27:27  names),  Submissions!assign Submissions!Data,"="&amp;(G:G  asnNames),Submissions!subDate Submissions!Data, "&lt;&gt;")</f>
        <v>1</v>
      </c>
      <c r="H27" s="283">
        <f>COUNTIFS( Submissions!name Submissions!Data,"="&amp;(27:27  names),  Submissions!assign Submissions!Data,"="&amp;(H:H  asnNames),Submissions!subDate Submissions!Data, "&lt;&gt;")</f>
        <v>0</v>
      </c>
      <c r="I27" s="283">
        <f>COUNTIFS( Submissions!name Submissions!Data,"="&amp;(27:27  names),  Submissions!assign Submissions!Data,"="&amp;(I:I  asnNames),Submissions!subDate Submissions!Data, "&lt;&gt;")</f>
        <v>0</v>
      </c>
      <c r="J27" s="283">
        <f>COUNTIFS( Submissions!name Submissions!Data,"="&amp;(27:27  names),  Submissions!assign Submissions!Data,"="&amp;(J:J  asnNames),Submissions!subDate Submissions!Data, "&lt;&gt;")</f>
        <v>0</v>
      </c>
      <c r="K27" s="283">
        <f>COUNTIFS( Submissions!name Submissions!Data,"="&amp;(27:27  names),  Submissions!assign Submissions!Data,"="&amp;(K:K  asnNames),Submissions!subDate Submissions!Data, "&lt;&gt;")</f>
        <v>1</v>
      </c>
      <c r="L27" s="283"/>
      <c r="M27" s="284">
        <f t="shared" si="1"/>
        <v>5</v>
      </c>
      <c r="N27" s="285">
        <f t="shared" si="7"/>
        <v>4.7619047619047616E-2</v>
      </c>
      <c r="O27" s="284">
        <f>COUNTIFS(  AsgnData 27:27, "&gt;0", asnRep AsgnData, "&lt;="&amp;asnRep)</f>
        <v>0</v>
      </c>
      <c r="P27" s="285" t="e">
        <f t="shared" si="8"/>
        <v>#DIV/0!</v>
      </c>
      <c r="Q27" s="284">
        <f>COUNTIFS(  AsgnData 27:27, "&gt;0", asnRep AsgnData, "&lt;="&amp;asnRep)</f>
        <v>0</v>
      </c>
      <c r="R27" s="285" t="e">
        <f t="shared" si="9"/>
        <v>#DIV/0!</v>
      </c>
      <c r="S27" s="284">
        <f>COUNTIFS(  AsgnData 27:27, "&gt;0", asnRep AsgnData, "&lt;="&amp;asnRep)</f>
        <v>0</v>
      </c>
      <c r="T27" s="285" t="e">
        <f t="shared" si="10"/>
        <v>#DIV/0!</v>
      </c>
      <c r="U27" s="284">
        <f>COUNTIFS(  AsgnData 27:27, "&gt;0", asnRep AsgnData, "&lt;="&amp;asnRep)</f>
        <v>0</v>
      </c>
      <c r="V27" s="285" t="e">
        <f t="shared" si="11"/>
        <v>#DIV/0!</v>
      </c>
    </row>
    <row r="28" spans="1:22" s="126" customFormat="1" ht="15" x14ac:dyDescent="0.25">
      <c r="A28" s="58">
        <f>Roster!B25</f>
        <v>18</v>
      </c>
      <c r="B28" s="126" t="s">
        <v>38</v>
      </c>
      <c r="C28" s="282" t="str">
        <f>Roster!C25</f>
        <v>Muratov, Sherzod</v>
      </c>
      <c r="D28" s="283">
        <f>COUNTIFS( Submissions!name Submissions!Data,"="&amp;(28:28  names),  Submissions!assign Submissions!Data,"="&amp;(D:D  asnNames),Submissions!subDate Submissions!Data, "&lt;&gt;")</f>
        <v>1</v>
      </c>
      <c r="E28" s="283">
        <f>COUNTIFS( Submissions!name Submissions!Data,"="&amp;(28:28  names),  Submissions!assign Submissions!Data,"="&amp;(E:E  asnNames),Submissions!subDate Submissions!Data, "&lt;&gt;")</f>
        <v>1</v>
      </c>
      <c r="F28" s="283">
        <f>COUNTIFS( Submissions!name Submissions!Data,"="&amp;(28:28  names),  Submissions!assign Submissions!Data,"="&amp;(F:F  asnNames),Submissions!subDate Submissions!Data, "&lt;&gt;")</f>
        <v>1</v>
      </c>
      <c r="G28" s="283">
        <f>COUNTIFS( Submissions!name Submissions!Data,"="&amp;(28:28  names),  Submissions!assign Submissions!Data,"="&amp;(G:G  asnNames),Submissions!subDate Submissions!Data, "&lt;&gt;")</f>
        <v>1</v>
      </c>
      <c r="H28" s="283">
        <f>COUNTIFS( Submissions!name Submissions!Data,"="&amp;(28:28  names),  Submissions!assign Submissions!Data,"="&amp;(H:H  asnNames),Submissions!subDate Submissions!Data, "&lt;&gt;")</f>
        <v>0</v>
      </c>
      <c r="I28" s="283">
        <f>COUNTIFS( Submissions!name Submissions!Data,"="&amp;(28:28  names),  Submissions!assign Submissions!Data,"="&amp;(I:I  asnNames),Submissions!subDate Submissions!Data, "&lt;&gt;")</f>
        <v>0</v>
      </c>
      <c r="J28" s="283">
        <f>COUNTIFS( Submissions!name Submissions!Data,"="&amp;(28:28  names),  Submissions!assign Submissions!Data,"="&amp;(J:J  asnNames),Submissions!subDate Submissions!Data, "&lt;&gt;")</f>
        <v>0</v>
      </c>
      <c r="K28" s="283">
        <f>COUNTIFS( Submissions!name Submissions!Data,"="&amp;(28:28  names),  Submissions!assign Submissions!Data,"="&amp;(K:K  asnNames),Submissions!subDate Submissions!Data, "&lt;&gt;")</f>
        <v>1</v>
      </c>
      <c r="L28" s="283"/>
      <c r="M28" s="284">
        <f t="shared" si="1"/>
        <v>5</v>
      </c>
      <c r="N28" s="285">
        <f t="shared" ref="N28:N37" si="12">M28/Total</f>
        <v>4.7619047619047616E-2</v>
      </c>
      <c r="O28" s="284">
        <f>COUNTIFS(  AsgnData 28:28, "&gt;0", asnRep AsgnData, "&lt;="&amp;asnRep)</f>
        <v>0</v>
      </c>
      <c r="P28" s="285" t="e">
        <f t="shared" ref="P28:P37" si="13">O28/a1Total</f>
        <v>#DIV/0!</v>
      </c>
      <c r="Q28" s="284">
        <f>COUNTIFS(  AsgnData 28:28, "&gt;0", asnRep AsgnData, "&lt;="&amp;asnRep)</f>
        <v>0</v>
      </c>
      <c r="R28" s="285" t="e">
        <f t="shared" ref="R28:R37" si="14">Q28/a2Total</f>
        <v>#DIV/0!</v>
      </c>
      <c r="S28" s="284">
        <f>COUNTIFS(  AsgnData 28:28, "&gt;0", asnRep AsgnData, "&lt;="&amp;asnRep)</f>
        <v>0</v>
      </c>
      <c r="T28" s="285" t="e">
        <f t="shared" ref="T28:T37" si="15">S28/a3Total</f>
        <v>#DIV/0!</v>
      </c>
      <c r="U28" s="284">
        <f>COUNTIFS(  AsgnData 28:28, "&gt;0", asnRep AsgnData, "&lt;="&amp;asnRep)</f>
        <v>0</v>
      </c>
      <c r="V28" s="285" t="e">
        <f t="shared" ref="V28:V37" si="16">U28/a4Total</f>
        <v>#DIV/0!</v>
      </c>
    </row>
    <row r="29" spans="1:22" s="126" customFormat="1" ht="15" x14ac:dyDescent="0.25">
      <c r="A29" s="58">
        <f>Roster!B26</f>
        <v>19</v>
      </c>
      <c r="B29" s="126" t="s">
        <v>38</v>
      </c>
      <c r="C29" s="282" t="str">
        <f>Roster!C26</f>
        <v>Nazarov, Nodir</v>
      </c>
      <c r="D29" s="283">
        <f>COUNTIFS( Submissions!name Submissions!Data,"="&amp;(29:29  names),  Submissions!assign Submissions!Data,"="&amp;(D:D  asnNames),Submissions!subDate Submissions!Data, "&lt;&gt;")</f>
        <v>1</v>
      </c>
      <c r="E29" s="283">
        <f>COUNTIFS( Submissions!name Submissions!Data,"="&amp;(29:29  names),  Submissions!assign Submissions!Data,"="&amp;(E:E  asnNames),Submissions!subDate Submissions!Data, "&lt;&gt;")</f>
        <v>1</v>
      </c>
      <c r="F29" s="283">
        <f>COUNTIFS( Submissions!name Submissions!Data,"="&amp;(29:29  names),  Submissions!assign Submissions!Data,"="&amp;(F:F  asnNames),Submissions!subDate Submissions!Data, "&lt;&gt;")</f>
        <v>1</v>
      </c>
      <c r="G29" s="283">
        <f>COUNTIFS( Submissions!name Submissions!Data,"="&amp;(29:29  names),  Submissions!assign Submissions!Data,"="&amp;(G:G  asnNames),Submissions!subDate Submissions!Data, "&lt;&gt;")</f>
        <v>1</v>
      </c>
      <c r="H29" s="283">
        <f>COUNTIFS( Submissions!name Submissions!Data,"="&amp;(29:29  names),  Submissions!assign Submissions!Data,"="&amp;(H:H  asnNames),Submissions!subDate Submissions!Data, "&lt;&gt;")</f>
        <v>0</v>
      </c>
      <c r="I29" s="283">
        <f>COUNTIFS( Submissions!name Submissions!Data,"="&amp;(29:29  names),  Submissions!assign Submissions!Data,"="&amp;(I:I  asnNames),Submissions!subDate Submissions!Data, "&lt;&gt;")</f>
        <v>0</v>
      </c>
      <c r="J29" s="283">
        <f>COUNTIFS( Submissions!name Submissions!Data,"="&amp;(29:29  names),  Submissions!assign Submissions!Data,"="&amp;(J:J  asnNames),Submissions!subDate Submissions!Data, "&lt;&gt;")</f>
        <v>0</v>
      </c>
      <c r="K29" s="283">
        <f>COUNTIFS( Submissions!name Submissions!Data,"="&amp;(29:29  names),  Submissions!assign Submissions!Data,"="&amp;(K:K  asnNames),Submissions!subDate Submissions!Data, "&lt;&gt;")</f>
        <v>1</v>
      </c>
      <c r="L29" s="283"/>
      <c r="M29" s="284">
        <f t="shared" si="1"/>
        <v>5</v>
      </c>
      <c r="N29" s="285">
        <f t="shared" si="12"/>
        <v>4.7619047619047616E-2</v>
      </c>
      <c r="O29" s="284">
        <f>COUNTIFS(  AsgnData 29:29, "&gt;0", asnRep AsgnData, "&lt;="&amp;asnRep)</f>
        <v>0</v>
      </c>
      <c r="P29" s="285" t="e">
        <f t="shared" si="13"/>
        <v>#DIV/0!</v>
      </c>
      <c r="Q29" s="284">
        <f>COUNTIFS(  AsgnData 29:29, "&gt;0", asnRep AsgnData, "&lt;="&amp;asnRep)</f>
        <v>0</v>
      </c>
      <c r="R29" s="285" t="e">
        <f t="shared" si="14"/>
        <v>#DIV/0!</v>
      </c>
      <c r="S29" s="284">
        <f>COUNTIFS(  AsgnData 29:29, "&gt;0", asnRep AsgnData, "&lt;="&amp;asnRep)</f>
        <v>0</v>
      </c>
      <c r="T29" s="285" t="e">
        <f t="shared" si="15"/>
        <v>#DIV/0!</v>
      </c>
      <c r="U29" s="284">
        <f>COUNTIFS(  AsgnData 29:29, "&gt;0", asnRep AsgnData, "&lt;="&amp;asnRep)</f>
        <v>0</v>
      </c>
      <c r="V29" s="285" t="e">
        <f t="shared" si="16"/>
        <v>#DIV/0!</v>
      </c>
    </row>
    <row r="30" spans="1:22" s="126" customFormat="1" ht="15" x14ac:dyDescent="0.25">
      <c r="A30" s="58">
        <f>Roster!B27</f>
        <v>20</v>
      </c>
      <c r="B30" s="126" t="s">
        <v>38</v>
      </c>
      <c r="C30" s="282" t="str">
        <f>Roster!C27</f>
        <v>Negeri, Wagari Temesgen</v>
      </c>
      <c r="D30" s="283">
        <f>COUNTIFS( Submissions!name Submissions!Data,"="&amp;(30:30  names),  Submissions!assign Submissions!Data,"="&amp;(D:D  asnNames),Submissions!subDate Submissions!Data, "&lt;&gt;")</f>
        <v>1</v>
      </c>
      <c r="E30" s="283">
        <f>COUNTIFS( Submissions!name Submissions!Data,"="&amp;(30:30  names),  Submissions!assign Submissions!Data,"="&amp;(E:E  asnNames),Submissions!subDate Submissions!Data, "&lt;&gt;")</f>
        <v>1</v>
      </c>
      <c r="F30" s="283">
        <f>COUNTIFS( Submissions!name Submissions!Data,"="&amp;(30:30  names),  Submissions!assign Submissions!Data,"="&amp;(F:F  asnNames),Submissions!subDate Submissions!Data, "&lt;&gt;")</f>
        <v>1</v>
      </c>
      <c r="G30" s="283">
        <f>COUNTIFS( Submissions!name Submissions!Data,"="&amp;(30:30  names),  Submissions!assign Submissions!Data,"="&amp;(G:G  asnNames),Submissions!subDate Submissions!Data, "&lt;&gt;")</f>
        <v>1</v>
      </c>
      <c r="H30" s="283">
        <f>COUNTIFS( Submissions!name Submissions!Data,"="&amp;(30:30  names),  Submissions!assign Submissions!Data,"="&amp;(H:H  asnNames),Submissions!subDate Submissions!Data, "&lt;&gt;")</f>
        <v>0</v>
      </c>
      <c r="I30" s="283">
        <f>COUNTIFS( Submissions!name Submissions!Data,"="&amp;(30:30  names),  Submissions!assign Submissions!Data,"="&amp;(I:I  asnNames),Submissions!subDate Submissions!Data, "&lt;&gt;")</f>
        <v>1</v>
      </c>
      <c r="J30" s="283">
        <f>COUNTIFS( Submissions!name Submissions!Data,"="&amp;(30:30  names),  Submissions!assign Submissions!Data,"="&amp;(J:J  asnNames),Submissions!subDate Submissions!Data, "&lt;&gt;")</f>
        <v>0</v>
      </c>
      <c r="K30" s="283">
        <f>COUNTIFS( Submissions!name Submissions!Data,"="&amp;(30:30  names),  Submissions!assign Submissions!Data,"="&amp;(K:K  asnNames),Submissions!subDate Submissions!Data, "&lt;&gt;")</f>
        <v>1</v>
      </c>
      <c r="L30" s="283"/>
      <c r="M30" s="284">
        <f t="shared" si="1"/>
        <v>6</v>
      </c>
      <c r="N30" s="285">
        <f t="shared" si="12"/>
        <v>5.7142857142857141E-2</v>
      </c>
      <c r="O30" s="284">
        <f>COUNTIFS(  AsgnData 30:30, "&gt;0", asnRep AsgnData, "&lt;="&amp;asnRep)</f>
        <v>0</v>
      </c>
      <c r="P30" s="285" t="e">
        <f t="shared" si="13"/>
        <v>#DIV/0!</v>
      </c>
      <c r="Q30" s="284">
        <f>COUNTIFS(  AsgnData 30:30, "&gt;0", asnRep AsgnData, "&lt;="&amp;asnRep)</f>
        <v>0</v>
      </c>
      <c r="R30" s="285" t="e">
        <f t="shared" si="14"/>
        <v>#DIV/0!</v>
      </c>
      <c r="S30" s="284">
        <f>COUNTIFS(  AsgnData 30:30, "&gt;0", asnRep AsgnData, "&lt;="&amp;asnRep)</f>
        <v>0</v>
      </c>
      <c r="T30" s="285" t="e">
        <f t="shared" si="15"/>
        <v>#DIV/0!</v>
      </c>
      <c r="U30" s="284">
        <f>COUNTIFS(  AsgnData 30:30, "&gt;0", asnRep AsgnData, "&lt;="&amp;asnRep)</f>
        <v>0</v>
      </c>
      <c r="V30" s="285" t="e">
        <f t="shared" si="16"/>
        <v>#DIV/0!</v>
      </c>
    </row>
    <row r="31" spans="1:22" s="126" customFormat="1" ht="15" x14ac:dyDescent="0.25">
      <c r="A31" s="58">
        <f>Roster!B28</f>
        <v>21</v>
      </c>
      <c r="B31" s="126" t="s">
        <v>38</v>
      </c>
      <c r="C31" s="282" t="str">
        <f>Roster!C28</f>
        <v>Taheri, Homayoon</v>
      </c>
      <c r="D31" s="283">
        <f>COUNTIFS( Submissions!name Submissions!Data,"="&amp;(31:31  names),  Submissions!assign Submissions!Data,"="&amp;(D:D  asnNames),Submissions!subDate Submissions!Data, "&lt;&gt;")</f>
        <v>1</v>
      </c>
      <c r="E31" s="283">
        <f>COUNTIFS( Submissions!name Submissions!Data,"="&amp;(31:31  names),  Submissions!assign Submissions!Data,"="&amp;(E:E  asnNames),Submissions!subDate Submissions!Data, "&lt;&gt;")</f>
        <v>1</v>
      </c>
      <c r="F31" s="283">
        <f>COUNTIFS( Submissions!name Submissions!Data,"="&amp;(31:31  names),  Submissions!assign Submissions!Data,"="&amp;(F:F  asnNames),Submissions!subDate Submissions!Data, "&lt;&gt;")</f>
        <v>1</v>
      </c>
      <c r="G31" s="283">
        <f>COUNTIFS( Submissions!name Submissions!Data,"="&amp;(31:31  names),  Submissions!assign Submissions!Data,"="&amp;(G:G  asnNames),Submissions!subDate Submissions!Data, "&lt;&gt;")</f>
        <v>1</v>
      </c>
      <c r="H31" s="283">
        <f>COUNTIFS( Submissions!name Submissions!Data,"="&amp;(31:31  names),  Submissions!assign Submissions!Data,"="&amp;(H:H  asnNames),Submissions!subDate Submissions!Data, "&lt;&gt;")</f>
        <v>0</v>
      </c>
      <c r="I31" s="283">
        <f>COUNTIFS( Submissions!name Submissions!Data,"="&amp;(31:31  names),  Submissions!assign Submissions!Data,"="&amp;(I:I  asnNames),Submissions!subDate Submissions!Data, "&lt;&gt;")</f>
        <v>1</v>
      </c>
      <c r="J31" s="283">
        <f>COUNTIFS( Submissions!name Submissions!Data,"="&amp;(31:31  names),  Submissions!assign Submissions!Data,"="&amp;(J:J  asnNames),Submissions!subDate Submissions!Data, "&lt;&gt;")</f>
        <v>0</v>
      </c>
      <c r="K31" s="283">
        <f>COUNTIFS( Submissions!name Submissions!Data,"="&amp;(31:31  names),  Submissions!assign Submissions!Data,"="&amp;(K:K  asnNames),Submissions!subDate Submissions!Data, "&lt;&gt;")</f>
        <v>1</v>
      </c>
      <c r="L31" s="283"/>
      <c r="M31" s="284">
        <f t="shared" si="1"/>
        <v>6</v>
      </c>
      <c r="N31" s="285">
        <f t="shared" si="12"/>
        <v>5.7142857142857141E-2</v>
      </c>
      <c r="O31" s="284">
        <f>COUNTIFS(  AsgnData 31:31, "&gt;0", asnRep AsgnData, "&lt;="&amp;asnRep)</f>
        <v>0</v>
      </c>
      <c r="P31" s="285" t="e">
        <f t="shared" si="13"/>
        <v>#DIV/0!</v>
      </c>
      <c r="Q31" s="284">
        <f>COUNTIFS(  AsgnData 31:31, "&gt;0", asnRep AsgnData, "&lt;="&amp;asnRep)</f>
        <v>0</v>
      </c>
      <c r="R31" s="285" t="e">
        <f t="shared" si="14"/>
        <v>#DIV/0!</v>
      </c>
      <c r="S31" s="284">
        <f>COUNTIFS(  AsgnData 31:31, "&gt;0", asnRep AsgnData, "&lt;="&amp;asnRep)</f>
        <v>0</v>
      </c>
      <c r="T31" s="285" t="e">
        <f t="shared" si="15"/>
        <v>#DIV/0!</v>
      </c>
      <c r="U31" s="284">
        <f>COUNTIFS(  AsgnData 31:31, "&gt;0", asnRep AsgnData, "&lt;="&amp;asnRep)</f>
        <v>0</v>
      </c>
      <c r="V31" s="285" t="e">
        <f t="shared" si="16"/>
        <v>#DIV/0!</v>
      </c>
    </row>
    <row r="32" spans="1:22" s="126" customFormat="1" ht="15" x14ac:dyDescent="0.25">
      <c r="A32" s="58">
        <f>Roster!B29</f>
        <v>22</v>
      </c>
      <c r="B32" s="126" t="s">
        <v>38</v>
      </c>
      <c r="C32" s="282" t="str">
        <f>Roster!C29</f>
        <v>Tsagaach, Enkhbold</v>
      </c>
      <c r="D32" s="283">
        <f>COUNTIFS( Submissions!name Submissions!Data,"="&amp;(32:32  names),  Submissions!assign Submissions!Data,"="&amp;(D:D  asnNames),Submissions!subDate Submissions!Data, "&lt;&gt;")</f>
        <v>1</v>
      </c>
      <c r="E32" s="283">
        <f>COUNTIFS( Submissions!name Submissions!Data,"="&amp;(32:32  names),  Submissions!assign Submissions!Data,"="&amp;(E:E  asnNames),Submissions!subDate Submissions!Data, "&lt;&gt;")</f>
        <v>1</v>
      </c>
      <c r="F32" s="283">
        <f>COUNTIFS( Submissions!name Submissions!Data,"="&amp;(32:32  names),  Submissions!assign Submissions!Data,"="&amp;(F:F  asnNames),Submissions!subDate Submissions!Data, "&lt;&gt;")</f>
        <v>1</v>
      </c>
      <c r="G32" s="283">
        <f>COUNTIFS( Submissions!name Submissions!Data,"="&amp;(32:32  names),  Submissions!assign Submissions!Data,"="&amp;(G:G  asnNames),Submissions!subDate Submissions!Data, "&lt;&gt;")</f>
        <v>1</v>
      </c>
      <c r="H32" s="283">
        <f>COUNTIFS( Submissions!name Submissions!Data,"="&amp;(32:32  names),  Submissions!assign Submissions!Data,"="&amp;(H:H  asnNames),Submissions!subDate Submissions!Data, "&lt;&gt;")</f>
        <v>0</v>
      </c>
      <c r="I32" s="283">
        <f>COUNTIFS( Submissions!name Submissions!Data,"="&amp;(32:32  names),  Submissions!assign Submissions!Data,"="&amp;(I:I  asnNames),Submissions!subDate Submissions!Data, "&lt;&gt;")</f>
        <v>1</v>
      </c>
      <c r="J32" s="283">
        <f>COUNTIFS( Submissions!name Submissions!Data,"="&amp;(32:32  names),  Submissions!assign Submissions!Data,"="&amp;(J:J  asnNames),Submissions!subDate Submissions!Data, "&lt;&gt;")</f>
        <v>0</v>
      </c>
      <c r="K32" s="283">
        <f>COUNTIFS( Submissions!name Submissions!Data,"="&amp;(32:32  names),  Submissions!assign Submissions!Data,"="&amp;(K:K  asnNames),Submissions!subDate Submissions!Data, "&lt;&gt;")</f>
        <v>1</v>
      </c>
      <c r="L32" s="283"/>
      <c r="M32" s="284">
        <f t="shared" si="1"/>
        <v>6</v>
      </c>
      <c r="N32" s="285">
        <f t="shared" si="12"/>
        <v>5.7142857142857141E-2</v>
      </c>
      <c r="O32" s="284">
        <f>COUNTIFS(  AsgnData 32:32, "&gt;0", asnRep AsgnData, "&lt;="&amp;asnRep)</f>
        <v>0</v>
      </c>
      <c r="P32" s="285" t="e">
        <f t="shared" si="13"/>
        <v>#DIV/0!</v>
      </c>
      <c r="Q32" s="284">
        <f>COUNTIFS(  AsgnData 32:32, "&gt;0", asnRep AsgnData, "&lt;="&amp;asnRep)</f>
        <v>0</v>
      </c>
      <c r="R32" s="285" t="e">
        <f t="shared" si="14"/>
        <v>#DIV/0!</v>
      </c>
      <c r="S32" s="284">
        <f>COUNTIFS(  AsgnData 32:32, "&gt;0", asnRep AsgnData, "&lt;="&amp;asnRep)</f>
        <v>0</v>
      </c>
      <c r="T32" s="285" t="e">
        <f t="shared" si="15"/>
        <v>#DIV/0!</v>
      </c>
      <c r="U32" s="284">
        <f>COUNTIFS(  AsgnData 32:32, "&gt;0", asnRep AsgnData, "&lt;="&amp;asnRep)</f>
        <v>0</v>
      </c>
      <c r="V32" s="285" t="e">
        <f t="shared" si="16"/>
        <v>#DIV/0!</v>
      </c>
    </row>
    <row r="33" spans="1:22" s="126" customFormat="1" ht="15" x14ac:dyDescent="0.25">
      <c r="A33" s="58">
        <f>Roster!B30</f>
        <v>23</v>
      </c>
      <c r="B33" s="126" t="s">
        <v>38</v>
      </c>
      <c r="C33" s="282" t="str">
        <f>Roster!C30</f>
        <v>Turabaev, Orifjon</v>
      </c>
      <c r="D33" s="283">
        <f>COUNTIFS( Submissions!name Submissions!Data,"="&amp;(33:33  names),  Submissions!assign Submissions!Data,"="&amp;(D:D  asnNames),Submissions!subDate Submissions!Data, "&lt;&gt;")</f>
        <v>1</v>
      </c>
      <c r="E33" s="283">
        <f>COUNTIFS( Submissions!name Submissions!Data,"="&amp;(33:33  names),  Submissions!assign Submissions!Data,"="&amp;(E:E  asnNames),Submissions!subDate Submissions!Data, "&lt;&gt;")</f>
        <v>1</v>
      </c>
      <c r="F33" s="283">
        <f>COUNTIFS( Submissions!name Submissions!Data,"="&amp;(33:33  names),  Submissions!assign Submissions!Data,"="&amp;(F:F  asnNames),Submissions!subDate Submissions!Data, "&lt;&gt;")</f>
        <v>1</v>
      </c>
      <c r="G33" s="283">
        <f>COUNTIFS( Submissions!name Submissions!Data,"="&amp;(33:33  names),  Submissions!assign Submissions!Data,"="&amp;(G:G  asnNames),Submissions!subDate Submissions!Data, "&lt;&gt;")</f>
        <v>1</v>
      </c>
      <c r="H33" s="283">
        <f>COUNTIFS( Submissions!name Submissions!Data,"="&amp;(33:33  names),  Submissions!assign Submissions!Data,"="&amp;(H:H  asnNames),Submissions!subDate Submissions!Data, "&lt;&gt;")</f>
        <v>0</v>
      </c>
      <c r="I33" s="283">
        <f>COUNTIFS( Submissions!name Submissions!Data,"="&amp;(33:33  names),  Submissions!assign Submissions!Data,"="&amp;(I:I  asnNames),Submissions!subDate Submissions!Data, "&lt;&gt;")</f>
        <v>0</v>
      </c>
      <c r="J33" s="283">
        <f>COUNTIFS( Submissions!name Submissions!Data,"="&amp;(33:33  names),  Submissions!assign Submissions!Data,"="&amp;(J:J  asnNames),Submissions!subDate Submissions!Data, "&lt;&gt;")</f>
        <v>0</v>
      </c>
      <c r="K33" s="283">
        <f>COUNTIFS( Submissions!name Submissions!Data,"="&amp;(33:33  names),  Submissions!assign Submissions!Data,"="&amp;(K:K  asnNames),Submissions!subDate Submissions!Data, "&lt;&gt;")</f>
        <v>0</v>
      </c>
      <c r="L33" s="283"/>
      <c r="M33" s="284">
        <f t="shared" si="1"/>
        <v>4</v>
      </c>
      <c r="N33" s="285">
        <f t="shared" si="12"/>
        <v>3.8095238095238099E-2</v>
      </c>
      <c r="O33" s="284">
        <f>COUNTIFS(  AsgnData 33:33, "&gt;0", asnRep AsgnData, "&lt;="&amp;asnRep)</f>
        <v>0</v>
      </c>
      <c r="P33" s="285" t="e">
        <f t="shared" si="13"/>
        <v>#DIV/0!</v>
      </c>
      <c r="Q33" s="284">
        <f>COUNTIFS(  AsgnData 33:33, "&gt;0", asnRep AsgnData, "&lt;="&amp;asnRep)</f>
        <v>0</v>
      </c>
      <c r="R33" s="285" t="e">
        <f t="shared" si="14"/>
        <v>#DIV/0!</v>
      </c>
      <c r="S33" s="284">
        <f>COUNTIFS(  AsgnData 33:33, "&gt;0", asnRep AsgnData, "&lt;="&amp;asnRep)</f>
        <v>0</v>
      </c>
      <c r="T33" s="285" t="e">
        <f t="shared" si="15"/>
        <v>#DIV/0!</v>
      </c>
      <c r="U33" s="284">
        <f>COUNTIFS(  AsgnData 33:33, "&gt;0", asnRep AsgnData, "&lt;="&amp;asnRep)</f>
        <v>0</v>
      </c>
      <c r="V33" s="285" t="e">
        <f t="shared" si="16"/>
        <v>#DIV/0!</v>
      </c>
    </row>
    <row r="34" spans="1:22" s="126" customFormat="1" ht="15" x14ac:dyDescent="0.25">
      <c r="A34" s="58">
        <f>Roster!B31</f>
        <v>24</v>
      </c>
      <c r="B34" s="126" t="s">
        <v>38</v>
      </c>
      <c r="C34" s="282" t="str">
        <f>Roster!C31</f>
        <v>Wang, Huanjie</v>
      </c>
      <c r="D34" s="283">
        <f>COUNTIFS( Submissions!name Submissions!Data,"="&amp;(34:34  names),  Submissions!assign Submissions!Data,"="&amp;(D:D  asnNames),Submissions!subDate Submissions!Data, "&lt;&gt;")</f>
        <v>0</v>
      </c>
      <c r="E34" s="283">
        <f>COUNTIFS( Submissions!name Submissions!Data,"="&amp;(34:34  names),  Submissions!assign Submissions!Data,"="&amp;(E:E  asnNames),Submissions!subDate Submissions!Data, "&lt;&gt;")</f>
        <v>1</v>
      </c>
      <c r="F34" s="283">
        <f>COUNTIFS( Submissions!name Submissions!Data,"="&amp;(34:34  names),  Submissions!assign Submissions!Data,"="&amp;(F:F  asnNames),Submissions!subDate Submissions!Data, "&lt;&gt;")</f>
        <v>0</v>
      </c>
      <c r="G34" s="283">
        <f>COUNTIFS( Submissions!name Submissions!Data,"="&amp;(34:34  names),  Submissions!assign Submissions!Data,"="&amp;(G:G  asnNames),Submissions!subDate Submissions!Data, "&lt;&gt;")</f>
        <v>0</v>
      </c>
      <c r="H34" s="283">
        <f>COUNTIFS( Submissions!name Submissions!Data,"="&amp;(34:34  names),  Submissions!assign Submissions!Data,"="&amp;(H:H  asnNames),Submissions!subDate Submissions!Data, "&lt;&gt;")</f>
        <v>0</v>
      </c>
      <c r="I34" s="283">
        <f>COUNTIFS( Submissions!name Submissions!Data,"="&amp;(34:34  names),  Submissions!assign Submissions!Data,"="&amp;(I:I  asnNames),Submissions!subDate Submissions!Data, "&lt;&gt;")</f>
        <v>0</v>
      </c>
      <c r="J34" s="283">
        <f>COUNTIFS( Submissions!name Submissions!Data,"="&amp;(34:34  names),  Submissions!assign Submissions!Data,"="&amp;(J:J  asnNames),Submissions!subDate Submissions!Data, "&lt;&gt;")</f>
        <v>0</v>
      </c>
      <c r="K34" s="283">
        <f>COUNTIFS( Submissions!name Submissions!Data,"="&amp;(34:34  names),  Submissions!assign Submissions!Data,"="&amp;(K:K  asnNames),Submissions!subDate Submissions!Data, "&lt;&gt;")</f>
        <v>0</v>
      </c>
      <c r="L34" s="283"/>
      <c r="M34" s="284">
        <f t="shared" si="1"/>
        <v>1</v>
      </c>
      <c r="N34" s="285">
        <f t="shared" si="12"/>
        <v>9.5238095238095247E-3</v>
      </c>
      <c r="O34" s="284">
        <f>COUNTIFS(  AsgnData 34:34, "&gt;0", asnRep AsgnData, "&lt;="&amp;asnRep)</f>
        <v>0</v>
      </c>
      <c r="P34" s="285" t="e">
        <f t="shared" si="13"/>
        <v>#DIV/0!</v>
      </c>
      <c r="Q34" s="284">
        <f>COUNTIFS(  AsgnData 34:34, "&gt;0", asnRep AsgnData, "&lt;="&amp;asnRep)</f>
        <v>0</v>
      </c>
      <c r="R34" s="285" t="e">
        <f t="shared" si="14"/>
        <v>#DIV/0!</v>
      </c>
      <c r="S34" s="284">
        <f>COUNTIFS(  AsgnData 34:34, "&gt;0", asnRep AsgnData, "&lt;="&amp;asnRep)</f>
        <v>0</v>
      </c>
      <c r="T34" s="285" t="e">
        <f t="shared" si="15"/>
        <v>#DIV/0!</v>
      </c>
      <c r="U34" s="284">
        <f>COUNTIFS(  AsgnData 34:34, "&gt;0", asnRep AsgnData, "&lt;="&amp;asnRep)</f>
        <v>0</v>
      </c>
      <c r="V34" s="285" t="e">
        <f t="shared" si="16"/>
        <v>#DIV/0!</v>
      </c>
    </row>
    <row r="35" spans="1:22" s="126" customFormat="1" ht="15" x14ac:dyDescent="0.25">
      <c r="A35" s="58">
        <f>Roster!B32</f>
        <v>25</v>
      </c>
      <c r="B35" s="126" t="s">
        <v>38</v>
      </c>
      <c r="C35" s="282" t="str">
        <f>Roster!C32</f>
        <v>Wang, Zhenguo</v>
      </c>
      <c r="D35" s="283">
        <f>COUNTIFS( Submissions!name Submissions!Data,"="&amp;(35:35  names),  Submissions!assign Submissions!Data,"="&amp;(D:D  asnNames),Submissions!subDate Submissions!Data, "&lt;&gt;")</f>
        <v>0</v>
      </c>
      <c r="E35" s="283">
        <f>COUNTIFS( Submissions!name Submissions!Data,"="&amp;(35:35  names),  Submissions!assign Submissions!Data,"="&amp;(E:E  asnNames),Submissions!subDate Submissions!Data, "&lt;&gt;")</f>
        <v>0</v>
      </c>
      <c r="F35" s="283">
        <f>COUNTIFS( Submissions!name Submissions!Data,"="&amp;(35:35  names),  Submissions!assign Submissions!Data,"="&amp;(F:F  asnNames),Submissions!subDate Submissions!Data, "&lt;&gt;")</f>
        <v>1</v>
      </c>
      <c r="G35" s="283">
        <f>COUNTIFS( Submissions!name Submissions!Data,"="&amp;(35:35  names),  Submissions!assign Submissions!Data,"="&amp;(G:G  asnNames),Submissions!subDate Submissions!Data, "&lt;&gt;")</f>
        <v>0</v>
      </c>
      <c r="H35" s="283">
        <f>COUNTIFS( Submissions!name Submissions!Data,"="&amp;(35:35  names),  Submissions!assign Submissions!Data,"="&amp;(H:H  asnNames),Submissions!subDate Submissions!Data, "&lt;&gt;")</f>
        <v>0</v>
      </c>
      <c r="I35" s="283">
        <f>COUNTIFS( Submissions!name Submissions!Data,"="&amp;(35:35  names),  Submissions!assign Submissions!Data,"="&amp;(I:I  asnNames),Submissions!subDate Submissions!Data, "&lt;&gt;")</f>
        <v>0</v>
      </c>
      <c r="J35" s="283">
        <f>COUNTIFS( Submissions!name Submissions!Data,"="&amp;(35:35  names),  Submissions!assign Submissions!Data,"="&amp;(J:J  asnNames),Submissions!subDate Submissions!Data, "&lt;&gt;")</f>
        <v>0</v>
      </c>
      <c r="K35" s="283">
        <f>COUNTIFS( Submissions!name Submissions!Data,"="&amp;(35:35  names),  Submissions!assign Submissions!Data,"="&amp;(K:K  asnNames),Submissions!subDate Submissions!Data, "&lt;&gt;")</f>
        <v>0</v>
      </c>
      <c r="L35" s="283"/>
      <c r="M35" s="284">
        <f t="shared" si="1"/>
        <v>1</v>
      </c>
      <c r="N35" s="285">
        <f t="shared" si="12"/>
        <v>9.5238095238095247E-3</v>
      </c>
      <c r="O35" s="284">
        <f>COUNTIFS(  AsgnData 35:35, "&gt;0", asnRep AsgnData, "&lt;="&amp;asnRep)</f>
        <v>0</v>
      </c>
      <c r="P35" s="285" t="e">
        <f t="shared" si="13"/>
        <v>#DIV/0!</v>
      </c>
      <c r="Q35" s="284">
        <f>COUNTIFS(  AsgnData 35:35, "&gt;0", asnRep AsgnData, "&lt;="&amp;asnRep)</f>
        <v>0</v>
      </c>
      <c r="R35" s="285" t="e">
        <f t="shared" si="14"/>
        <v>#DIV/0!</v>
      </c>
      <c r="S35" s="284">
        <f>COUNTIFS(  AsgnData 35:35, "&gt;0", asnRep AsgnData, "&lt;="&amp;asnRep)</f>
        <v>0</v>
      </c>
      <c r="T35" s="285" t="e">
        <f t="shared" si="15"/>
        <v>#DIV/0!</v>
      </c>
      <c r="U35" s="284">
        <f>COUNTIFS(  AsgnData 35:35, "&gt;0", asnRep AsgnData, "&lt;="&amp;asnRep)</f>
        <v>0</v>
      </c>
      <c r="V35" s="285" t="e">
        <f t="shared" si="16"/>
        <v>#DIV/0!</v>
      </c>
    </row>
    <row r="36" spans="1:22" s="126" customFormat="1" ht="15" x14ac:dyDescent="0.25">
      <c r="A36" s="58">
        <f>Roster!B33</f>
        <v>26</v>
      </c>
      <c r="B36" s="126" t="s">
        <v>38</v>
      </c>
      <c r="C36" s="282" t="str">
        <f>Roster!C33</f>
        <v>Yousuf, Sundus</v>
      </c>
      <c r="D36" s="283">
        <f>COUNTIFS( Submissions!name Submissions!Data,"="&amp;(36:36  names),  Submissions!assign Submissions!Data,"="&amp;(D:D  asnNames),Submissions!subDate Submissions!Data, "&lt;&gt;")</f>
        <v>1</v>
      </c>
      <c r="E36" s="283">
        <f>COUNTIFS( Submissions!name Submissions!Data,"="&amp;(36:36  names),  Submissions!assign Submissions!Data,"="&amp;(E:E  asnNames),Submissions!subDate Submissions!Data, "&lt;&gt;")</f>
        <v>1</v>
      </c>
      <c r="F36" s="283">
        <f>COUNTIFS( Submissions!name Submissions!Data,"="&amp;(36:36  names),  Submissions!assign Submissions!Data,"="&amp;(F:F  asnNames),Submissions!subDate Submissions!Data, "&lt;&gt;")</f>
        <v>1</v>
      </c>
      <c r="G36" s="283">
        <f>COUNTIFS( Submissions!name Submissions!Data,"="&amp;(36:36  names),  Submissions!assign Submissions!Data,"="&amp;(G:G  asnNames),Submissions!subDate Submissions!Data, "&lt;&gt;")</f>
        <v>1</v>
      </c>
      <c r="H36" s="283">
        <f>COUNTIFS( Submissions!name Submissions!Data,"="&amp;(36:36  names),  Submissions!assign Submissions!Data,"="&amp;(H:H  asnNames),Submissions!subDate Submissions!Data, "&lt;&gt;")</f>
        <v>0</v>
      </c>
      <c r="I36" s="283">
        <f>COUNTIFS( Submissions!name Submissions!Data,"="&amp;(36:36  names),  Submissions!assign Submissions!Data,"="&amp;(I:I  asnNames),Submissions!subDate Submissions!Data, "&lt;&gt;")</f>
        <v>1</v>
      </c>
      <c r="J36" s="283">
        <f>COUNTIFS( Submissions!name Submissions!Data,"="&amp;(36:36  names),  Submissions!assign Submissions!Data,"="&amp;(J:J  asnNames),Submissions!subDate Submissions!Data, "&lt;&gt;")</f>
        <v>0</v>
      </c>
      <c r="K36" s="283">
        <f>COUNTIFS( Submissions!name Submissions!Data,"="&amp;(36:36  names),  Submissions!assign Submissions!Data,"="&amp;(K:K  asnNames),Submissions!subDate Submissions!Data, "&lt;&gt;")</f>
        <v>1</v>
      </c>
      <c r="L36" s="283"/>
      <c r="M36" s="284">
        <f t="shared" si="1"/>
        <v>6</v>
      </c>
      <c r="N36" s="285">
        <f t="shared" si="12"/>
        <v>5.7142857142857141E-2</v>
      </c>
      <c r="O36" s="284">
        <f>COUNTIFS(  AsgnData 36:36, "&gt;0", asnRep AsgnData, "&lt;="&amp;asnRep)</f>
        <v>0</v>
      </c>
      <c r="P36" s="285" t="e">
        <f t="shared" si="13"/>
        <v>#DIV/0!</v>
      </c>
      <c r="Q36" s="284">
        <f>COUNTIFS(  AsgnData 36:36, "&gt;0", asnRep AsgnData, "&lt;="&amp;asnRep)</f>
        <v>0</v>
      </c>
      <c r="R36" s="285" t="e">
        <f t="shared" si="14"/>
        <v>#DIV/0!</v>
      </c>
      <c r="S36" s="284">
        <f>COUNTIFS(  AsgnData 36:36, "&gt;0", asnRep AsgnData, "&lt;="&amp;asnRep)</f>
        <v>0</v>
      </c>
      <c r="T36" s="285" t="e">
        <f t="shared" si="15"/>
        <v>#DIV/0!</v>
      </c>
      <c r="U36" s="284">
        <f>COUNTIFS(  AsgnData 36:36, "&gt;0", asnRep AsgnData, "&lt;="&amp;asnRep)</f>
        <v>0</v>
      </c>
      <c r="V36" s="285" t="e">
        <f t="shared" si="16"/>
        <v>#DIV/0!</v>
      </c>
    </row>
    <row r="37" spans="1:22" s="126" customFormat="1" ht="15.75" thickBot="1" x14ac:dyDescent="0.3">
      <c r="A37" s="58">
        <f>Roster!B34</f>
        <v>27</v>
      </c>
      <c r="B37" s="126" t="s">
        <v>38</v>
      </c>
      <c r="C37" s="282" t="str">
        <f>Roster!C34</f>
        <v>Zakaria, Danial</v>
      </c>
      <c r="D37" s="283">
        <f>COUNTIFS( Submissions!name Submissions!Data,"="&amp;(37:37  names),  Submissions!assign Submissions!Data,"="&amp;(D:D  asnNames),Submissions!subDate Submissions!Data, "&lt;&gt;")</f>
        <v>1</v>
      </c>
      <c r="E37" s="283">
        <f>COUNTIFS( Submissions!name Submissions!Data,"="&amp;(37:37  names),  Submissions!assign Submissions!Data,"="&amp;(E:E  asnNames),Submissions!subDate Submissions!Data, "&lt;&gt;")</f>
        <v>1</v>
      </c>
      <c r="F37" s="283">
        <f>COUNTIFS( Submissions!name Submissions!Data,"="&amp;(37:37  names),  Submissions!assign Submissions!Data,"="&amp;(F:F  asnNames),Submissions!subDate Submissions!Data, "&lt;&gt;")</f>
        <v>1</v>
      </c>
      <c r="G37" s="283">
        <f>COUNTIFS( Submissions!name Submissions!Data,"="&amp;(37:37  names),  Submissions!assign Submissions!Data,"="&amp;(G:G  asnNames),Submissions!subDate Submissions!Data, "&lt;&gt;")</f>
        <v>1</v>
      </c>
      <c r="H37" s="283">
        <f>COUNTIFS( Submissions!name Submissions!Data,"="&amp;(37:37  names),  Submissions!assign Submissions!Data,"="&amp;(H:H  asnNames),Submissions!subDate Submissions!Data, "&lt;&gt;")</f>
        <v>0</v>
      </c>
      <c r="I37" s="283">
        <f>COUNTIFS( Submissions!name Submissions!Data,"="&amp;(37:37  names),  Submissions!assign Submissions!Data,"="&amp;(I:I  asnNames),Submissions!subDate Submissions!Data, "&lt;&gt;")</f>
        <v>0</v>
      </c>
      <c r="J37" s="283">
        <f>COUNTIFS( Submissions!name Submissions!Data,"="&amp;(37:37  names),  Submissions!assign Submissions!Data,"="&amp;(J:J  asnNames),Submissions!subDate Submissions!Data, "&lt;&gt;")</f>
        <v>0</v>
      </c>
      <c r="K37" s="283">
        <f>COUNTIFS( Submissions!name Submissions!Data,"="&amp;(37:37  names),  Submissions!assign Submissions!Data,"="&amp;(K:K  asnNames),Submissions!subDate Submissions!Data, "&lt;&gt;")</f>
        <v>1</v>
      </c>
      <c r="L37" s="283"/>
      <c r="M37" s="284">
        <f t="shared" si="1"/>
        <v>5</v>
      </c>
      <c r="N37" s="285">
        <f t="shared" si="12"/>
        <v>4.7619047619047616E-2</v>
      </c>
      <c r="O37" s="284">
        <f>COUNTIFS(  AsgnData 37:37, "&gt;0", asnRep AsgnData, "&lt;="&amp;asnRep)</f>
        <v>0</v>
      </c>
      <c r="P37" s="285" t="e">
        <f t="shared" si="13"/>
        <v>#DIV/0!</v>
      </c>
      <c r="Q37" s="284">
        <f>COUNTIFS(  AsgnData 37:37, "&gt;0", asnRep AsgnData, "&lt;="&amp;asnRep)</f>
        <v>0</v>
      </c>
      <c r="R37" s="285" t="e">
        <f t="shared" si="14"/>
        <v>#DIV/0!</v>
      </c>
      <c r="S37" s="284">
        <f>COUNTIFS(  AsgnData 37:37, "&gt;0", asnRep AsgnData, "&lt;="&amp;asnRep)</f>
        <v>0</v>
      </c>
      <c r="T37" s="285" t="e">
        <f t="shared" si="15"/>
        <v>#DIV/0!</v>
      </c>
      <c r="U37" s="284">
        <f>COUNTIFS(  AsgnData 37:37, "&gt;0", asnRep AsgnData, "&lt;="&amp;asnRep)</f>
        <v>0</v>
      </c>
      <c r="V37" s="285" t="e">
        <f t="shared" si="16"/>
        <v>#DIV/0!</v>
      </c>
    </row>
    <row r="38" spans="1:22" x14ac:dyDescent="0.2">
      <c r="A38" s="247"/>
      <c r="B38" s="247"/>
      <c r="C38" s="248"/>
      <c r="D38" s="186">
        <f>COUNTIF(D:D Data,"&gt;0")</f>
        <v>14</v>
      </c>
      <c r="E38" s="186">
        <f>COUNTIF(E:E Data,"&gt;0")</f>
        <v>16</v>
      </c>
      <c r="F38" s="186">
        <f>COUNTIF(F:F Data,"&gt;0")</f>
        <v>15</v>
      </c>
      <c r="G38" s="186">
        <f>COUNTIF(G:G Data,"&gt;0")</f>
        <v>15</v>
      </c>
      <c r="H38" s="186">
        <f>COUNTIF(H:H Data,"&gt;0")</f>
        <v>0</v>
      </c>
      <c r="I38" s="186">
        <f>COUNTIF(I:I Data,"&gt;0")</f>
        <v>8</v>
      </c>
      <c r="J38" s="186">
        <f>COUNTIF(J:J Data,"&gt;0")</f>
        <v>0</v>
      </c>
      <c r="K38" s="186">
        <f>COUNTIF(K:K Data,"&gt;0")</f>
        <v>15</v>
      </c>
      <c r="L38" s="186">
        <f>COUNTA(L:L Data)</f>
        <v>0</v>
      </c>
      <c r="M38" s="129">
        <f t="shared" ref="M38:V38" si="17">AVERAGE(M11:M19)</f>
        <v>5.1111111111111107</v>
      </c>
      <c r="N38" s="130">
        <f t="shared" si="17"/>
        <v>4.8677248677248673E-2</v>
      </c>
      <c r="O38" s="131">
        <f t="shared" si="17"/>
        <v>0</v>
      </c>
      <c r="P38" s="132" t="e">
        <f t="shared" si="17"/>
        <v>#DIV/0!</v>
      </c>
      <c r="Q38" s="131">
        <f t="shared" si="17"/>
        <v>0</v>
      </c>
      <c r="R38" s="132" t="e">
        <f t="shared" si="17"/>
        <v>#DIV/0!</v>
      </c>
      <c r="S38" s="131">
        <f t="shared" si="17"/>
        <v>0</v>
      </c>
      <c r="T38" s="132" t="e">
        <f t="shared" si="17"/>
        <v>#DIV/0!</v>
      </c>
      <c r="U38" s="131">
        <f t="shared" si="17"/>
        <v>0</v>
      </c>
      <c r="V38" s="132" t="e">
        <f t="shared" si="17"/>
        <v>#DIV/0!</v>
      </c>
    </row>
    <row r="39" spans="1:22" x14ac:dyDescent="0.2">
      <c r="C39" s="245">
        <f>COUNTA(names AssignData)</f>
        <v>27</v>
      </c>
      <c r="M39" s="91" t="s">
        <v>77</v>
      </c>
    </row>
    <row r="40" spans="1:22" x14ac:dyDescent="0.2">
      <c r="C40" s="246" t="str">
        <f>IF(C39=rCount,"","Names Missing?!")</f>
        <v/>
      </c>
      <c r="D40" s="126" t="s">
        <v>73</v>
      </c>
    </row>
    <row r="41" spans="1:22" x14ac:dyDescent="0.2">
      <c r="D41" s="126" t="s">
        <v>74</v>
      </c>
    </row>
  </sheetData>
  <mergeCells count="4">
    <mergeCell ref="S5:T5"/>
    <mergeCell ref="U5:V5"/>
    <mergeCell ref="O5:P5"/>
    <mergeCell ref="Q5:R5"/>
  </mergeCells>
  <conditionalFormatting sqref="N11:N19 P11:P19">
    <cfRule type="cellIs" dxfId="11" priority="21" operator="lessThan">
      <formula>0.6</formula>
    </cfRule>
  </conditionalFormatting>
  <conditionalFormatting sqref="R11:R19">
    <cfRule type="cellIs" dxfId="10" priority="19" operator="lessThan">
      <formula>0.6</formula>
    </cfRule>
  </conditionalFormatting>
  <conditionalFormatting sqref="T11:T19">
    <cfRule type="cellIs" dxfId="9" priority="18" operator="lessThan">
      <formula>0.6</formula>
    </cfRule>
  </conditionalFormatting>
  <conditionalFormatting sqref="V11:V19">
    <cfRule type="cellIs" dxfId="8" priority="17" operator="lessThan">
      <formula>0.6</formula>
    </cfRule>
  </conditionalFormatting>
  <conditionalFormatting sqref="N20:N27 P20:P27">
    <cfRule type="cellIs" dxfId="7" priority="16" operator="lessThan">
      <formula>0.6</formula>
    </cfRule>
  </conditionalFormatting>
  <conditionalFormatting sqref="R20:R27">
    <cfRule type="cellIs" dxfId="6" priority="15" operator="lessThan">
      <formula>0.6</formula>
    </cfRule>
  </conditionalFormatting>
  <conditionalFormatting sqref="T20:T27">
    <cfRule type="cellIs" dxfId="5" priority="14" operator="lessThan">
      <formula>0.6</formula>
    </cfRule>
  </conditionalFormatting>
  <conditionalFormatting sqref="V20:V27">
    <cfRule type="cellIs" dxfId="4" priority="13" operator="lessThan">
      <formula>0.6</formula>
    </cfRule>
  </conditionalFormatting>
  <conditionalFormatting sqref="N28:N37 P28:P37">
    <cfRule type="cellIs" dxfId="3" priority="4" operator="lessThan">
      <formula>0.6</formula>
    </cfRule>
  </conditionalFormatting>
  <conditionalFormatting sqref="R28:R37">
    <cfRule type="cellIs" dxfId="2" priority="3" operator="lessThan">
      <formula>0.6</formula>
    </cfRule>
  </conditionalFormatting>
  <conditionalFormatting sqref="T28:T37">
    <cfRule type="cellIs" dxfId="1" priority="2" operator="lessThan">
      <formula>0.6</formula>
    </cfRule>
  </conditionalFormatting>
  <conditionalFormatting sqref="V28:V37">
    <cfRule type="cellIs" dxfId="0" priority="1" operator="lessThan">
      <formula>0.6</formula>
    </cfRule>
  </conditionalFormatting>
  <pageMargins left="0.75" right="0.75" top="1" bottom="1" header="0.5" footer="0.5"/>
  <pageSetup scale="59" fitToWidth="2"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601"/>
  <sheetViews>
    <sheetView zoomScaleNormal="100" workbookViewId="0">
      <pane ySplit="8" topLeftCell="A9" activePane="bottomLeft" state="frozen"/>
      <selection pane="bottomLeft" activeCell="G17" sqref="G17:G19"/>
    </sheetView>
  </sheetViews>
  <sheetFormatPr defaultRowHeight="15" x14ac:dyDescent="0.25"/>
  <cols>
    <col min="1" max="1" width="31.28515625" customWidth="1"/>
    <col min="2" max="2" width="22.7109375" customWidth="1"/>
    <col min="3" max="3" width="16.85546875" style="1" customWidth="1"/>
    <col min="4" max="4" width="15.7109375" style="1" customWidth="1"/>
    <col min="5" max="6" width="9.140625" style="1"/>
    <col min="7" max="7" width="9.7109375" bestFit="1" customWidth="1"/>
  </cols>
  <sheetData>
    <row r="1" spans="1:11" ht="18.75" x14ac:dyDescent="0.3">
      <c r="A1" s="9" t="str">
        <f>CourseName</f>
        <v>Cs525 ASD - Fall 2012</v>
      </c>
      <c r="B1" s="89" t="s">
        <v>62</v>
      </c>
      <c r="D1" s="12"/>
      <c r="E1" s="12"/>
      <c r="F1" s="12"/>
    </row>
    <row r="2" spans="1:11" ht="8.25" customHeight="1" x14ac:dyDescent="0.3">
      <c r="A2" s="9"/>
      <c r="B2" s="10"/>
      <c r="C2" s="215"/>
      <c r="D2" s="12"/>
      <c r="E2" s="12"/>
      <c r="F2" s="12"/>
      <c r="G2" s="10"/>
      <c r="H2" s="10"/>
      <c r="I2" s="10"/>
      <c r="J2" s="10"/>
      <c r="K2" s="10"/>
    </row>
    <row r="3" spans="1:11" x14ac:dyDescent="0.25">
      <c r="A3" s="22" t="s">
        <v>10</v>
      </c>
      <c r="B3" s="23">
        <f>start</f>
        <v>40817</v>
      </c>
      <c r="C3" s="12" t="s">
        <v>23</v>
      </c>
      <c r="D3" s="11">
        <f t="array" ref="D3">SUM(1/COUNTIF(data name,IF(ISBLANK(data name),"",data name)))-1</f>
        <v>25.00000000000006</v>
      </c>
      <c r="E3" s="12"/>
      <c r="F3" s="12"/>
    </row>
    <row r="4" spans="1:11" x14ac:dyDescent="0.25">
      <c r="A4" s="22" t="s">
        <v>48</v>
      </c>
      <c r="B4" s="23">
        <v>41520.488807870373</v>
      </c>
      <c r="C4" s="256" t="s">
        <v>196</v>
      </c>
      <c r="E4" s="12"/>
      <c r="F4" s="12"/>
    </row>
    <row r="5" spans="1:11" x14ac:dyDescent="0.25">
      <c r="A5" s="22" t="s">
        <v>52</v>
      </c>
      <c r="B5" s="37">
        <f>COUNTA(B:B data)</f>
        <v>592</v>
      </c>
      <c r="C5" s="12"/>
      <c r="D5" s="22" t="s">
        <v>223</v>
      </c>
      <c r="E5" s="12">
        <f>SUM(E:E data)</f>
        <v>3989</v>
      </c>
      <c r="F5" s="12"/>
      <c r="G5" s="318"/>
    </row>
    <row r="6" spans="1:11" ht="8.25" customHeight="1" x14ac:dyDescent="0.25">
      <c r="A6" s="22"/>
      <c r="B6" s="13"/>
      <c r="C6" s="12"/>
      <c r="D6" s="12"/>
      <c r="E6" s="12"/>
      <c r="F6" s="12"/>
    </row>
    <row r="7" spans="1:11" ht="22.5" customHeight="1" thickBot="1" x14ac:dyDescent="0.3">
      <c r="A7" s="24" t="s">
        <v>0</v>
      </c>
      <c r="B7" s="24" t="s">
        <v>1</v>
      </c>
      <c r="C7" s="25" t="s">
        <v>2</v>
      </c>
      <c r="D7" s="25" t="s">
        <v>3</v>
      </c>
      <c r="E7" s="25" t="s">
        <v>4</v>
      </c>
      <c r="F7" s="53" t="s">
        <v>9</v>
      </c>
    </row>
    <row r="8" spans="1:11" ht="6" customHeight="1" thickTop="1" x14ac:dyDescent="0.25">
      <c r="A8" s="4"/>
      <c r="B8" s="4"/>
      <c r="C8" s="38"/>
      <c r="D8" s="5"/>
      <c r="E8" s="52"/>
      <c r="F8" s="54"/>
    </row>
    <row r="9" spans="1:11" x14ac:dyDescent="0.25">
      <c r="A9" s="277" t="s">
        <v>249</v>
      </c>
      <c r="B9" s="278" t="s">
        <v>250</v>
      </c>
      <c r="C9" s="278" t="s">
        <v>202</v>
      </c>
      <c r="D9" s="315">
        <v>41477</v>
      </c>
      <c r="E9" s="279">
        <v>1</v>
      </c>
      <c r="F9" s="55">
        <f t="shared" ref="F9" si="0">TRUNC((D9-start)/7,0)+1</f>
        <v>95</v>
      </c>
    </row>
    <row r="10" spans="1:11" x14ac:dyDescent="0.25">
      <c r="A10" s="277" t="s">
        <v>249</v>
      </c>
      <c r="B10" s="278" t="s">
        <v>250</v>
      </c>
      <c r="C10" s="278" t="s">
        <v>198</v>
      </c>
      <c r="D10" s="315">
        <v>41477</v>
      </c>
      <c r="E10" s="279">
        <v>1</v>
      </c>
      <c r="F10" s="55">
        <f t="shared" ref="F10:F73" si="1">TRUNC((D10-start)/7,0)+1</f>
        <v>95</v>
      </c>
    </row>
    <row r="11" spans="1:11" x14ac:dyDescent="0.25">
      <c r="A11" s="277" t="s">
        <v>249</v>
      </c>
      <c r="B11" s="278" t="s">
        <v>250</v>
      </c>
      <c r="C11" s="278" t="s">
        <v>197</v>
      </c>
      <c r="D11" s="315">
        <v>41477</v>
      </c>
      <c r="E11" s="279">
        <v>1</v>
      </c>
      <c r="F11" s="55">
        <f t="shared" si="1"/>
        <v>95</v>
      </c>
    </row>
    <row r="12" spans="1:11" x14ac:dyDescent="0.25">
      <c r="A12" s="277" t="s">
        <v>243</v>
      </c>
      <c r="B12" s="278" t="s">
        <v>248</v>
      </c>
      <c r="C12" s="278" t="s">
        <v>197</v>
      </c>
      <c r="D12" s="315">
        <v>41477</v>
      </c>
      <c r="E12" s="279">
        <v>3</v>
      </c>
      <c r="F12" s="55">
        <f t="shared" si="1"/>
        <v>95</v>
      </c>
    </row>
    <row r="13" spans="1:11" x14ac:dyDescent="0.25">
      <c r="A13" s="277" t="s">
        <v>243</v>
      </c>
      <c r="B13" s="278" t="s">
        <v>248</v>
      </c>
      <c r="C13" s="278" t="s">
        <v>202</v>
      </c>
      <c r="D13" s="315">
        <v>41477</v>
      </c>
      <c r="E13" s="279">
        <v>3</v>
      </c>
      <c r="F13" s="55">
        <f t="shared" si="1"/>
        <v>95</v>
      </c>
    </row>
    <row r="14" spans="1:11" x14ac:dyDescent="0.25">
      <c r="A14" s="277" t="s">
        <v>251</v>
      </c>
      <c r="B14" s="278" t="s">
        <v>252</v>
      </c>
      <c r="C14" s="278" t="s">
        <v>202</v>
      </c>
      <c r="D14" s="315">
        <v>41477</v>
      </c>
      <c r="E14" s="279">
        <v>4</v>
      </c>
      <c r="F14" s="55">
        <f t="shared" si="1"/>
        <v>95</v>
      </c>
    </row>
    <row r="15" spans="1:11" x14ac:dyDescent="0.25">
      <c r="A15" s="277" t="s">
        <v>251</v>
      </c>
      <c r="B15" s="278" t="s">
        <v>252</v>
      </c>
      <c r="C15" s="278" t="s">
        <v>197</v>
      </c>
      <c r="D15" s="315">
        <v>41477</v>
      </c>
      <c r="E15" s="279">
        <v>4</v>
      </c>
      <c r="F15" s="55">
        <f t="shared" si="1"/>
        <v>95</v>
      </c>
    </row>
    <row r="16" spans="1:11" x14ac:dyDescent="0.25">
      <c r="A16" s="277" t="s">
        <v>253</v>
      </c>
      <c r="B16" s="278" t="s">
        <v>254</v>
      </c>
      <c r="C16" s="278" t="s">
        <v>202</v>
      </c>
      <c r="D16" s="315">
        <v>41477</v>
      </c>
      <c r="E16" s="279">
        <v>4</v>
      </c>
      <c r="F16" s="55">
        <f t="shared" si="1"/>
        <v>95</v>
      </c>
    </row>
    <row r="17" spans="1:7" x14ac:dyDescent="0.25">
      <c r="A17" s="277" t="s">
        <v>253</v>
      </c>
      <c r="B17" s="278" t="s">
        <v>254</v>
      </c>
      <c r="C17" s="278" t="s">
        <v>197</v>
      </c>
      <c r="D17" s="315">
        <v>41477</v>
      </c>
      <c r="E17" s="279">
        <v>4</v>
      </c>
      <c r="F17" s="55">
        <f t="shared" si="1"/>
        <v>95</v>
      </c>
    </row>
    <row r="18" spans="1:7" x14ac:dyDescent="0.25">
      <c r="A18" s="277" t="s">
        <v>255</v>
      </c>
      <c r="B18" s="278" t="s">
        <v>256</v>
      </c>
      <c r="C18" s="278" t="s">
        <v>197</v>
      </c>
      <c r="D18" s="315">
        <v>41478</v>
      </c>
      <c r="E18" s="279">
        <v>8</v>
      </c>
      <c r="F18" s="55">
        <f t="shared" si="1"/>
        <v>95</v>
      </c>
      <c r="G18" s="318"/>
    </row>
    <row r="19" spans="1:7" x14ac:dyDescent="0.25">
      <c r="A19" s="277" t="s">
        <v>255</v>
      </c>
      <c r="B19" s="278" t="s">
        <v>256</v>
      </c>
      <c r="C19" s="278" t="s">
        <v>202</v>
      </c>
      <c r="D19" s="315">
        <v>41478</v>
      </c>
      <c r="E19" s="279">
        <v>10</v>
      </c>
      <c r="F19" s="55">
        <f t="shared" si="1"/>
        <v>95</v>
      </c>
    </row>
    <row r="20" spans="1:7" x14ac:dyDescent="0.25">
      <c r="A20" s="277" t="s">
        <v>255</v>
      </c>
      <c r="B20" s="278" t="s">
        <v>256</v>
      </c>
      <c r="C20" s="278" t="s">
        <v>198</v>
      </c>
      <c r="D20" s="315">
        <v>41478</v>
      </c>
      <c r="E20" s="279">
        <v>3</v>
      </c>
      <c r="F20" s="55">
        <f t="shared" si="1"/>
        <v>95</v>
      </c>
    </row>
    <row r="21" spans="1:7" x14ac:dyDescent="0.25">
      <c r="A21" s="277" t="s">
        <v>257</v>
      </c>
      <c r="B21" s="278" t="s">
        <v>258</v>
      </c>
      <c r="C21" s="278" t="s">
        <v>197</v>
      </c>
      <c r="D21" s="315">
        <v>41478</v>
      </c>
      <c r="E21" s="279">
        <v>5</v>
      </c>
      <c r="F21" s="55">
        <f t="shared" si="1"/>
        <v>95</v>
      </c>
    </row>
    <row r="22" spans="1:7" x14ac:dyDescent="0.25">
      <c r="A22" s="277" t="s">
        <v>257</v>
      </c>
      <c r="B22" s="278" t="s">
        <v>258</v>
      </c>
      <c r="C22" s="278" t="s">
        <v>202</v>
      </c>
      <c r="D22" s="315">
        <v>41478</v>
      </c>
      <c r="E22" s="279">
        <v>5</v>
      </c>
      <c r="F22" s="55">
        <f t="shared" si="1"/>
        <v>95</v>
      </c>
    </row>
    <row r="23" spans="1:7" x14ac:dyDescent="0.25">
      <c r="A23" s="277" t="s">
        <v>243</v>
      </c>
      <c r="B23" s="278" t="s">
        <v>248</v>
      </c>
      <c r="C23" s="278" t="s">
        <v>197</v>
      </c>
      <c r="D23" s="315">
        <v>41478</v>
      </c>
      <c r="E23" s="279">
        <v>5</v>
      </c>
      <c r="F23" s="55">
        <f t="shared" si="1"/>
        <v>95</v>
      </c>
    </row>
    <row r="24" spans="1:7" x14ac:dyDescent="0.25">
      <c r="A24" s="277" t="s">
        <v>243</v>
      </c>
      <c r="B24" s="278" t="s">
        <v>248</v>
      </c>
      <c r="C24" s="278" t="s">
        <v>202</v>
      </c>
      <c r="D24" s="315">
        <v>41478</v>
      </c>
      <c r="E24" s="279">
        <v>5</v>
      </c>
      <c r="F24" s="55">
        <f t="shared" si="1"/>
        <v>95</v>
      </c>
    </row>
    <row r="25" spans="1:7" x14ac:dyDescent="0.25">
      <c r="A25" s="277" t="s">
        <v>259</v>
      </c>
      <c r="B25" s="278" t="s">
        <v>260</v>
      </c>
      <c r="C25" s="278" t="s">
        <v>197</v>
      </c>
      <c r="D25" s="315">
        <v>41478</v>
      </c>
      <c r="E25" s="279">
        <v>7</v>
      </c>
      <c r="F25" s="55">
        <f t="shared" si="1"/>
        <v>95</v>
      </c>
    </row>
    <row r="26" spans="1:7" x14ac:dyDescent="0.25">
      <c r="A26" s="277" t="s">
        <v>259</v>
      </c>
      <c r="B26" s="278" t="s">
        <v>260</v>
      </c>
      <c r="C26" s="278" t="s">
        <v>202</v>
      </c>
      <c r="D26" s="315">
        <v>41478</v>
      </c>
      <c r="E26" s="279">
        <v>7</v>
      </c>
      <c r="F26" s="55">
        <f t="shared" si="1"/>
        <v>95</v>
      </c>
    </row>
    <row r="27" spans="1:7" x14ac:dyDescent="0.25">
      <c r="A27" s="277" t="s">
        <v>251</v>
      </c>
      <c r="B27" s="278" t="s">
        <v>252</v>
      </c>
      <c r="C27" s="278" t="s">
        <v>202</v>
      </c>
      <c r="D27" s="315">
        <v>41478</v>
      </c>
      <c r="E27" s="279">
        <v>4</v>
      </c>
      <c r="F27" s="55">
        <f t="shared" si="1"/>
        <v>95</v>
      </c>
    </row>
    <row r="28" spans="1:7" x14ac:dyDescent="0.25">
      <c r="A28" s="277" t="s">
        <v>251</v>
      </c>
      <c r="B28" s="278" t="s">
        <v>252</v>
      </c>
      <c r="C28" s="278" t="s">
        <v>197</v>
      </c>
      <c r="D28" s="315">
        <v>41478</v>
      </c>
      <c r="E28" s="279">
        <v>4</v>
      </c>
      <c r="F28" s="55">
        <f t="shared" si="1"/>
        <v>95</v>
      </c>
    </row>
    <row r="29" spans="1:7" x14ac:dyDescent="0.25">
      <c r="A29" s="277" t="s">
        <v>253</v>
      </c>
      <c r="B29" s="278" t="s">
        <v>254</v>
      </c>
      <c r="C29" s="278" t="s">
        <v>197</v>
      </c>
      <c r="D29" s="315">
        <v>41479</v>
      </c>
      <c r="E29" s="279">
        <v>5</v>
      </c>
      <c r="F29" s="55">
        <f t="shared" si="1"/>
        <v>95</v>
      </c>
    </row>
    <row r="30" spans="1:7" x14ac:dyDescent="0.25">
      <c r="A30" s="277" t="s">
        <v>253</v>
      </c>
      <c r="B30" s="278" t="s">
        <v>254</v>
      </c>
      <c r="C30" s="278" t="s">
        <v>202</v>
      </c>
      <c r="D30" s="315">
        <v>41479</v>
      </c>
      <c r="E30" s="279">
        <v>5</v>
      </c>
      <c r="F30" s="55">
        <f t="shared" si="1"/>
        <v>95</v>
      </c>
    </row>
    <row r="31" spans="1:7" x14ac:dyDescent="0.25">
      <c r="A31" s="277" t="s">
        <v>251</v>
      </c>
      <c r="B31" s="278" t="s">
        <v>252</v>
      </c>
      <c r="C31" s="278" t="s">
        <v>202</v>
      </c>
      <c r="D31" s="315">
        <v>41479</v>
      </c>
      <c r="E31" s="279">
        <v>1</v>
      </c>
      <c r="F31" s="55">
        <f t="shared" si="1"/>
        <v>95</v>
      </c>
    </row>
    <row r="32" spans="1:7" x14ac:dyDescent="0.25">
      <c r="A32" s="277" t="s">
        <v>251</v>
      </c>
      <c r="B32" s="278" t="s">
        <v>252</v>
      </c>
      <c r="C32" s="278" t="s">
        <v>197</v>
      </c>
      <c r="D32" s="315">
        <v>41479</v>
      </c>
      <c r="E32" s="279">
        <v>1</v>
      </c>
      <c r="F32" s="55">
        <f t="shared" si="1"/>
        <v>95</v>
      </c>
    </row>
    <row r="33" spans="1:6" x14ac:dyDescent="0.25">
      <c r="A33" s="277" t="s">
        <v>261</v>
      </c>
      <c r="B33" s="278" t="s">
        <v>262</v>
      </c>
      <c r="C33" s="278" t="s">
        <v>202</v>
      </c>
      <c r="D33" s="315">
        <v>41479</v>
      </c>
      <c r="E33" s="279">
        <v>8</v>
      </c>
      <c r="F33" s="55">
        <f t="shared" si="1"/>
        <v>95</v>
      </c>
    </row>
    <row r="34" spans="1:6" x14ac:dyDescent="0.25">
      <c r="A34" s="277" t="s">
        <v>261</v>
      </c>
      <c r="B34" s="278" t="s">
        <v>262</v>
      </c>
      <c r="C34" s="278" t="s">
        <v>197</v>
      </c>
      <c r="D34" s="315">
        <v>41479</v>
      </c>
      <c r="E34" s="279">
        <v>8</v>
      </c>
      <c r="F34" s="55">
        <f t="shared" si="1"/>
        <v>95</v>
      </c>
    </row>
    <row r="35" spans="1:6" x14ac:dyDescent="0.25">
      <c r="A35" s="277" t="s">
        <v>257</v>
      </c>
      <c r="B35" s="278" t="s">
        <v>258</v>
      </c>
      <c r="C35" s="278" t="s">
        <v>202</v>
      </c>
      <c r="D35" s="315">
        <v>41480</v>
      </c>
      <c r="E35" s="279">
        <v>4</v>
      </c>
      <c r="F35" s="55">
        <f t="shared" si="1"/>
        <v>95</v>
      </c>
    </row>
    <row r="36" spans="1:6" x14ac:dyDescent="0.25">
      <c r="A36" s="277" t="s">
        <v>257</v>
      </c>
      <c r="B36" s="278" t="s">
        <v>258</v>
      </c>
      <c r="C36" s="278" t="s">
        <v>197</v>
      </c>
      <c r="D36" s="315">
        <v>41480</v>
      </c>
      <c r="E36" s="279">
        <v>4</v>
      </c>
      <c r="F36" s="55">
        <f t="shared" si="1"/>
        <v>95</v>
      </c>
    </row>
    <row r="37" spans="1:6" x14ac:dyDescent="0.25">
      <c r="A37" s="277" t="s">
        <v>243</v>
      </c>
      <c r="B37" s="278" t="s">
        <v>248</v>
      </c>
      <c r="C37" s="278" t="s">
        <v>198</v>
      </c>
      <c r="D37" s="315">
        <v>41480</v>
      </c>
      <c r="E37" s="279">
        <v>1</v>
      </c>
      <c r="F37" s="55">
        <f t="shared" si="1"/>
        <v>95</v>
      </c>
    </row>
    <row r="38" spans="1:6" x14ac:dyDescent="0.25">
      <c r="A38" s="277" t="s">
        <v>243</v>
      </c>
      <c r="B38" s="278" t="s">
        <v>248</v>
      </c>
      <c r="C38" s="278" t="s">
        <v>197</v>
      </c>
      <c r="D38" s="315">
        <v>41480</v>
      </c>
      <c r="E38" s="279">
        <v>1</v>
      </c>
      <c r="F38" s="55">
        <f t="shared" si="1"/>
        <v>95</v>
      </c>
    </row>
    <row r="39" spans="1:6" x14ac:dyDescent="0.25">
      <c r="A39" s="277" t="s">
        <v>243</v>
      </c>
      <c r="B39" s="278" t="s">
        <v>248</v>
      </c>
      <c r="C39" s="278" t="s">
        <v>202</v>
      </c>
      <c r="D39" s="315">
        <v>41480</v>
      </c>
      <c r="E39" s="279">
        <v>2</v>
      </c>
      <c r="F39" s="55">
        <f t="shared" si="1"/>
        <v>95</v>
      </c>
    </row>
    <row r="40" spans="1:6" x14ac:dyDescent="0.25">
      <c r="A40" s="277" t="s">
        <v>251</v>
      </c>
      <c r="B40" s="278" t="s">
        <v>252</v>
      </c>
      <c r="C40" s="278" t="s">
        <v>202</v>
      </c>
      <c r="D40" s="315">
        <v>41480</v>
      </c>
      <c r="E40" s="279">
        <v>1</v>
      </c>
      <c r="F40" s="55">
        <f t="shared" si="1"/>
        <v>95</v>
      </c>
    </row>
    <row r="41" spans="1:6" x14ac:dyDescent="0.25">
      <c r="A41" s="277" t="s">
        <v>251</v>
      </c>
      <c r="B41" s="278" t="s">
        <v>252</v>
      </c>
      <c r="C41" s="278" t="s">
        <v>197</v>
      </c>
      <c r="D41" s="315">
        <v>41480</v>
      </c>
      <c r="E41" s="279">
        <v>1</v>
      </c>
      <c r="F41" s="55">
        <f t="shared" si="1"/>
        <v>95</v>
      </c>
    </row>
    <row r="42" spans="1:6" x14ac:dyDescent="0.25">
      <c r="A42" s="277" t="s">
        <v>259</v>
      </c>
      <c r="B42" s="278" t="s">
        <v>260</v>
      </c>
      <c r="C42" s="278" t="s">
        <v>197</v>
      </c>
      <c r="D42" s="315">
        <v>41480</v>
      </c>
      <c r="E42" s="279">
        <v>2</v>
      </c>
      <c r="F42" s="55">
        <f t="shared" si="1"/>
        <v>95</v>
      </c>
    </row>
    <row r="43" spans="1:6" x14ac:dyDescent="0.25">
      <c r="A43" s="277" t="s">
        <v>259</v>
      </c>
      <c r="B43" s="278" t="s">
        <v>260</v>
      </c>
      <c r="C43" s="278" t="s">
        <v>202</v>
      </c>
      <c r="D43" s="315">
        <v>41480</v>
      </c>
      <c r="E43" s="279">
        <v>2</v>
      </c>
      <c r="F43" s="55">
        <f t="shared" si="1"/>
        <v>95</v>
      </c>
    </row>
    <row r="44" spans="1:6" x14ac:dyDescent="0.25">
      <c r="A44" s="277" t="s">
        <v>263</v>
      </c>
      <c r="B44" s="278" t="s">
        <v>264</v>
      </c>
      <c r="C44" s="278" t="s">
        <v>197</v>
      </c>
      <c r="D44" s="315">
        <v>41481</v>
      </c>
      <c r="E44" s="279">
        <v>10</v>
      </c>
      <c r="F44" s="55">
        <f t="shared" si="1"/>
        <v>95</v>
      </c>
    </row>
    <row r="45" spans="1:6" x14ac:dyDescent="0.25">
      <c r="A45" s="277" t="s">
        <v>263</v>
      </c>
      <c r="B45" s="278" t="s">
        <v>264</v>
      </c>
      <c r="C45" s="278" t="s">
        <v>202</v>
      </c>
      <c r="D45" s="315">
        <v>41481</v>
      </c>
      <c r="E45" s="279">
        <v>10</v>
      </c>
      <c r="F45" s="55">
        <f t="shared" si="1"/>
        <v>95</v>
      </c>
    </row>
    <row r="46" spans="1:6" x14ac:dyDescent="0.25">
      <c r="A46" s="277" t="s">
        <v>259</v>
      </c>
      <c r="B46" s="278" t="s">
        <v>260</v>
      </c>
      <c r="C46" s="278" t="s">
        <v>202</v>
      </c>
      <c r="D46" s="315">
        <v>41481</v>
      </c>
      <c r="E46" s="279">
        <v>1</v>
      </c>
      <c r="F46" s="55">
        <f t="shared" si="1"/>
        <v>95</v>
      </c>
    </row>
    <row r="47" spans="1:6" x14ac:dyDescent="0.25">
      <c r="A47" s="277" t="s">
        <v>259</v>
      </c>
      <c r="B47" s="278" t="s">
        <v>260</v>
      </c>
      <c r="C47" s="278" t="s">
        <v>197</v>
      </c>
      <c r="D47" s="315">
        <v>41481</v>
      </c>
      <c r="E47" s="279">
        <v>1</v>
      </c>
      <c r="F47" s="55">
        <f t="shared" si="1"/>
        <v>95</v>
      </c>
    </row>
    <row r="48" spans="1:6" x14ac:dyDescent="0.25">
      <c r="A48" s="277" t="s">
        <v>265</v>
      </c>
      <c r="B48" s="278" t="s">
        <v>266</v>
      </c>
      <c r="C48" s="278" t="s">
        <v>202</v>
      </c>
      <c r="D48" s="315">
        <v>41481</v>
      </c>
      <c r="E48" s="279">
        <v>7</v>
      </c>
      <c r="F48" s="55">
        <f t="shared" si="1"/>
        <v>95</v>
      </c>
    </row>
    <row r="49" spans="1:6" x14ac:dyDescent="0.25">
      <c r="A49" s="277" t="s">
        <v>265</v>
      </c>
      <c r="B49" s="278" t="s">
        <v>266</v>
      </c>
      <c r="C49" s="278" t="s">
        <v>197</v>
      </c>
      <c r="D49" s="315">
        <v>41481</v>
      </c>
      <c r="E49" s="279">
        <v>3</v>
      </c>
      <c r="F49" s="55">
        <f t="shared" si="1"/>
        <v>95</v>
      </c>
    </row>
    <row r="50" spans="1:6" x14ac:dyDescent="0.25">
      <c r="A50" s="277" t="s">
        <v>265</v>
      </c>
      <c r="B50" s="278" t="s">
        <v>266</v>
      </c>
      <c r="C50" s="278" t="s">
        <v>198</v>
      </c>
      <c r="D50" s="315">
        <v>41481</v>
      </c>
      <c r="E50" s="279">
        <v>2</v>
      </c>
      <c r="F50" s="55">
        <f t="shared" si="1"/>
        <v>95</v>
      </c>
    </row>
    <row r="51" spans="1:6" x14ac:dyDescent="0.25">
      <c r="A51" s="277" t="s">
        <v>265</v>
      </c>
      <c r="B51" s="278" t="s">
        <v>266</v>
      </c>
      <c r="C51" s="278" t="s">
        <v>203</v>
      </c>
      <c r="D51" s="315">
        <v>41481</v>
      </c>
      <c r="E51" s="279">
        <v>1</v>
      </c>
      <c r="F51" s="55">
        <f t="shared" si="1"/>
        <v>95</v>
      </c>
    </row>
    <row r="52" spans="1:6" x14ac:dyDescent="0.25">
      <c r="A52" s="277" t="s">
        <v>265</v>
      </c>
      <c r="B52" s="278" t="s">
        <v>266</v>
      </c>
      <c r="C52" s="278" t="s">
        <v>197</v>
      </c>
      <c r="D52" s="315">
        <v>41482</v>
      </c>
      <c r="E52" s="279">
        <v>14</v>
      </c>
      <c r="F52" s="55">
        <f t="shared" si="1"/>
        <v>96</v>
      </c>
    </row>
    <row r="53" spans="1:6" x14ac:dyDescent="0.25">
      <c r="A53" s="277" t="s">
        <v>265</v>
      </c>
      <c r="B53" s="278" t="s">
        <v>266</v>
      </c>
      <c r="C53" s="278" t="s">
        <v>202</v>
      </c>
      <c r="D53" s="315">
        <v>41482</v>
      </c>
      <c r="E53" s="279">
        <v>17</v>
      </c>
      <c r="F53" s="55">
        <f t="shared" si="1"/>
        <v>96</v>
      </c>
    </row>
    <row r="54" spans="1:6" x14ac:dyDescent="0.25">
      <c r="A54" s="277" t="s">
        <v>267</v>
      </c>
      <c r="B54" s="278" t="s">
        <v>268</v>
      </c>
      <c r="C54" s="278" t="s">
        <v>198</v>
      </c>
      <c r="D54" s="315">
        <v>41482</v>
      </c>
      <c r="E54" s="279">
        <v>3</v>
      </c>
      <c r="F54" s="55">
        <f t="shared" si="1"/>
        <v>96</v>
      </c>
    </row>
    <row r="55" spans="1:6" x14ac:dyDescent="0.25">
      <c r="A55" s="277" t="s">
        <v>267</v>
      </c>
      <c r="B55" s="278" t="s">
        <v>268</v>
      </c>
      <c r="C55" s="278" t="s">
        <v>197</v>
      </c>
      <c r="D55" s="315">
        <v>41482</v>
      </c>
      <c r="E55" s="279">
        <v>4</v>
      </c>
      <c r="F55" s="55">
        <f t="shared" si="1"/>
        <v>96</v>
      </c>
    </row>
    <row r="56" spans="1:6" x14ac:dyDescent="0.25">
      <c r="A56" s="277" t="s">
        <v>267</v>
      </c>
      <c r="B56" s="278" t="s">
        <v>268</v>
      </c>
      <c r="C56" s="278" t="s">
        <v>202</v>
      </c>
      <c r="D56" s="315">
        <v>41482</v>
      </c>
      <c r="E56" s="279">
        <v>5</v>
      </c>
      <c r="F56" s="55">
        <f t="shared" si="1"/>
        <v>96</v>
      </c>
    </row>
    <row r="57" spans="1:6" x14ac:dyDescent="0.25">
      <c r="A57" s="277" t="s">
        <v>265</v>
      </c>
      <c r="B57" s="278" t="s">
        <v>266</v>
      </c>
      <c r="C57" s="278" t="s">
        <v>198</v>
      </c>
      <c r="D57" s="315">
        <v>41482</v>
      </c>
      <c r="E57" s="279">
        <v>1</v>
      </c>
      <c r="F57" s="55">
        <f t="shared" si="1"/>
        <v>96</v>
      </c>
    </row>
    <row r="58" spans="1:6" x14ac:dyDescent="0.25">
      <c r="A58" s="277" t="s">
        <v>269</v>
      </c>
      <c r="B58" s="278" t="s">
        <v>270</v>
      </c>
      <c r="C58" s="278" t="s">
        <v>202</v>
      </c>
      <c r="D58" s="315">
        <v>41482</v>
      </c>
      <c r="E58" s="279">
        <v>3</v>
      </c>
      <c r="F58" s="55">
        <f t="shared" si="1"/>
        <v>96</v>
      </c>
    </row>
    <row r="59" spans="1:6" x14ac:dyDescent="0.25">
      <c r="A59" s="277" t="s">
        <v>269</v>
      </c>
      <c r="B59" s="278" t="s">
        <v>270</v>
      </c>
      <c r="C59" s="278" t="s">
        <v>197</v>
      </c>
      <c r="D59" s="315">
        <v>41482</v>
      </c>
      <c r="E59" s="279">
        <v>2</v>
      </c>
      <c r="F59" s="55">
        <f t="shared" si="1"/>
        <v>96</v>
      </c>
    </row>
    <row r="60" spans="1:6" x14ac:dyDescent="0.25">
      <c r="A60" s="277" t="s">
        <v>259</v>
      </c>
      <c r="B60" s="278" t="s">
        <v>260</v>
      </c>
      <c r="C60" s="278" t="s">
        <v>197</v>
      </c>
      <c r="D60" s="315">
        <v>41482</v>
      </c>
      <c r="E60" s="279">
        <v>9</v>
      </c>
      <c r="F60" s="55">
        <f t="shared" si="1"/>
        <v>96</v>
      </c>
    </row>
    <row r="61" spans="1:6" x14ac:dyDescent="0.25">
      <c r="A61" s="277" t="s">
        <v>259</v>
      </c>
      <c r="B61" s="278" t="s">
        <v>260</v>
      </c>
      <c r="C61" s="278" t="s">
        <v>202</v>
      </c>
      <c r="D61" s="315">
        <v>41482</v>
      </c>
      <c r="E61" s="279">
        <v>9</v>
      </c>
      <c r="F61" s="55">
        <f t="shared" si="1"/>
        <v>96</v>
      </c>
    </row>
    <row r="62" spans="1:6" x14ac:dyDescent="0.25">
      <c r="A62" s="277" t="s">
        <v>269</v>
      </c>
      <c r="B62" s="278" t="s">
        <v>270</v>
      </c>
      <c r="C62" s="278" t="s">
        <v>198</v>
      </c>
      <c r="D62" s="315">
        <v>41482</v>
      </c>
      <c r="E62" s="279">
        <v>1</v>
      </c>
      <c r="F62" s="55">
        <f t="shared" si="1"/>
        <v>96</v>
      </c>
    </row>
    <row r="63" spans="1:6" x14ac:dyDescent="0.25">
      <c r="A63" s="277" t="s">
        <v>271</v>
      </c>
      <c r="B63" s="278" t="s">
        <v>272</v>
      </c>
      <c r="C63" s="278" t="s">
        <v>197</v>
      </c>
      <c r="D63" s="315">
        <v>41482</v>
      </c>
      <c r="E63" s="279">
        <v>13</v>
      </c>
      <c r="F63" s="55">
        <f t="shared" si="1"/>
        <v>96</v>
      </c>
    </row>
    <row r="64" spans="1:6" x14ac:dyDescent="0.25">
      <c r="A64" s="277" t="s">
        <v>271</v>
      </c>
      <c r="B64" s="278" t="s">
        <v>272</v>
      </c>
      <c r="C64" s="278" t="s">
        <v>202</v>
      </c>
      <c r="D64" s="315">
        <v>41482</v>
      </c>
      <c r="E64" s="279">
        <v>14</v>
      </c>
      <c r="F64" s="55">
        <f t="shared" si="1"/>
        <v>96</v>
      </c>
    </row>
    <row r="65" spans="1:6" x14ac:dyDescent="0.25">
      <c r="A65" s="277" t="s">
        <v>271</v>
      </c>
      <c r="B65" s="278" t="s">
        <v>272</v>
      </c>
      <c r="C65" s="278" t="s">
        <v>198</v>
      </c>
      <c r="D65" s="315">
        <v>41482</v>
      </c>
      <c r="E65" s="279">
        <v>2</v>
      </c>
      <c r="F65" s="55">
        <f t="shared" si="1"/>
        <v>96</v>
      </c>
    </row>
    <row r="66" spans="1:6" x14ac:dyDescent="0.25">
      <c r="A66" s="277" t="s">
        <v>271</v>
      </c>
      <c r="B66" s="278" t="s">
        <v>272</v>
      </c>
      <c r="C66" s="278" t="s">
        <v>203</v>
      </c>
      <c r="D66" s="315">
        <v>41482</v>
      </c>
      <c r="E66" s="279">
        <v>1</v>
      </c>
      <c r="F66" s="55">
        <f t="shared" si="1"/>
        <v>96</v>
      </c>
    </row>
    <row r="67" spans="1:6" x14ac:dyDescent="0.25">
      <c r="A67" s="277" t="s">
        <v>257</v>
      </c>
      <c r="B67" s="278" t="s">
        <v>258</v>
      </c>
      <c r="C67" s="278" t="s">
        <v>202</v>
      </c>
      <c r="D67" s="315">
        <v>41482</v>
      </c>
      <c r="E67" s="279">
        <v>2</v>
      </c>
      <c r="F67" s="55">
        <f t="shared" si="1"/>
        <v>96</v>
      </c>
    </row>
    <row r="68" spans="1:6" x14ac:dyDescent="0.25">
      <c r="A68" s="277" t="s">
        <v>257</v>
      </c>
      <c r="B68" s="278" t="s">
        <v>258</v>
      </c>
      <c r="C68" s="278" t="s">
        <v>197</v>
      </c>
      <c r="D68" s="315">
        <v>41482</v>
      </c>
      <c r="E68" s="279">
        <v>2</v>
      </c>
      <c r="F68" s="55">
        <f t="shared" si="1"/>
        <v>96</v>
      </c>
    </row>
    <row r="69" spans="1:6" x14ac:dyDescent="0.25">
      <c r="A69" s="277" t="s">
        <v>243</v>
      </c>
      <c r="B69" s="278" t="s">
        <v>248</v>
      </c>
      <c r="C69" s="278" t="s">
        <v>197</v>
      </c>
      <c r="D69" s="315">
        <v>41482</v>
      </c>
      <c r="E69" s="279">
        <v>11</v>
      </c>
      <c r="F69" s="55">
        <f t="shared" si="1"/>
        <v>96</v>
      </c>
    </row>
    <row r="70" spans="1:6" x14ac:dyDescent="0.25">
      <c r="A70" s="277" t="s">
        <v>243</v>
      </c>
      <c r="B70" s="278" t="s">
        <v>248</v>
      </c>
      <c r="C70" s="278" t="s">
        <v>202</v>
      </c>
      <c r="D70" s="315">
        <v>41482</v>
      </c>
      <c r="E70" s="279">
        <v>11</v>
      </c>
      <c r="F70" s="55">
        <f t="shared" si="1"/>
        <v>96</v>
      </c>
    </row>
    <row r="71" spans="1:6" x14ac:dyDescent="0.25">
      <c r="A71" s="277" t="s">
        <v>273</v>
      </c>
      <c r="B71" s="278" t="s">
        <v>274</v>
      </c>
      <c r="C71" s="278" t="s">
        <v>202</v>
      </c>
      <c r="D71" s="315">
        <v>41482</v>
      </c>
      <c r="E71" s="279">
        <v>1</v>
      </c>
      <c r="F71" s="55">
        <f t="shared" si="1"/>
        <v>96</v>
      </c>
    </row>
    <row r="72" spans="1:6" x14ac:dyDescent="0.25">
      <c r="A72" s="277" t="s">
        <v>273</v>
      </c>
      <c r="B72" s="278" t="s">
        <v>274</v>
      </c>
      <c r="C72" s="278" t="s">
        <v>197</v>
      </c>
      <c r="D72" s="315">
        <v>41482</v>
      </c>
      <c r="E72" s="279">
        <v>1</v>
      </c>
      <c r="F72" s="55">
        <f t="shared" si="1"/>
        <v>96</v>
      </c>
    </row>
    <row r="73" spans="1:6" x14ac:dyDescent="0.25">
      <c r="A73" s="277" t="s">
        <v>42</v>
      </c>
      <c r="B73" s="278" t="s">
        <v>41</v>
      </c>
      <c r="C73" s="278" t="s">
        <v>202</v>
      </c>
      <c r="D73" s="315">
        <v>41483</v>
      </c>
      <c r="E73" s="279">
        <v>3</v>
      </c>
      <c r="F73" s="55">
        <f t="shared" si="1"/>
        <v>96</v>
      </c>
    </row>
    <row r="74" spans="1:6" x14ac:dyDescent="0.25">
      <c r="A74" s="277" t="s">
        <v>42</v>
      </c>
      <c r="B74" s="278" t="s">
        <v>41</v>
      </c>
      <c r="C74" s="278" t="s">
        <v>197</v>
      </c>
      <c r="D74" s="315">
        <v>41483</v>
      </c>
      <c r="E74" s="279">
        <v>2</v>
      </c>
      <c r="F74" s="55">
        <f t="shared" ref="F74:F137" si="2">TRUNC((D74-start)/7,0)+1</f>
        <v>96</v>
      </c>
    </row>
    <row r="75" spans="1:6" x14ac:dyDescent="0.25">
      <c r="A75" s="277" t="s">
        <v>42</v>
      </c>
      <c r="B75" s="278" t="s">
        <v>41</v>
      </c>
      <c r="C75" s="278" t="s">
        <v>198</v>
      </c>
      <c r="D75" s="315">
        <v>41483</v>
      </c>
      <c r="E75" s="279">
        <v>1</v>
      </c>
      <c r="F75" s="55">
        <f t="shared" si="2"/>
        <v>96</v>
      </c>
    </row>
    <row r="76" spans="1:6" x14ac:dyDescent="0.25">
      <c r="A76" s="277" t="s">
        <v>275</v>
      </c>
      <c r="B76" s="278" t="s">
        <v>276</v>
      </c>
      <c r="C76" s="278" t="s">
        <v>198</v>
      </c>
      <c r="D76" s="315">
        <v>41483</v>
      </c>
      <c r="E76" s="279">
        <v>1</v>
      </c>
      <c r="F76" s="55">
        <f t="shared" si="2"/>
        <v>96</v>
      </c>
    </row>
    <row r="77" spans="1:6" x14ac:dyDescent="0.25">
      <c r="A77" s="277" t="s">
        <v>275</v>
      </c>
      <c r="B77" s="278" t="s">
        <v>276</v>
      </c>
      <c r="C77" s="278" t="s">
        <v>197</v>
      </c>
      <c r="D77" s="315">
        <v>41483</v>
      </c>
      <c r="E77" s="279">
        <v>1</v>
      </c>
      <c r="F77" s="55">
        <f t="shared" si="2"/>
        <v>96</v>
      </c>
    </row>
    <row r="78" spans="1:6" x14ac:dyDescent="0.25">
      <c r="A78" s="277" t="s">
        <v>275</v>
      </c>
      <c r="B78" s="278" t="s">
        <v>276</v>
      </c>
      <c r="C78" s="278" t="s">
        <v>202</v>
      </c>
      <c r="D78" s="315">
        <v>41483</v>
      </c>
      <c r="E78" s="279">
        <v>1</v>
      </c>
      <c r="F78" s="55">
        <f t="shared" si="2"/>
        <v>96</v>
      </c>
    </row>
    <row r="79" spans="1:6" x14ac:dyDescent="0.25">
      <c r="A79" s="277" t="s">
        <v>269</v>
      </c>
      <c r="B79" s="278" t="s">
        <v>270</v>
      </c>
      <c r="C79" s="278" t="s">
        <v>197</v>
      </c>
      <c r="D79" s="315">
        <v>41483</v>
      </c>
      <c r="E79" s="279">
        <v>3</v>
      </c>
      <c r="F79" s="55">
        <f t="shared" si="2"/>
        <v>96</v>
      </c>
    </row>
    <row r="80" spans="1:6" x14ac:dyDescent="0.25">
      <c r="A80" s="277" t="s">
        <v>269</v>
      </c>
      <c r="B80" s="278" t="s">
        <v>270</v>
      </c>
      <c r="C80" s="278" t="s">
        <v>202</v>
      </c>
      <c r="D80" s="315">
        <v>41483</v>
      </c>
      <c r="E80" s="279">
        <v>4</v>
      </c>
      <c r="F80" s="55">
        <f t="shared" si="2"/>
        <v>96</v>
      </c>
    </row>
    <row r="81" spans="1:6" x14ac:dyDescent="0.25">
      <c r="A81" s="277" t="s">
        <v>269</v>
      </c>
      <c r="B81" s="278" t="s">
        <v>270</v>
      </c>
      <c r="C81" s="278" t="s">
        <v>198</v>
      </c>
      <c r="D81" s="315">
        <v>41483</v>
      </c>
      <c r="E81" s="279">
        <v>2</v>
      </c>
      <c r="F81" s="55">
        <f t="shared" si="2"/>
        <v>96</v>
      </c>
    </row>
    <row r="82" spans="1:6" x14ac:dyDescent="0.25">
      <c r="A82" s="277" t="s">
        <v>243</v>
      </c>
      <c r="B82" s="278" t="s">
        <v>248</v>
      </c>
      <c r="C82" s="278" t="s">
        <v>202</v>
      </c>
      <c r="D82" s="315">
        <v>41483</v>
      </c>
      <c r="E82" s="279">
        <v>11</v>
      </c>
      <c r="F82" s="55">
        <f t="shared" si="2"/>
        <v>96</v>
      </c>
    </row>
    <row r="83" spans="1:6" x14ac:dyDescent="0.25">
      <c r="A83" s="277" t="s">
        <v>243</v>
      </c>
      <c r="B83" s="278" t="s">
        <v>248</v>
      </c>
      <c r="C83" s="278" t="s">
        <v>197</v>
      </c>
      <c r="D83" s="315">
        <v>41483</v>
      </c>
      <c r="E83" s="279">
        <v>11</v>
      </c>
      <c r="F83" s="55">
        <f t="shared" si="2"/>
        <v>96</v>
      </c>
    </row>
    <row r="84" spans="1:6" x14ac:dyDescent="0.25">
      <c r="A84" s="277" t="s">
        <v>255</v>
      </c>
      <c r="B84" s="278" t="s">
        <v>256</v>
      </c>
      <c r="C84" s="278" t="s">
        <v>202</v>
      </c>
      <c r="D84" s="315">
        <v>41483</v>
      </c>
      <c r="E84" s="279">
        <v>10</v>
      </c>
      <c r="F84" s="55">
        <f t="shared" si="2"/>
        <v>96</v>
      </c>
    </row>
    <row r="85" spans="1:6" x14ac:dyDescent="0.25">
      <c r="A85" s="277" t="s">
        <v>255</v>
      </c>
      <c r="B85" s="278" t="s">
        <v>256</v>
      </c>
      <c r="C85" s="278" t="s">
        <v>197</v>
      </c>
      <c r="D85" s="315">
        <v>41483</v>
      </c>
      <c r="E85" s="279">
        <v>10</v>
      </c>
      <c r="F85" s="55">
        <f t="shared" si="2"/>
        <v>96</v>
      </c>
    </row>
    <row r="86" spans="1:6" x14ac:dyDescent="0.25">
      <c r="A86" s="277" t="s">
        <v>265</v>
      </c>
      <c r="B86" s="278" t="s">
        <v>266</v>
      </c>
      <c r="C86" s="278" t="s">
        <v>197</v>
      </c>
      <c r="D86" s="315">
        <v>41483</v>
      </c>
      <c r="E86" s="279">
        <v>7</v>
      </c>
      <c r="F86" s="55">
        <f t="shared" si="2"/>
        <v>96</v>
      </c>
    </row>
    <row r="87" spans="1:6" x14ac:dyDescent="0.25">
      <c r="A87" s="277" t="s">
        <v>265</v>
      </c>
      <c r="B87" s="278" t="s">
        <v>266</v>
      </c>
      <c r="C87" s="278" t="s">
        <v>202</v>
      </c>
      <c r="D87" s="315">
        <v>41483</v>
      </c>
      <c r="E87" s="279">
        <v>7</v>
      </c>
      <c r="F87" s="55">
        <f t="shared" si="2"/>
        <v>96</v>
      </c>
    </row>
    <row r="88" spans="1:6" x14ac:dyDescent="0.25">
      <c r="A88" s="277" t="s">
        <v>277</v>
      </c>
      <c r="B88" s="278" t="s">
        <v>278</v>
      </c>
      <c r="C88" s="278" t="s">
        <v>202</v>
      </c>
      <c r="D88" s="315">
        <v>41483</v>
      </c>
      <c r="E88" s="279">
        <v>1</v>
      </c>
      <c r="F88" s="55">
        <f t="shared" si="2"/>
        <v>96</v>
      </c>
    </row>
    <row r="89" spans="1:6" x14ac:dyDescent="0.25">
      <c r="A89" s="277" t="s">
        <v>277</v>
      </c>
      <c r="B89" s="278" t="s">
        <v>278</v>
      </c>
      <c r="C89" s="278" t="s">
        <v>197</v>
      </c>
      <c r="D89" s="315">
        <v>41483</v>
      </c>
      <c r="E89" s="279">
        <v>1</v>
      </c>
      <c r="F89" s="55">
        <f t="shared" si="2"/>
        <v>96</v>
      </c>
    </row>
    <row r="90" spans="1:6" x14ac:dyDescent="0.25">
      <c r="A90" s="277" t="s">
        <v>267</v>
      </c>
      <c r="B90" s="278" t="s">
        <v>268</v>
      </c>
      <c r="C90" s="278" t="s">
        <v>202</v>
      </c>
      <c r="D90" s="315">
        <v>41483</v>
      </c>
      <c r="E90" s="279">
        <v>3</v>
      </c>
      <c r="F90" s="55">
        <f t="shared" si="2"/>
        <v>96</v>
      </c>
    </row>
    <row r="91" spans="1:6" x14ac:dyDescent="0.25">
      <c r="A91" s="277" t="s">
        <v>267</v>
      </c>
      <c r="B91" s="278" t="s">
        <v>268</v>
      </c>
      <c r="C91" s="278" t="s">
        <v>197</v>
      </c>
      <c r="D91" s="315">
        <v>41483</v>
      </c>
      <c r="E91" s="279">
        <v>2</v>
      </c>
      <c r="F91" s="55">
        <f t="shared" si="2"/>
        <v>96</v>
      </c>
    </row>
    <row r="92" spans="1:6" x14ac:dyDescent="0.25">
      <c r="A92" s="277" t="s">
        <v>259</v>
      </c>
      <c r="B92" s="278" t="s">
        <v>260</v>
      </c>
      <c r="C92" s="278" t="s">
        <v>197</v>
      </c>
      <c r="D92" s="315">
        <v>41483</v>
      </c>
      <c r="E92" s="279">
        <v>3</v>
      </c>
      <c r="F92" s="55">
        <f t="shared" si="2"/>
        <v>96</v>
      </c>
    </row>
    <row r="93" spans="1:6" x14ac:dyDescent="0.25">
      <c r="A93" s="277" t="s">
        <v>259</v>
      </c>
      <c r="B93" s="278" t="s">
        <v>260</v>
      </c>
      <c r="C93" s="278" t="s">
        <v>202</v>
      </c>
      <c r="D93" s="315">
        <v>41483</v>
      </c>
      <c r="E93" s="279">
        <v>3</v>
      </c>
      <c r="F93" s="55">
        <f t="shared" si="2"/>
        <v>96</v>
      </c>
    </row>
    <row r="94" spans="1:6" x14ac:dyDescent="0.25">
      <c r="A94" s="277" t="s">
        <v>267</v>
      </c>
      <c r="B94" s="278" t="s">
        <v>268</v>
      </c>
      <c r="C94" s="278" t="s">
        <v>198</v>
      </c>
      <c r="D94" s="315">
        <v>41483</v>
      </c>
      <c r="E94" s="279">
        <v>1</v>
      </c>
      <c r="F94" s="55">
        <f t="shared" si="2"/>
        <v>96</v>
      </c>
    </row>
    <row r="95" spans="1:6" x14ac:dyDescent="0.25">
      <c r="A95" s="277" t="s">
        <v>261</v>
      </c>
      <c r="B95" s="278" t="s">
        <v>262</v>
      </c>
      <c r="C95" s="278" t="s">
        <v>197</v>
      </c>
      <c r="D95" s="315">
        <v>41483</v>
      </c>
      <c r="E95" s="279">
        <v>5</v>
      </c>
      <c r="F95" s="55">
        <f t="shared" si="2"/>
        <v>96</v>
      </c>
    </row>
    <row r="96" spans="1:6" x14ac:dyDescent="0.25">
      <c r="A96" s="277" t="s">
        <v>261</v>
      </c>
      <c r="B96" s="278" t="s">
        <v>262</v>
      </c>
      <c r="C96" s="278" t="s">
        <v>202</v>
      </c>
      <c r="D96" s="315">
        <v>41483</v>
      </c>
      <c r="E96" s="279">
        <v>5</v>
      </c>
      <c r="F96" s="55">
        <f t="shared" si="2"/>
        <v>96</v>
      </c>
    </row>
    <row r="97" spans="1:6" x14ac:dyDescent="0.25">
      <c r="A97" s="277" t="s">
        <v>251</v>
      </c>
      <c r="B97" s="278" t="s">
        <v>252</v>
      </c>
      <c r="C97" s="278" t="s">
        <v>202</v>
      </c>
      <c r="D97" s="315">
        <v>41483</v>
      </c>
      <c r="E97" s="279">
        <v>17</v>
      </c>
      <c r="F97" s="55">
        <f t="shared" si="2"/>
        <v>96</v>
      </c>
    </row>
    <row r="98" spans="1:6" x14ac:dyDescent="0.25">
      <c r="A98" s="277" t="s">
        <v>251</v>
      </c>
      <c r="B98" s="278" t="s">
        <v>252</v>
      </c>
      <c r="C98" s="278" t="s">
        <v>197</v>
      </c>
      <c r="D98" s="315">
        <v>41483</v>
      </c>
      <c r="E98" s="279">
        <v>17</v>
      </c>
      <c r="F98" s="55">
        <f t="shared" si="2"/>
        <v>96</v>
      </c>
    </row>
    <row r="99" spans="1:6" x14ac:dyDescent="0.25">
      <c r="A99" s="277" t="s">
        <v>273</v>
      </c>
      <c r="B99" s="278" t="s">
        <v>274</v>
      </c>
      <c r="C99" s="278" t="s">
        <v>197</v>
      </c>
      <c r="D99" s="315">
        <v>41483</v>
      </c>
      <c r="E99" s="279">
        <v>20</v>
      </c>
      <c r="F99" s="55">
        <f t="shared" si="2"/>
        <v>96</v>
      </c>
    </row>
    <row r="100" spans="1:6" x14ac:dyDescent="0.25">
      <c r="A100" s="277" t="s">
        <v>273</v>
      </c>
      <c r="B100" s="278" t="s">
        <v>274</v>
      </c>
      <c r="C100" s="278" t="s">
        <v>202</v>
      </c>
      <c r="D100" s="315">
        <v>41483</v>
      </c>
      <c r="E100" s="279">
        <v>21</v>
      </c>
      <c r="F100" s="55">
        <f t="shared" si="2"/>
        <v>96</v>
      </c>
    </row>
    <row r="101" spans="1:6" x14ac:dyDescent="0.25">
      <c r="A101" s="277" t="s">
        <v>273</v>
      </c>
      <c r="B101" s="278" t="s">
        <v>274</v>
      </c>
      <c r="C101" s="278" t="s">
        <v>198</v>
      </c>
      <c r="D101" s="315">
        <v>41483</v>
      </c>
      <c r="E101" s="279">
        <v>1</v>
      </c>
      <c r="F101" s="55">
        <f t="shared" si="2"/>
        <v>96</v>
      </c>
    </row>
    <row r="102" spans="1:6" x14ac:dyDescent="0.25">
      <c r="A102" s="277" t="s">
        <v>271</v>
      </c>
      <c r="B102" s="278" t="s">
        <v>272</v>
      </c>
      <c r="C102" s="278" t="s">
        <v>197</v>
      </c>
      <c r="D102" s="315">
        <v>41483</v>
      </c>
      <c r="E102" s="279">
        <v>2</v>
      </c>
      <c r="F102" s="55">
        <f t="shared" si="2"/>
        <v>96</v>
      </c>
    </row>
    <row r="103" spans="1:6" x14ac:dyDescent="0.25">
      <c r="A103" s="277" t="s">
        <v>271</v>
      </c>
      <c r="B103" s="278" t="s">
        <v>272</v>
      </c>
      <c r="C103" s="278" t="s">
        <v>202</v>
      </c>
      <c r="D103" s="315">
        <v>41483</v>
      </c>
      <c r="E103" s="279">
        <v>3</v>
      </c>
      <c r="F103" s="55">
        <f t="shared" si="2"/>
        <v>96</v>
      </c>
    </row>
    <row r="104" spans="1:6" x14ac:dyDescent="0.25">
      <c r="A104" s="277" t="s">
        <v>271</v>
      </c>
      <c r="B104" s="278" t="s">
        <v>272</v>
      </c>
      <c r="C104" s="278" t="s">
        <v>198</v>
      </c>
      <c r="D104" s="315">
        <v>41483</v>
      </c>
      <c r="E104" s="279">
        <v>1</v>
      </c>
      <c r="F104" s="55">
        <f t="shared" si="2"/>
        <v>96</v>
      </c>
    </row>
    <row r="105" spans="1:6" x14ac:dyDescent="0.25">
      <c r="A105" s="277" t="s">
        <v>279</v>
      </c>
      <c r="B105" s="278" t="s">
        <v>280</v>
      </c>
      <c r="C105" s="278" t="s">
        <v>197</v>
      </c>
      <c r="D105" s="315">
        <v>41483</v>
      </c>
      <c r="E105" s="279">
        <v>1</v>
      </c>
      <c r="F105" s="55">
        <f t="shared" si="2"/>
        <v>96</v>
      </c>
    </row>
    <row r="106" spans="1:6" x14ac:dyDescent="0.25">
      <c r="A106" s="277" t="s">
        <v>279</v>
      </c>
      <c r="B106" s="278" t="s">
        <v>280</v>
      </c>
      <c r="C106" s="278" t="s">
        <v>202</v>
      </c>
      <c r="D106" s="315">
        <v>41483</v>
      </c>
      <c r="E106" s="279">
        <v>1</v>
      </c>
      <c r="F106" s="55">
        <f t="shared" si="2"/>
        <v>96</v>
      </c>
    </row>
    <row r="107" spans="1:6" x14ac:dyDescent="0.25">
      <c r="A107" s="277" t="s">
        <v>279</v>
      </c>
      <c r="B107" s="278" t="s">
        <v>280</v>
      </c>
      <c r="C107" s="278" t="s">
        <v>198</v>
      </c>
      <c r="D107" s="315">
        <v>41483</v>
      </c>
      <c r="E107" s="279">
        <v>1</v>
      </c>
      <c r="F107" s="55">
        <f t="shared" si="2"/>
        <v>96</v>
      </c>
    </row>
    <row r="108" spans="1:6" x14ac:dyDescent="0.25">
      <c r="A108" s="277" t="s">
        <v>255</v>
      </c>
      <c r="B108" s="278" t="s">
        <v>256</v>
      </c>
      <c r="C108" s="278" t="s">
        <v>198</v>
      </c>
      <c r="D108" s="315">
        <v>41483</v>
      </c>
      <c r="E108" s="279">
        <v>1</v>
      </c>
      <c r="F108" s="55">
        <f t="shared" si="2"/>
        <v>96</v>
      </c>
    </row>
    <row r="109" spans="1:6" x14ac:dyDescent="0.25">
      <c r="A109" s="277" t="s">
        <v>279</v>
      </c>
      <c r="B109" s="278" t="s">
        <v>280</v>
      </c>
      <c r="C109" s="278" t="s">
        <v>197</v>
      </c>
      <c r="D109" s="315">
        <v>41484</v>
      </c>
      <c r="E109" s="279">
        <v>2</v>
      </c>
      <c r="F109" s="55">
        <f t="shared" si="2"/>
        <v>96</v>
      </c>
    </row>
    <row r="110" spans="1:6" x14ac:dyDescent="0.25">
      <c r="A110" s="277" t="s">
        <v>279</v>
      </c>
      <c r="B110" s="278" t="s">
        <v>280</v>
      </c>
      <c r="C110" s="278" t="s">
        <v>202</v>
      </c>
      <c r="D110" s="315">
        <v>41484</v>
      </c>
      <c r="E110" s="279">
        <v>3</v>
      </c>
      <c r="F110" s="55">
        <f t="shared" si="2"/>
        <v>96</v>
      </c>
    </row>
    <row r="111" spans="1:6" x14ac:dyDescent="0.25">
      <c r="A111" s="277" t="s">
        <v>279</v>
      </c>
      <c r="B111" s="278" t="s">
        <v>280</v>
      </c>
      <c r="C111" s="278" t="s">
        <v>198</v>
      </c>
      <c r="D111" s="315">
        <v>41484</v>
      </c>
      <c r="E111" s="279">
        <v>1</v>
      </c>
      <c r="F111" s="55">
        <f t="shared" si="2"/>
        <v>96</v>
      </c>
    </row>
    <row r="112" spans="1:6" x14ac:dyDescent="0.25">
      <c r="A112" s="277" t="s">
        <v>281</v>
      </c>
      <c r="B112" s="278" t="s">
        <v>282</v>
      </c>
      <c r="C112" s="278" t="s">
        <v>197</v>
      </c>
      <c r="D112" s="315">
        <v>41484</v>
      </c>
      <c r="E112" s="279">
        <v>35</v>
      </c>
      <c r="F112" s="55">
        <f t="shared" si="2"/>
        <v>96</v>
      </c>
    </row>
    <row r="113" spans="1:6" x14ac:dyDescent="0.25">
      <c r="A113" s="277" t="s">
        <v>281</v>
      </c>
      <c r="B113" s="278" t="s">
        <v>282</v>
      </c>
      <c r="C113" s="278" t="s">
        <v>202</v>
      </c>
      <c r="D113" s="315">
        <v>41484</v>
      </c>
      <c r="E113" s="279">
        <v>35</v>
      </c>
      <c r="F113" s="55">
        <f t="shared" si="2"/>
        <v>96</v>
      </c>
    </row>
    <row r="114" spans="1:6" x14ac:dyDescent="0.25">
      <c r="A114" s="277" t="s">
        <v>243</v>
      </c>
      <c r="B114" s="278" t="s">
        <v>248</v>
      </c>
      <c r="C114" s="278" t="s">
        <v>197</v>
      </c>
      <c r="D114" s="315">
        <v>41484</v>
      </c>
      <c r="E114" s="279">
        <v>6</v>
      </c>
      <c r="F114" s="55">
        <f t="shared" si="2"/>
        <v>96</v>
      </c>
    </row>
    <row r="115" spans="1:6" x14ac:dyDescent="0.25">
      <c r="A115" s="277" t="s">
        <v>243</v>
      </c>
      <c r="B115" s="278" t="s">
        <v>248</v>
      </c>
      <c r="C115" s="278" t="s">
        <v>202</v>
      </c>
      <c r="D115" s="315">
        <v>41484</v>
      </c>
      <c r="E115" s="279">
        <v>7</v>
      </c>
      <c r="F115" s="55">
        <f t="shared" si="2"/>
        <v>96</v>
      </c>
    </row>
    <row r="116" spans="1:6" x14ac:dyDescent="0.25">
      <c r="A116" s="277" t="s">
        <v>243</v>
      </c>
      <c r="B116" s="278" t="s">
        <v>248</v>
      </c>
      <c r="C116" s="278" t="s">
        <v>198</v>
      </c>
      <c r="D116" s="315">
        <v>41484</v>
      </c>
      <c r="E116" s="279">
        <v>1</v>
      </c>
      <c r="F116" s="55">
        <f t="shared" si="2"/>
        <v>96</v>
      </c>
    </row>
    <row r="117" spans="1:6" x14ac:dyDescent="0.25">
      <c r="A117" s="277" t="s">
        <v>273</v>
      </c>
      <c r="B117" s="278" t="s">
        <v>274</v>
      </c>
      <c r="C117" s="278" t="s">
        <v>202</v>
      </c>
      <c r="D117" s="315">
        <v>41484</v>
      </c>
      <c r="E117" s="279">
        <v>3</v>
      </c>
      <c r="F117" s="55">
        <f t="shared" si="2"/>
        <v>96</v>
      </c>
    </row>
    <row r="118" spans="1:6" x14ac:dyDescent="0.25">
      <c r="A118" s="277" t="s">
        <v>273</v>
      </c>
      <c r="B118" s="278" t="s">
        <v>274</v>
      </c>
      <c r="C118" s="278" t="s">
        <v>197</v>
      </c>
      <c r="D118" s="315">
        <v>41484</v>
      </c>
      <c r="E118" s="279">
        <v>3</v>
      </c>
      <c r="F118" s="55">
        <f t="shared" si="2"/>
        <v>96</v>
      </c>
    </row>
    <row r="119" spans="1:6" x14ac:dyDescent="0.25">
      <c r="A119" s="277" t="s">
        <v>251</v>
      </c>
      <c r="B119" s="278" t="s">
        <v>252</v>
      </c>
      <c r="C119" s="278" t="s">
        <v>197</v>
      </c>
      <c r="D119" s="315">
        <v>41484</v>
      </c>
      <c r="E119" s="279">
        <v>10</v>
      </c>
      <c r="F119" s="55">
        <f t="shared" si="2"/>
        <v>96</v>
      </c>
    </row>
    <row r="120" spans="1:6" x14ac:dyDescent="0.25">
      <c r="A120" s="277" t="s">
        <v>251</v>
      </c>
      <c r="B120" s="278" t="s">
        <v>252</v>
      </c>
      <c r="C120" s="278" t="s">
        <v>202</v>
      </c>
      <c r="D120" s="315">
        <v>41484</v>
      </c>
      <c r="E120" s="279">
        <v>10</v>
      </c>
      <c r="F120" s="55">
        <f t="shared" si="2"/>
        <v>96</v>
      </c>
    </row>
    <row r="121" spans="1:6" x14ac:dyDescent="0.25">
      <c r="A121" s="277" t="s">
        <v>273</v>
      </c>
      <c r="B121" s="278" t="s">
        <v>274</v>
      </c>
      <c r="C121" s="278" t="s">
        <v>197</v>
      </c>
      <c r="D121" s="315">
        <v>41485</v>
      </c>
      <c r="E121" s="279">
        <v>8</v>
      </c>
      <c r="F121" s="55">
        <f t="shared" si="2"/>
        <v>96</v>
      </c>
    </row>
    <row r="122" spans="1:6" x14ac:dyDescent="0.25">
      <c r="A122" s="277" t="s">
        <v>273</v>
      </c>
      <c r="B122" s="278" t="s">
        <v>274</v>
      </c>
      <c r="C122" s="278" t="s">
        <v>202</v>
      </c>
      <c r="D122" s="315">
        <v>41485</v>
      </c>
      <c r="E122" s="279">
        <v>8</v>
      </c>
      <c r="F122" s="55">
        <f t="shared" si="2"/>
        <v>96</v>
      </c>
    </row>
    <row r="123" spans="1:6" x14ac:dyDescent="0.25">
      <c r="A123" s="277" t="s">
        <v>265</v>
      </c>
      <c r="B123" s="278" t="s">
        <v>266</v>
      </c>
      <c r="C123" s="278" t="s">
        <v>202</v>
      </c>
      <c r="D123" s="315">
        <v>41485</v>
      </c>
      <c r="E123" s="279">
        <v>2</v>
      </c>
      <c r="F123" s="55">
        <f t="shared" si="2"/>
        <v>96</v>
      </c>
    </row>
    <row r="124" spans="1:6" x14ac:dyDescent="0.25">
      <c r="A124" s="277" t="s">
        <v>265</v>
      </c>
      <c r="B124" s="278" t="s">
        <v>266</v>
      </c>
      <c r="C124" s="278" t="s">
        <v>197</v>
      </c>
      <c r="D124" s="315">
        <v>41485</v>
      </c>
      <c r="E124" s="279">
        <v>2</v>
      </c>
      <c r="F124" s="55">
        <f t="shared" si="2"/>
        <v>96</v>
      </c>
    </row>
    <row r="125" spans="1:6" x14ac:dyDescent="0.25">
      <c r="A125" s="277" t="s">
        <v>279</v>
      </c>
      <c r="B125" s="278" t="s">
        <v>280</v>
      </c>
      <c r="C125" s="278" t="s">
        <v>202</v>
      </c>
      <c r="D125" s="315">
        <v>41485</v>
      </c>
      <c r="E125" s="279">
        <v>1</v>
      </c>
      <c r="F125" s="55">
        <f t="shared" si="2"/>
        <v>96</v>
      </c>
    </row>
    <row r="126" spans="1:6" x14ac:dyDescent="0.25">
      <c r="A126" s="277" t="s">
        <v>279</v>
      </c>
      <c r="B126" s="278" t="s">
        <v>280</v>
      </c>
      <c r="C126" s="278" t="s">
        <v>197</v>
      </c>
      <c r="D126" s="315">
        <v>41485</v>
      </c>
      <c r="E126" s="279">
        <v>1</v>
      </c>
      <c r="F126" s="55">
        <f t="shared" si="2"/>
        <v>96</v>
      </c>
    </row>
    <row r="127" spans="1:6" x14ac:dyDescent="0.25">
      <c r="A127" s="277" t="s">
        <v>255</v>
      </c>
      <c r="B127" s="278" t="s">
        <v>256</v>
      </c>
      <c r="C127" s="278" t="s">
        <v>202</v>
      </c>
      <c r="D127" s="315">
        <v>41485</v>
      </c>
      <c r="E127" s="279">
        <v>25</v>
      </c>
      <c r="F127" s="55">
        <f t="shared" si="2"/>
        <v>96</v>
      </c>
    </row>
    <row r="128" spans="1:6" x14ac:dyDescent="0.25">
      <c r="A128" s="277" t="s">
        <v>255</v>
      </c>
      <c r="B128" s="278" t="s">
        <v>256</v>
      </c>
      <c r="C128" s="278" t="s">
        <v>197</v>
      </c>
      <c r="D128" s="315">
        <v>41485</v>
      </c>
      <c r="E128" s="279">
        <v>23</v>
      </c>
      <c r="F128" s="55">
        <f t="shared" si="2"/>
        <v>96</v>
      </c>
    </row>
    <row r="129" spans="1:6" x14ac:dyDescent="0.25">
      <c r="A129" s="277" t="s">
        <v>281</v>
      </c>
      <c r="B129" s="278" t="s">
        <v>282</v>
      </c>
      <c r="C129" s="278" t="s">
        <v>197</v>
      </c>
      <c r="D129" s="315">
        <v>41485</v>
      </c>
      <c r="E129" s="279">
        <v>1</v>
      </c>
      <c r="F129" s="55">
        <f t="shared" si="2"/>
        <v>96</v>
      </c>
    </row>
    <row r="130" spans="1:6" x14ac:dyDescent="0.25">
      <c r="A130" s="277" t="s">
        <v>281</v>
      </c>
      <c r="B130" s="278" t="s">
        <v>282</v>
      </c>
      <c r="C130" s="278" t="s">
        <v>202</v>
      </c>
      <c r="D130" s="315">
        <v>41485</v>
      </c>
      <c r="E130" s="279">
        <v>1</v>
      </c>
      <c r="F130" s="55">
        <f t="shared" si="2"/>
        <v>96</v>
      </c>
    </row>
    <row r="131" spans="1:6" x14ac:dyDescent="0.25">
      <c r="A131" s="277" t="s">
        <v>255</v>
      </c>
      <c r="B131" s="278" t="s">
        <v>256</v>
      </c>
      <c r="C131" s="278" t="s">
        <v>198</v>
      </c>
      <c r="D131" s="315">
        <v>41485</v>
      </c>
      <c r="E131" s="279">
        <v>3</v>
      </c>
      <c r="F131" s="55">
        <f t="shared" si="2"/>
        <v>96</v>
      </c>
    </row>
    <row r="132" spans="1:6" x14ac:dyDescent="0.25">
      <c r="A132" s="277" t="s">
        <v>261</v>
      </c>
      <c r="B132" s="278" t="s">
        <v>262</v>
      </c>
      <c r="C132" s="278" t="s">
        <v>197</v>
      </c>
      <c r="D132" s="315">
        <v>41485</v>
      </c>
      <c r="E132" s="279">
        <v>26</v>
      </c>
      <c r="F132" s="55">
        <f t="shared" si="2"/>
        <v>96</v>
      </c>
    </row>
    <row r="133" spans="1:6" x14ac:dyDescent="0.25">
      <c r="A133" s="277" t="s">
        <v>261</v>
      </c>
      <c r="B133" s="278" t="s">
        <v>262</v>
      </c>
      <c r="C133" s="278" t="s">
        <v>202</v>
      </c>
      <c r="D133" s="315">
        <v>41485</v>
      </c>
      <c r="E133" s="279">
        <v>26</v>
      </c>
      <c r="F133" s="55">
        <f t="shared" si="2"/>
        <v>96</v>
      </c>
    </row>
    <row r="134" spans="1:6" x14ac:dyDescent="0.25">
      <c r="A134" s="277" t="s">
        <v>255</v>
      </c>
      <c r="B134" s="278" t="s">
        <v>256</v>
      </c>
      <c r="C134" s="278" t="s">
        <v>203</v>
      </c>
      <c r="D134" s="315">
        <v>41485</v>
      </c>
      <c r="E134" s="279">
        <v>1</v>
      </c>
      <c r="F134" s="55">
        <f t="shared" si="2"/>
        <v>96</v>
      </c>
    </row>
    <row r="135" spans="1:6" x14ac:dyDescent="0.25">
      <c r="A135" s="277" t="s">
        <v>263</v>
      </c>
      <c r="B135" s="278" t="s">
        <v>264</v>
      </c>
      <c r="C135" s="278" t="s">
        <v>197</v>
      </c>
      <c r="D135" s="315">
        <v>41485</v>
      </c>
      <c r="E135" s="279">
        <v>26</v>
      </c>
      <c r="F135" s="55">
        <f t="shared" si="2"/>
        <v>96</v>
      </c>
    </row>
    <row r="136" spans="1:6" x14ac:dyDescent="0.25">
      <c r="A136" s="277" t="s">
        <v>263</v>
      </c>
      <c r="B136" s="278" t="s">
        <v>264</v>
      </c>
      <c r="C136" s="278" t="s">
        <v>202</v>
      </c>
      <c r="D136" s="315">
        <v>41485</v>
      </c>
      <c r="E136" s="279">
        <v>26</v>
      </c>
      <c r="F136" s="55">
        <f t="shared" si="2"/>
        <v>96</v>
      </c>
    </row>
    <row r="137" spans="1:6" x14ac:dyDescent="0.25">
      <c r="A137" s="277" t="s">
        <v>243</v>
      </c>
      <c r="B137" s="278" t="s">
        <v>248</v>
      </c>
      <c r="C137" s="278" t="s">
        <v>202</v>
      </c>
      <c r="D137" s="315">
        <v>41485</v>
      </c>
      <c r="E137" s="279">
        <v>3</v>
      </c>
      <c r="F137" s="55">
        <f t="shared" si="2"/>
        <v>96</v>
      </c>
    </row>
    <row r="138" spans="1:6" x14ac:dyDescent="0.25">
      <c r="A138" s="277" t="s">
        <v>243</v>
      </c>
      <c r="B138" s="278" t="s">
        <v>248</v>
      </c>
      <c r="C138" s="278" t="s">
        <v>197</v>
      </c>
      <c r="D138" s="315">
        <v>41485</v>
      </c>
      <c r="E138" s="279">
        <v>3</v>
      </c>
      <c r="F138" s="55">
        <f t="shared" ref="F138:F201" si="3">TRUNC((D138-start)/7,0)+1</f>
        <v>96</v>
      </c>
    </row>
    <row r="139" spans="1:6" x14ac:dyDescent="0.25">
      <c r="A139" s="277" t="s">
        <v>251</v>
      </c>
      <c r="B139" s="278" t="s">
        <v>252</v>
      </c>
      <c r="C139" s="278" t="s">
        <v>202</v>
      </c>
      <c r="D139" s="315">
        <v>41485</v>
      </c>
      <c r="E139" s="279">
        <v>2</v>
      </c>
      <c r="F139" s="55">
        <f t="shared" si="3"/>
        <v>96</v>
      </c>
    </row>
    <row r="140" spans="1:6" x14ac:dyDescent="0.25">
      <c r="A140" s="277" t="s">
        <v>251</v>
      </c>
      <c r="B140" s="278" t="s">
        <v>252</v>
      </c>
      <c r="C140" s="278" t="s">
        <v>197</v>
      </c>
      <c r="D140" s="315">
        <v>41485</v>
      </c>
      <c r="E140" s="279">
        <v>2</v>
      </c>
      <c r="F140" s="55">
        <f t="shared" si="3"/>
        <v>96</v>
      </c>
    </row>
    <row r="141" spans="1:6" x14ac:dyDescent="0.25">
      <c r="A141" s="277" t="s">
        <v>259</v>
      </c>
      <c r="B141" s="278" t="s">
        <v>260</v>
      </c>
      <c r="C141" s="278" t="s">
        <v>202</v>
      </c>
      <c r="D141" s="315">
        <v>41485</v>
      </c>
      <c r="E141" s="279">
        <v>16</v>
      </c>
      <c r="F141" s="55">
        <f t="shared" si="3"/>
        <v>96</v>
      </c>
    </row>
    <row r="142" spans="1:6" x14ac:dyDescent="0.25">
      <c r="A142" s="277" t="s">
        <v>259</v>
      </c>
      <c r="B142" s="278" t="s">
        <v>260</v>
      </c>
      <c r="C142" s="278" t="s">
        <v>197</v>
      </c>
      <c r="D142" s="315">
        <v>41485</v>
      </c>
      <c r="E142" s="279">
        <v>16</v>
      </c>
      <c r="F142" s="55">
        <f t="shared" si="3"/>
        <v>96</v>
      </c>
    </row>
    <row r="143" spans="1:6" x14ac:dyDescent="0.25">
      <c r="A143" s="277" t="s">
        <v>281</v>
      </c>
      <c r="B143" s="278" t="s">
        <v>282</v>
      </c>
      <c r="C143" s="278" t="s">
        <v>202</v>
      </c>
      <c r="D143" s="315">
        <v>41486</v>
      </c>
      <c r="E143" s="279">
        <v>6</v>
      </c>
      <c r="F143" s="55">
        <f t="shared" si="3"/>
        <v>96</v>
      </c>
    </row>
    <row r="144" spans="1:6" x14ac:dyDescent="0.25">
      <c r="A144" s="277" t="s">
        <v>281</v>
      </c>
      <c r="B144" s="278" t="s">
        <v>282</v>
      </c>
      <c r="C144" s="278" t="s">
        <v>197</v>
      </c>
      <c r="D144" s="315">
        <v>41486</v>
      </c>
      <c r="E144" s="279">
        <v>5</v>
      </c>
      <c r="F144" s="55">
        <f t="shared" si="3"/>
        <v>96</v>
      </c>
    </row>
    <row r="145" spans="1:6" x14ac:dyDescent="0.25">
      <c r="A145" s="277" t="s">
        <v>281</v>
      </c>
      <c r="B145" s="278" t="s">
        <v>282</v>
      </c>
      <c r="C145" s="278" t="s">
        <v>198</v>
      </c>
      <c r="D145" s="315">
        <v>41486</v>
      </c>
      <c r="E145" s="279">
        <v>1</v>
      </c>
      <c r="F145" s="55">
        <f t="shared" si="3"/>
        <v>96</v>
      </c>
    </row>
    <row r="146" spans="1:6" x14ac:dyDescent="0.25">
      <c r="A146" s="277" t="s">
        <v>255</v>
      </c>
      <c r="B146" s="278" t="s">
        <v>256</v>
      </c>
      <c r="C146" s="278" t="s">
        <v>197</v>
      </c>
      <c r="D146" s="315">
        <v>41486</v>
      </c>
      <c r="E146" s="279">
        <v>2</v>
      </c>
      <c r="F146" s="55">
        <f t="shared" si="3"/>
        <v>96</v>
      </c>
    </row>
    <row r="147" spans="1:6" x14ac:dyDescent="0.25">
      <c r="A147" s="277" t="s">
        <v>255</v>
      </c>
      <c r="B147" s="278" t="s">
        <v>256</v>
      </c>
      <c r="C147" s="278" t="s">
        <v>202</v>
      </c>
      <c r="D147" s="315">
        <v>41486</v>
      </c>
      <c r="E147" s="279">
        <v>2</v>
      </c>
      <c r="F147" s="55">
        <f t="shared" si="3"/>
        <v>96</v>
      </c>
    </row>
    <row r="148" spans="1:6" x14ac:dyDescent="0.25">
      <c r="A148" s="277" t="s">
        <v>243</v>
      </c>
      <c r="B148" s="278" t="s">
        <v>248</v>
      </c>
      <c r="C148" s="278" t="s">
        <v>197</v>
      </c>
      <c r="D148" s="315">
        <v>41486</v>
      </c>
      <c r="E148" s="279">
        <v>2</v>
      </c>
      <c r="F148" s="55">
        <f t="shared" si="3"/>
        <v>96</v>
      </c>
    </row>
    <row r="149" spans="1:6" x14ac:dyDescent="0.25">
      <c r="A149" s="277" t="s">
        <v>243</v>
      </c>
      <c r="B149" s="278" t="s">
        <v>248</v>
      </c>
      <c r="C149" s="278" t="s">
        <v>202</v>
      </c>
      <c r="D149" s="315">
        <v>41486</v>
      </c>
      <c r="E149" s="279">
        <v>2</v>
      </c>
      <c r="F149" s="55">
        <f t="shared" si="3"/>
        <v>96</v>
      </c>
    </row>
    <row r="150" spans="1:6" x14ac:dyDescent="0.25">
      <c r="A150" s="277" t="s">
        <v>251</v>
      </c>
      <c r="B150" s="278" t="s">
        <v>252</v>
      </c>
      <c r="C150" s="278" t="s">
        <v>197</v>
      </c>
      <c r="D150" s="315">
        <v>41486</v>
      </c>
      <c r="E150" s="279">
        <v>4</v>
      </c>
      <c r="F150" s="55">
        <f t="shared" si="3"/>
        <v>96</v>
      </c>
    </row>
    <row r="151" spans="1:6" x14ac:dyDescent="0.25">
      <c r="A151" s="277" t="s">
        <v>251</v>
      </c>
      <c r="B151" s="278" t="s">
        <v>252</v>
      </c>
      <c r="C151" s="278" t="s">
        <v>202</v>
      </c>
      <c r="D151" s="315">
        <v>41486</v>
      </c>
      <c r="E151" s="279">
        <v>4</v>
      </c>
      <c r="F151" s="55">
        <f t="shared" si="3"/>
        <v>96</v>
      </c>
    </row>
    <row r="152" spans="1:6" x14ac:dyDescent="0.25">
      <c r="A152" s="277" t="s">
        <v>259</v>
      </c>
      <c r="B152" s="278" t="s">
        <v>260</v>
      </c>
      <c r="C152" s="278" t="s">
        <v>202</v>
      </c>
      <c r="D152" s="315">
        <v>41486</v>
      </c>
      <c r="E152" s="279">
        <v>3</v>
      </c>
      <c r="F152" s="55">
        <f t="shared" si="3"/>
        <v>96</v>
      </c>
    </row>
    <row r="153" spans="1:6" x14ac:dyDescent="0.25">
      <c r="A153" s="277" t="s">
        <v>259</v>
      </c>
      <c r="B153" s="278" t="s">
        <v>260</v>
      </c>
      <c r="C153" s="278" t="s">
        <v>197</v>
      </c>
      <c r="D153" s="315">
        <v>41486</v>
      </c>
      <c r="E153" s="279">
        <v>3</v>
      </c>
      <c r="F153" s="55">
        <f t="shared" si="3"/>
        <v>96</v>
      </c>
    </row>
    <row r="154" spans="1:6" x14ac:dyDescent="0.25">
      <c r="A154" s="277" t="s">
        <v>249</v>
      </c>
      <c r="B154" s="278" t="s">
        <v>250</v>
      </c>
      <c r="C154" s="278" t="s">
        <v>202</v>
      </c>
      <c r="D154" s="315">
        <v>41487</v>
      </c>
      <c r="E154" s="279">
        <v>1</v>
      </c>
      <c r="F154" s="55">
        <f t="shared" si="3"/>
        <v>96</v>
      </c>
    </row>
    <row r="155" spans="1:6" x14ac:dyDescent="0.25">
      <c r="A155" s="277" t="s">
        <v>249</v>
      </c>
      <c r="B155" s="278" t="s">
        <v>250</v>
      </c>
      <c r="C155" s="278" t="s">
        <v>198</v>
      </c>
      <c r="D155" s="315">
        <v>41487</v>
      </c>
      <c r="E155" s="279">
        <v>1</v>
      </c>
      <c r="F155" s="55">
        <f t="shared" si="3"/>
        <v>96</v>
      </c>
    </row>
    <row r="156" spans="1:6" x14ac:dyDescent="0.25">
      <c r="A156" s="277" t="s">
        <v>249</v>
      </c>
      <c r="B156" s="278" t="s">
        <v>250</v>
      </c>
      <c r="C156" s="278" t="s">
        <v>197</v>
      </c>
      <c r="D156" s="315">
        <v>41487</v>
      </c>
      <c r="E156" s="279">
        <v>1</v>
      </c>
      <c r="F156" s="55">
        <f t="shared" si="3"/>
        <v>96</v>
      </c>
    </row>
    <row r="157" spans="1:6" x14ac:dyDescent="0.25">
      <c r="A157" s="277" t="s">
        <v>243</v>
      </c>
      <c r="B157" s="278" t="s">
        <v>248</v>
      </c>
      <c r="C157" s="278" t="s">
        <v>197</v>
      </c>
      <c r="D157" s="315">
        <v>41487</v>
      </c>
      <c r="E157" s="279">
        <v>2</v>
      </c>
      <c r="F157" s="55">
        <f t="shared" si="3"/>
        <v>96</v>
      </c>
    </row>
    <row r="158" spans="1:6" x14ac:dyDescent="0.25">
      <c r="A158" s="277" t="s">
        <v>243</v>
      </c>
      <c r="B158" s="278" t="s">
        <v>248</v>
      </c>
      <c r="C158" s="278" t="s">
        <v>202</v>
      </c>
      <c r="D158" s="315">
        <v>41487</v>
      </c>
      <c r="E158" s="279">
        <v>2</v>
      </c>
      <c r="F158" s="55">
        <f t="shared" si="3"/>
        <v>96</v>
      </c>
    </row>
    <row r="159" spans="1:6" x14ac:dyDescent="0.25">
      <c r="A159" s="277" t="s">
        <v>273</v>
      </c>
      <c r="B159" s="278" t="s">
        <v>274</v>
      </c>
      <c r="C159" s="278" t="s">
        <v>197</v>
      </c>
      <c r="D159" s="315">
        <v>41487</v>
      </c>
      <c r="E159" s="279">
        <v>1</v>
      </c>
      <c r="F159" s="55">
        <f t="shared" si="3"/>
        <v>96</v>
      </c>
    </row>
    <row r="160" spans="1:6" x14ac:dyDescent="0.25">
      <c r="A160" s="277" t="s">
        <v>273</v>
      </c>
      <c r="B160" s="278" t="s">
        <v>274</v>
      </c>
      <c r="C160" s="278" t="s">
        <v>202</v>
      </c>
      <c r="D160" s="315">
        <v>41487</v>
      </c>
      <c r="E160" s="279">
        <v>1</v>
      </c>
      <c r="F160" s="55">
        <f t="shared" si="3"/>
        <v>96</v>
      </c>
    </row>
    <row r="161" spans="1:6" x14ac:dyDescent="0.25">
      <c r="A161" s="277" t="s">
        <v>261</v>
      </c>
      <c r="B161" s="278" t="s">
        <v>262</v>
      </c>
      <c r="C161" s="278" t="s">
        <v>197</v>
      </c>
      <c r="D161" s="315">
        <v>41488</v>
      </c>
      <c r="E161" s="279">
        <v>6</v>
      </c>
      <c r="F161" s="55">
        <f t="shared" si="3"/>
        <v>96</v>
      </c>
    </row>
    <row r="162" spans="1:6" x14ac:dyDescent="0.25">
      <c r="A162" s="277" t="s">
        <v>261</v>
      </c>
      <c r="B162" s="278" t="s">
        <v>262</v>
      </c>
      <c r="C162" s="278" t="s">
        <v>202</v>
      </c>
      <c r="D162" s="315">
        <v>41488</v>
      </c>
      <c r="E162" s="279">
        <v>6</v>
      </c>
      <c r="F162" s="55">
        <f t="shared" si="3"/>
        <v>96</v>
      </c>
    </row>
    <row r="163" spans="1:6" x14ac:dyDescent="0.25">
      <c r="A163" s="277" t="s">
        <v>279</v>
      </c>
      <c r="B163" s="278" t="s">
        <v>280</v>
      </c>
      <c r="C163" s="278" t="s">
        <v>197</v>
      </c>
      <c r="D163" s="315">
        <v>41488</v>
      </c>
      <c r="E163" s="279">
        <v>2</v>
      </c>
      <c r="F163" s="55">
        <f t="shared" si="3"/>
        <v>96</v>
      </c>
    </row>
    <row r="164" spans="1:6" x14ac:dyDescent="0.25">
      <c r="A164" s="277" t="s">
        <v>279</v>
      </c>
      <c r="B164" s="278" t="s">
        <v>280</v>
      </c>
      <c r="C164" s="278" t="s">
        <v>202</v>
      </c>
      <c r="D164" s="315">
        <v>41488</v>
      </c>
      <c r="E164" s="279">
        <v>3</v>
      </c>
      <c r="F164" s="55">
        <f t="shared" si="3"/>
        <v>96</v>
      </c>
    </row>
    <row r="165" spans="1:6" x14ac:dyDescent="0.25">
      <c r="A165" s="277" t="s">
        <v>279</v>
      </c>
      <c r="B165" s="278" t="s">
        <v>280</v>
      </c>
      <c r="C165" s="278" t="s">
        <v>198</v>
      </c>
      <c r="D165" s="315">
        <v>41488</v>
      </c>
      <c r="E165" s="279">
        <v>1</v>
      </c>
      <c r="F165" s="55">
        <f t="shared" si="3"/>
        <v>96</v>
      </c>
    </row>
    <row r="166" spans="1:6" x14ac:dyDescent="0.25">
      <c r="A166" s="277" t="s">
        <v>251</v>
      </c>
      <c r="B166" s="278" t="s">
        <v>252</v>
      </c>
      <c r="C166" s="278" t="s">
        <v>202</v>
      </c>
      <c r="D166" s="315">
        <v>41488</v>
      </c>
      <c r="E166" s="279">
        <v>3</v>
      </c>
      <c r="F166" s="55">
        <f t="shared" si="3"/>
        <v>96</v>
      </c>
    </row>
    <row r="167" spans="1:6" x14ac:dyDescent="0.25">
      <c r="A167" s="277" t="s">
        <v>251</v>
      </c>
      <c r="B167" s="278" t="s">
        <v>252</v>
      </c>
      <c r="C167" s="278" t="s">
        <v>197</v>
      </c>
      <c r="D167" s="315">
        <v>41488</v>
      </c>
      <c r="E167" s="279">
        <v>3</v>
      </c>
      <c r="F167" s="55">
        <f t="shared" si="3"/>
        <v>96</v>
      </c>
    </row>
    <row r="168" spans="1:6" x14ac:dyDescent="0.25">
      <c r="A168" s="277" t="s">
        <v>243</v>
      </c>
      <c r="B168" s="278" t="s">
        <v>248</v>
      </c>
      <c r="C168" s="278" t="s">
        <v>202</v>
      </c>
      <c r="D168" s="315">
        <v>41488</v>
      </c>
      <c r="E168" s="279">
        <v>1</v>
      </c>
      <c r="F168" s="55">
        <f t="shared" si="3"/>
        <v>96</v>
      </c>
    </row>
    <row r="169" spans="1:6" x14ac:dyDescent="0.25">
      <c r="A169" s="277" t="s">
        <v>243</v>
      </c>
      <c r="B169" s="278" t="s">
        <v>248</v>
      </c>
      <c r="C169" s="278" t="s">
        <v>197</v>
      </c>
      <c r="D169" s="315">
        <v>41488</v>
      </c>
      <c r="E169" s="279">
        <v>1</v>
      </c>
      <c r="F169" s="55">
        <f t="shared" si="3"/>
        <v>96</v>
      </c>
    </row>
    <row r="170" spans="1:6" x14ac:dyDescent="0.25">
      <c r="A170" s="277" t="s">
        <v>265</v>
      </c>
      <c r="B170" s="278" t="s">
        <v>266</v>
      </c>
      <c r="C170" s="278" t="s">
        <v>197</v>
      </c>
      <c r="D170" s="315">
        <v>41488</v>
      </c>
      <c r="E170" s="279">
        <v>5</v>
      </c>
      <c r="F170" s="55">
        <f t="shared" si="3"/>
        <v>96</v>
      </c>
    </row>
    <row r="171" spans="1:6" x14ac:dyDescent="0.25">
      <c r="A171" s="277" t="s">
        <v>265</v>
      </c>
      <c r="B171" s="278" t="s">
        <v>266</v>
      </c>
      <c r="C171" s="278" t="s">
        <v>202</v>
      </c>
      <c r="D171" s="315">
        <v>41488</v>
      </c>
      <c r="E171" s="279">
        <v>5</v>
      </c>
      <c r="F171" s="55">
        <f t="shared" si="3"/>
        <v>96</v>
      </c>
    </row>
    <row r="172" spans="1:6" x14ac:dyDescent="0.25">
      <c r="A172" s="277" t="s">
        <v>257</v>
      </c>
      <c r="B172" s="278" t="s">
        <v>258</v>
      </c>
      <c r="C172" s="278" t="s">
        <v>197</v>
      </c>
      <c r="D172" s="315">
        <v>41488</v>
      </c>
      <c r="E172" s="279">
        <v>7</v>
      </c>
      <c r="F172" s="55">
        <f t="shared" si="3"/>
        <v>96</v>
      </c>
    </row>
    <row r="173" spans="1:6" x14ac:dyDescent="0.25">
      <c r="A173" s="277" t="s">
        <v>257</v>
      </c>
      <c r="B173" s="278" t="s">
        <v>258</v>
      </c>
      <c r="C173" s="278" t="s">
        <v>202</v>
      </c>
      <c r="D173" s="315">
        <v>41488</v>
      </c>
      <c r="E173" s="279">
        <v>7</v>
      </c>
      <c r="F173" s="55">
        <f t="shared" si="3"/>
        <v>96</v>
      </c>
    </row>
    <row r="174" spans="1:6" x14ac:dyDescent="0.25">
      <c r="A174" s="277" t="s">
        <v>271</v>
      </c>
      <c r="B174" s="278" t="s">
        <v>272</v>
      </c>
      <c r="C174" s="278" t="s">
        <v>197</v>
      </c>
      <c r="D174" s="315">
        <v>41489</v>
      </c>
      <c r="E174" s="279">
        <v>9</v>
      </c>
      <c r="F174" s="55">
        <f t="shared" si="3"/>
        <v>97</v>
      </c>
    </row>
    <row r="175" spans="1:6" x14ac:dyDescent="0.25">
      <c r="A175" s="277" t="s">
        <v>271</v>
      </c>
      <c r="B175" s="278" t="s">
        <v>272</v>
      </c>
      <c r="C175" s="278" t="s">
        <v>202</v>
      </c>
      <c r="D175" s="315">
        <v>41489</v>
      </c>
      <c r="E175" s="279">
        <v>9</v>
      </c>
      <c r="F175" s="55">
        <f t="shared" si="3"/>
        <v>97</v>
      </c>
    </row>
    <row r="176" spans="1:6" x14ac:dyDescent="0.25">
      <c r="A176" s="277" t="s">
        <v>265</v>
      </c>
      <c r="B176" s="278" t="s">
        <v>266</v>
      </c>
      <c r="C176" s="278" t="s">
        <v>197</v>
      </c>
      <c r="D176" s="315">
        <v>41489</v>
      </c>
      <c r="E176" s="279">
        <v>13</v>
      </c>
      <c r="F176" s="55">
        <f t="shared" si="3"/>
        <v>97</v>
      </c>
    </row>
    <row r="177" spans="1:6" x14ac:dyDescent="0.25">
      <c r="A177" s="277" t="s">
        <v>265</v>
      </c>
      <c r="B177" s="278" t="s">
        <v>266</v>
      </c>
      <c r="C177" s="278" t="s">
        <v>202</v>
      </c>
      <c r="D177" s="315">
        <v>41489</v>
      </c>
      <c r="E177" s="279">
        <v>13</v>
      </c>
      <c r="F177" s="55">
        <f t="shared" si="3"/>
        <v>97</v>
      </c>
    </row>
    <row r="178" spans="1:6" x14ac:dyDescent="0.25">
      <c r="A178" s="277" t="s">
        <v>273</v>
      </c>
      <c r="B178" s="278" t="s">
        <v>274</v>
      </c>
      <c r="C178" s="278" t="s">
        <v>197</v>
      </c>
      <c r="D178" s="315">
        <v>41489</v>
      </c>
      <c r="E178" s="279">
        <v>1</v>
      </c>
      <c r="F178" s="55">
        <f t="shared" si="3"/>
        <v>97</v>
      </c>
    </row>
    <row r="179" spans="1:6" x14ac:dyDescent="0.25">
      <c r="A179" s="277" t="s">
        <v>273</v>
      </c>
      <c r="B179" s="278" t="s">
        <v>274</v>
      </c>
      <c r="C179" s="278" t="s">
        <v>202</v>
      </c>
      <c r="D179" s="315">
        <v>41489</v>
      </c>
      <c r="E179" s="279">
        <v>1</v>
      </c>
      <c r="F179" s="55">
        <f t="shared" si="3"/>
        <v>97</v>
      </c>
    </row>
    <row r="180" spans="1:6" x14ac:dyDescent="0.25">
      <c r="A180" s="277" t="s">
        <v>275</v>
      </c>
      <c r="B180" s="278" t="s">
        <v>276</v>
      </c>
      <c r="C180" s="278" t="s">
        <v>197</v>
      </c>
      <c r="D180" s="315">
        <v>41489</v>
      </c>
      <c r="E180" s="279">
        <v>1</v>
      </c>
      <c r="F180" s="55">
        <f t="shared" si="3"/>
        <v>97</v>
      </c>
    </row>
    <row r="181" spans="1:6" x14ac:dyDescent="0.25">
      <c r="A181" s="277" t="s">
        <v>275</v>
      </c>
      <c r="B181" s="278" t="s">
        <v>276</v>
      </c>
      <c r="C181" s="278" t="s">
        <v>202</v>
      </c>
      <c r="D181" s="315">
        <v>41489</v>
      </c>
      <c r="E181" s="279">
        <v>1</v>
      </c>
      <c r="F181" s="55">
        <f t="shared" si="3"/>
        <v>97</v>
      </c>
    </row>
    <row r="182" spans="1:6" x14ac:dyDescent="0.25">
      <c r="A182" s="277" t="s">
        <v>259</v>
      </c>
      <c r="B182" s="278" t="s">
        <v>260</v>
      </c>
      <c r="C182" s="278" t="s">
        <v>202</v>
      </c>
      <c r="D182" s="315">
        <v>41489</v>
      </c>
      <c r="E182" s="279">
        <v>4</v>
      </c>
      <c r="F182" s="55">
        <f t="shared" si="3"/>
        <v>97</v>
      </c>
    </row>
    <row r="183" spans="1:6" x14ac:dyDescent="0.25">
      <c r="A183" s="277" t="s">
        <v>259</v>
      </c>
      <c r="B183" s="278" t="s">
        <v>260</v>
      </c>
      <c r="C183" s="278" t="s">
        <v>197</v>
      </c>
      <c r="D183" s="315">
        <v>41489</v>
      </c>
      <c r="E183" s="279">
        <v>4</v>
      </c>
      <c r="F183" s="55">
        <f t="shared" si="3"/>
        <v>97</v>
      </c>
    </row>
    <row r="184" spans="1:6" x14ac:dyDescent="0.25">
      <c r="A184" s="277" t="s">
        <v>255</v>
      </c>
      <c r="B184" s="278" t="s">
        <v>256</v>
      </c>
      <c r="C184" s="278" t="s">
        <v>197</v>
      </c>
      <c r="D184" s="315">
        <v>41489</v>
      </c>
      <c r="E184" s="279">
        <v>4</v>
      </c>
      <c r="F184" s="55">
        <f t="shared" si="3"/>
        <v>97</v>
      </c>
    </row>
    <row r="185" spans="1:6" x14ac:dyDescent="0.25">
      <c r="A185" s="277" t="s">
        <v>255</v>
      </c>
      <c r="B185" s="278" t="s">
        <v>256</v>
      </c>
      <c r="C185" s="278" t="s">
        <v>202</v>
      </c>
      <c r="D185" s="315">
        <v>41489</v>
      </c>
      <c r="E185" s="279">
        <v>4</v>
      </c>
      <c r="F185" s="55">
        <f t="shared" si="3"/>
        <v>97</v>
      </c>
    </row>
    <row r="186" spans="1:6" x14ac:dyDescent="0.25">
      <c r="A186" s="277" t="s">
        <v>243</v>
      </c>
      <c r="B186" s="278" t="s">
        <v>248</v>
      </c>
      <c r="C186" s="278" t="s">
        <v>197</v>
      </c>
      <c r="D186" s="315">
        <v>41489</v>
      </c>
      <c r="E186" s="279">
        <v>1</v>
      </c>
      <c r="F186" s="55">
        <f t="shared" si="3"/>
        <v>97</v>
      </c>
    </row>
    <row r="187" spans="1:6" x14ac:dyDescent="0.25">
      <c r="A187" s="277" t="s">
        <v>243</v>
      </c>
      <c r="B187" s="278" t="s">
        <v>248</v>
      </c>
      <c r="C187" s="278" t="s">
        <v>202</v>
      </c>
      <c r="D187" s="315">
        <v>41489</v>
      </c>
      <c r="E187" s="279">
        <v>1</v>
      </c>
      <c r="F187" s="55">
        <f t="shared" si="3"/>
        <v>97</v>
      </c>
    </row>
    <row r="188" spans="1:6" x14ac:dyDescent="0.25">
      <c r="A188" s="277" t="s">
        <v>265</v>
      </c>
      <c r="B188" s="278" t="s">
        <v>266</v>
      </c>
      <c r="C188" s="278" t="s">
        <v>198</v>
      </c>
      <c r="D188" s="315">
        <v>41489</v>
      </c>
      <c r="E188" s="279">
        <v>1</v>
      </c>
      <c r="F188" s="55">
        <f t="shared" si="3"/>
        <v>97</v>
      </c>
    </row>
    <row r="189" spans="1:6" x14ac:dyDescent="0.25">
      <c r="A189" s="277" t="s">
        <v>257</v>
      </c>
      <c r="B189" s="278" t="s">
        <v>258</v>
      </c>
      <c r="C189" s="278" t="s">
        <v>202</v>
      </c>
      <c r="D189" s="315">
        <v>41489</v>
      </c>
      <c r="E189" s="279">
        <v>29</v>
      </c>
      <c r="F189" s="55">
        <f t="shared" si="3"/>
        <v>97</v>
      </c>
    </row>
    <row r="190" spans="1:6" x14ac:dyDescent="0.25">
      <c r="A190" s="277" t="s">
        <v>257</v>
      </c>
      <c r="B190" s="278" t="s">
        <v>258</v>
      </c>
      <c r="C190" s="278" t="s">
        <v>197</v>
      </c>
      <c r="D190" s="315">
        <v>41489</v>
      </c>
      <c r="E190" s="279">
        <v>29</v>
      </c>
      <c r="F190" s="55">
        <f t="shared" si="3"/>
        <v>97</v>
      </c>
    </row>
    <row r="191" spans="1:6" x14ac:dyDescent="0.25">
      <c r="A191" s="277" t="s">
        <v>265</v>
      </c>
      <c r="B191" s="278" t="s">
        <v>266</v>
      </c>
      <c r="C191" s="278" t="s">
        <v>197</v>
      </c>
      <c r="D191" s="315">
        <v>41490</v>
      </c>
      <c r="E191" s="279">
        <v>1</v>
      </c>
      <c r="F191" s="55">
        <f t="shared" si="3"/>
        <v>97</v>
      </c>
    </row>
    <row r="192" spans="1:6" x14ac:dyDescent="0.25">
      <c r="A192" s="277" t="s">
        <v>265</v>
      </c>
      <c r="B192" s="278" t="s">
        <v>266</v>
      </c>
      <c r="C192" s="278" t="s">
        <v>202</v>
      </c>
      <c r="D192" s="315">
        <v>41490</v>
      </c>
      <c r="E192" s="279">
        <v>1</v>
      </c>
      <c r="F192" s="55">
        <f t="shared" si="3"/>
        <v>97</v>
      </c>
    </row>
    <row r="193" spans="1:6" x14ac:dyDescent="0.25">
      <c r="A193" s="277" t="s">
        <v>257</v>
      </c>
      <c r="B193" s="278" t="s">
        <v>258</v>
      </c>
      <c r="C193" s="278" t="s">
        <v>197</v>
      </c>
      <c r="D193" s="315">
        <v>41490</v>
      </c>
      <c r="E193" s="279">
        <v>1</v>
      </c>
      <c r="F193" s="55">
        <f t="shared" si="3"/>
        <v>97</v>
      </c>
    </row>
    <row r="194" spans="1:6" x14ac:dyDescent="0.25">
      <c r="A194" s="277" t="s">
        <v>257</v>
      </c>
      <c r="B194" s="278" t="s">
        <v>258</v>
      </c>
      <c r="C194" s="278" t="s">
        <v>202</v>
      </c>
      <c r="D194" s="315">
        <v>41490</v>
      </c>
      <c r="E194" s="279">
        <v>1</v>
      </c>
      <c r="F194" s="55">
        <f t="shared" si="3"/>
        <v>97</v>
      </c>
    </row>
    <row r="195" spans="1:6" x14ac:dyDescent="0.25">
      <c r="A195" s="277" t="s">
        <v>263</v>
      </c>
      <c r="B195" s="278" t="s">
        <v>264</v>
      </c>
      <c r="C195" s="278" t="s">
        <v>197</v>
      </c>
      <c r="D195" s="315">
        <v>41490</v>
      </c>
      <c r="E195" s="279">
        <v>15</v>
      </c>
      <c r="F195" s="55">
        <f t="shared" si="3"/>
        <v>97</v>
      </c>
    </row>
    <row r="196" spans="1:6" x14ac:dyDescent="0.25">
      <c r="A196" s="277" t="s">
        <v>263</v>
      </c>
      <c r="B196" s="278" t="s">
        <v>264</v>
      </c>
      <c r="C196" s="278" t="s">
        <v>202</v>
      </c>
      <c r="D196" s="315">
        <v>41490</v>
      </c>
      <c r="E196" s="279">
        <v>15</v>
      </c>
      <c r="F196" s="55">
        <f t="shared" si="3"/>
        <v>97</v>
      </c>
    </row>
    <row r="197" spans="1:6" x14ac:dyDescent="0.25">
      <c r="A197" s="277" t="s">
        <v>283</v>
      </c>
      <c r="B197" s="278" t="s">
        <v>284</v>
      </c>
      <c r="C197" s="278" t="s">
        <v>197</v>
      </c>
      <c r="D197" s="315">
        <v>41490</v>
      </c>
      <c r="E197" s="279">
        <v>1</v>
      </c>
      <c r="F197" s="55">
        <f t="shared" si="3"/>
        <v>97</v>
      </c>
    </row>
    <row r="198" spans="1:6" x14ac:dyDescent="0.25">
      <c r="A198" s="277" t="s">
        <v>283</v>
      </c>
      <c r="B198" s="278" t="s">
        <v>284</v>
      </c>
      <c r="C198" s="278" t="s">
        <v>202</v>
      </c>
      <c r="D198" s="315">
        <v>41490</v>
      </c>
      <c r="E198" s="279">
        <v>1</v>
      </c>
      <c r="F198" s="55">
        <f t="shared" si="3"/>
        <v>97</v>
      </c>
    </row>
    <row r="199" spans="1:6" x14ac:dyDescent="0.25">
      <c r="A199" s="277" t="s">
        <v>243</v>
      </c>
      <c r="B199" s="278" t="s">
        <v>248</v>
      </c>
      <c r="C199" s="278" t="s">
        <v>202</v>
      </c>
      <c r="D199" s="315">
        <v>41490</v>
      </c>
      <c r="E199" s="279">
        <v>4</v>
      </c>
      <c r="F199" s="55">
        <f t="shared" si="3"/>
        <v>97</v>
      </c>
    </row>
    <row r="200" spans="1:6" x14ac:dyDescent="0.25">
      <c r="A200" s="277" t="s">
        <v>243</v>
      </c>
      <c r="B200" s="278" t="s">
        <v>248</v>
      </c>
      <c r="C200" s="278" t="s">
        <v>197</v>
      </c>
      <c r="D200" s="315">
        <v>41490</v>
      </c>
      <c r="E200" s="279">
        <v>4</v>
      </c>
      <c r="F200" s="55">
        <f t="shared" si="3"/>
        <v>97</v>
      </c>
    </row>
    <row r="201" spans="1:6" x14ac:dyDescent="0.25">
      <c r="A201" s="277" t="s">
        <v>267</v>
      </c>
      <c r="B201" s="278" t="s">
        <v>268</v>
      </c>
      <c r="C201" s="278" t="s">
        <v>197</v>
      </c>
      <c r="D201" s="315">
        <v>41490</v>
      </c>
      <c r="E201" s="279">
        <v>3</v>
      </c>
      <c r="F201" s="55">
        <f t="shared" si="3"/>
        <v>97</v>
      </c>
    </row>
    <row r="202" spans="1:6" x14ac:dyDescent="0.25">
      <c r="A202" s="277" t="s">
        <v>267</v>
      </c>
      <c r="B202" s="278" t="s">
        <v>268</v>
      </c>
      <c r="C202" s="278" t="s">
        <v>202</v>
      </c>
      <c r="D202" s="315">
        <v>41490</v>
      </c>
      <c r="E202" s="279">
        <v>4</v>
      </c>
      <c r="F202" s="55">
        <f t="shared" ref="F202:F265" si="4">TRUNC((D202-start)/7,0)+1</f>
        <v>97</v>
      </c>
    </row>
    <row r="203" spans="1:6" x14ac:dyDescent="0.25">
      <c r="A203" s="277" t="s">
        <v>259</v>
      </c>
      <c r="B203" s="278" t="s">
        <v>260</v>
      </c>
      <c r="C203" s="278" t="s">
        <v>197</v>
      </c>
      <c r="D203" s="315">
        <v>41490</v>
      </c>
      <c r="E203" s="279">
        <v>3</v>
      </c>
      <c r="F203" s="55">
        <f t="shared" si="4"/>
        <v>97</v>
      </c>
    </row>
    <row r="204" spans="1:6" x14ac:dyDescent="0.25">
      <c r="A204" s="277" t="s">
        <v>259</v>
      </c>
      <c r="B204" s="278" t="s">
        <v>260</v>
      </c>
      <c r="C204" s="278" t="s">
        <v>202</v>
      </c>
      <c r="D204" s="315">
        <v>41490</v>
      </c>
      <c r="E204" s="279">
        <v>3</v>
      </c>
      <c r="F204" s="55">
        <f t="shared" si="4"/>
        <v>97</v>
      </c>
    </row>
    <row r="205" spans="1:6" x14ac:dyDescent="0.25">
      <c r="A205" s="277" t="s">
        <v>267</v>
      </c>
      <c r="B205" s="278" t="s">
        <v>268</v>
      </c>
      <c r="C205" s="278" t="s">
        <v>198</v>
      </c>
      <c r="D205" s="315">
        <v>41490</v>
      </c>
      <c r="E205" s="279">
        <v>1</v>
      </c>
      <c r="F205" s="55">
        <f t="shared" si="4"/>
        <v>97</v>
      </c>
    </row>
    <row r="206" spans="1:6" x14ac:dyDescent="0.25">
      <c r="A206" s="277" t="s">
        <v>261</v>
      </c>
      <c r="B206" s="278" t="s">
        <v>262</v>
      </c>
      <c r="C206" s="278" t="s">
        <v>197</v>
      </c>
      <c r="D206" s="315">
        <v>41490</v>
      </c>
      <c r="E206" s="279">
        <v>3</v>
      </c>
      <c r="F206" s="55">
        <f t="shared" si="4"/>
        <v>97</v>
      </c>
    </row>
    <row r="207" spans="1:6" x14ac:dyDescent="0.25">
      <c r="A207" s="277" t="s">
        <v>261</v>
      </c>
      <c r="B207" s="278" t="s">
        <v>262</v>
      </c>
      <c r="C207" s="278" t="s">
        <v>202</v>
      </c>
      <c r="D207" s="315">
        <v>41490</v>
      </c>
      <c r="E207" s="279">
        <v>3</v>
      </c>
      <c r="F207" s="55">
        <f t="shared" si="4"/>
        <v>97</v>
      </c>
    </row>
    <row r="208" spans="1:6" x14ac:dyDescent="0.25">
      <c r="A208" s="277" t="s">
        <v>273</v>
      </c>
      <c r="B208" s="278" t="s">
        <v>274</v>
      </c>
      <c r="C208" s="278" t="s">
        <v>197</v>
      </c>
      <c r="D208" s="315">
        <v>41490</v>
      </c>
      <c r="E208" s="279">
        <v>1</v>
      </c>
      <c r="F208" s="55">
        <f t="shared" si="4"/>
        <v>97</v>
      </c>
    </row>
    <row r="209" spans="1:6" x14ac:dyDescent="0.25">
      <c r="A209" s="277" t="s">
        <v>273</v>
      </c>
      <c r="B209" s="278" t="s">
        <v>274</v>
      </c>
      <c r="C209" s="278" t="s">
        <v>202</v>
      </c>
      <c r="D209" s="315">
        <v>41490</v>
      </c>
      <c r="E209" s="279">
        <v>1</v>
      </c>
      <c r="F209" s="55">
        <f t="shared" si="4"/>
        <v>97</v>
      </c>
    </row>
    <row r="210" spans="1:6" x14ac:dyDescent="0.25">
      <c r="A210" s="277" t="s">
        <v>251</v>
      </c>
      <c r="B210" s="278" t="s">
        <v>252</v>
      </c>
      <c r="C210" s="278" t="s">
        <v>202</v>
      </c>
      <c r="D210" s="315">
        <v>41490</v>
      </c>
      <c r="E210" s="279">
        <v>4</v>
      </c>
      <c r="F210" s="55">
        <f t="shared" si="4"/>
        <v>97</v>
      </c>
    </row>
    <row r="211" spans="1:6" x14ac:dyDescent="0.25">
      <c r="A211" s="277" t="s">
        <v>251</v>
      </c>
      <c r="B211" s="278" t="s">
        <v>252</v>
      </c>
      <c r="C211" s="278" t="s">
        <v>197</v>
      </c>
      <c r="D211" s="315">
        <v>41490</v>
      </c>
      <c r="E211" s="279">
        <v>4</v>
      </c>
      <c r="F211" s="55">
        <f t="shared" si="4"/>
        <v>97</v>
      </c>
    </row>
    <row r="212" spans="1:6" x14ac:dyDescent="0.25">
      <c r="A212" s="277" t="s">
        <v>269</v>
      </c>
      <c r="B212" s="278" t="s">
        <v>270</v>
      </c>
      <c r="C212" s="278" t="s">
        <v>197</v>
      </c>
      <c r="D212" s="315">
        <v>41490</v>
      </c>
      <c r="E212" s="279">
        <v>1</v>
      </c>
      <c r="F212" s="55">
        <f t="shared" si="4"/>
        <v>97</v>
      </c>
    </row>
    <row r="213" spans="1:6" x14ac:dyDescent="0.25">
      <c r="A213" s="277" t="s">
        <v>269</v>
      </c>
      <c r="B213" s="278" t="s">
        <v>270</v>
      </c>
      <c r="C213" s="278" t="s">
        <v>202</v>
      </c>
      <c r="D213" s="315">
        <v>41490</v>
      </c>
      <c r="E213" s="279">
        <v>1</v>
      </c>
      <c r="F213" s="55">
        <f t="shared" si="4"/>
        <v>97</v>
      </c>
    </row>
    <row r="214" spans="1:6" x14ac:dyDescent="0.25">
      <c r="A214" s="277" t="s">
        <v>269</v>
      </c>
      <c r="B214" s="278" t="s">
        <v>270</v>
      </c>
      <c r="C214" s="278" t="s">
        <v>198</v>
      </c>
      <c r="D214" s="315">
        <v>41490</v>
      </c>
      <c r="E214" s="279">
        <v>1</v>
      </c>
      <c r="F214" s="55">
        <f t="shared" si="4"/>
        <v>97</v>
      </c>
    </row>
    <row r="215" spans="1:6" x14ac:dyDescent="0.25">
      <c r="A215" s="277" t="s">
        <v>281</v>
      </c>
      <c r="B215" s="278" t="s">
        <v>282</v>
      </c>
      <c r="C215" s="278" t="s">
        <v>202</v>
      </c>
      <c r="D215" s="315">
        <v>41491</v>
      </c>
      <c r="E215" s="279">
        <v>8</v>
      </c>
      <c r="F215" s="55">
        <f t="shared" si="4"/>
        <v>97</v>
      </c>
    </row>
    <row r="216" spans="1:6" x14ac:dyDescent="0.25">
      <c r="A216" s="277" t="s">
        <v>281</v>
      </c>
      <c r="B216" s="278" t="s">
        <v>282</v>
      </c>
      <c r="C216" s="278" t="s">
        <v>197</v>
      </c>
      <c r="D216" s="315">
        <v>41491</v>
      </c>
      <c r="E216" s="279">
        <v>8</v>
      </c>
      <c r="F216" s="55">
        <f t="shared" si="4"/>
        <v>97</v>
      </c>
    </row>
    <row r="217" spans="1:6" x14ac:dyDescent="0.25">
      <c r="A217" s="277" t="s">
        <v>251</v>
      </c>
      <c r="B217" s="278" t="s">
        <v>252</v>
      </c>
      <c r="C217" s="278" t="s">
        <v>202</v>
      </c>
      <c r="D217" s="315">
        <v>41491</v>
      </c>
      <c r="E217" s="279">
        <v>2</v>
      </c>
      <c r="F217" s="55">
        <f t="shared" si="4"/>
        <v>97</v>
      </c>
    </row>
    <row r="218" spans="1:6" x14ac:dyDescent="0.25">
      <c r="A218" s="277" t="s">
        <v>251</v>
      </c>
      <c r="B218" s="278" t="s">
        <v>252</v>
      </c>
      <c r="C218" s="278" t="s">
        <v>197</v>
      </c>
      <c r="D218" s="315">
        <v>41491</v>
      </c>
      <c r="E218" s="279">
        <v>2</v>
      </c>
      <c r="F218" s="55">
        <f t="shared" si="4"/>
        <v>97</v>
      </c>
    </row>
    <row r="219" spans="1:6" x14ac:dyDescent="0.25">
      <c r="A219" s="277" t="s">
        <v>255</v>
      </c>
      <c r="B219" s="278" t="s">
        <v>256</v>
      </c>
      <c r="C219" s="278" t="s">
        <v>202</v>
      </c>
      <c r="D219" s="315">
        <v>41491</v>
      </c>
      <c r="E219" s="279">
        <v>10</v>
      </c>
      <c r="F219" s="55">
        <f t="shared" si="4"/>
        <v>97</v>
      </c>
    </row>
    <row r="220" spans="1:6" x14ac:dyDescent="0.25">
      <c r="A220" s="277" t="s">
        <v>255</v>
      </c>
      <c r="B220" s="278" t="s">
        <v>256</v>
      </c>
      <c r="C220" s="278" t="s">
        <v>197</v>
      </c>
      <c r="D220" s="315">
        <v>41491</v>
      </c>
      <c r="E220" s="279">
        <v>10</v>
      </c>
      <c r="F220" s="55">
        <f t="shared" si="4"/>
        <v>97</v>
      </c>
    </row>
    <row r="221" spans="1:6" x14ac:dyDescent="0.25">
      <c r="A221" s="277" t="s">
        <v>249</v>
      </c>
      <c r="B221" s="278" t="s">
        <v>250</v>
      </c>
      <c r="C221" s="278" t="s">
        <v>202</v>
      </c>
      <c r="D221" s="315">
        <v>41491</v>
      </c>
      <c r="E221" s="279">
        <v>3</v>
      </c>
      <c r="F221" s="55">
        <f t="shared" si="4"/>
        <v>97</v>
      </c>
    </row>
    <row r="222" spans="1:6" x14ac:dyDescent="0.25">
      <c r="A222" s="277" t="s">
        <v>249</v>
      </c>
      <c r="B222" s="278" t="s">
        <v>250</v>
      </c>
      <c r="C222" s="278" t="s">
        <v>197</v>
      </c>
      <c r="D222" s="315">
        <v>41491</v>
      </c>
      <c r="E222" s="279">
        <v>2</v>
      </c>
      <c r="F222" s="55">
        <f t="shared" si="4"/>
        <v>97</v>
      </c>
    </row>
    <row r="223" spans="1:6" x14ac:dyDescent="0.25">
      <c r="A223" s="277" t="s">
        <v>249</v>
      </c>
      <c r="B223" s="278" t="s">
        <v>250</v>
      </c>
      <c r="C223" s="278" t="s">
        <v>198</v>
      </c>
      <c r="D223" s="315">
        <v>41491</v>
      </c>
      <c r="E223" s="279">
        <v>2</v>
      </c>
      <c r="F223" s="55">
        <f t="shared" si="4"/>
        <v>97</v>
      </c>
    </row>
    <row r="224" spans="1:6" x14ac:dyDescent="0.25">
      <c r="A224" s="277" t="s">
        <v>255</v>
      </c>
      <c r="B224" s="278" t="s">
        <v>256</v>
      </c>
      <c r="C224" s="278" t="s">
        <v>198</v>
      </c>
      <c r="D224" s="315">
        <v>41491</v>
      </c>
      <c r="E224" s="279">
        <v>1</v>
      </c>
      <c r="F224" s="55">
        <f t="shared" si="4"/>
        <v>97</v>
      </c>
    </row>
    <row r="225" spans="1:6" x14ac:dyDescent="0.25">
      <c r="A225" s="277" t="s">
        <v>285</v>
      </c>
      <c r="B225" s="278" t="s">
        <v>286</v>
      </c>
      <c r="C225" s="278" t="s">
        <v>202</v>
      </c>
      <c r="D225" s="315">
        <v>41491</v>
      </c>
      <c r="E225" s="279">
        <v>7</v>
      </c>
      <c r="F225" s="55">
        <f t="shared" si="4"/>
        <v>97</v>
      </c>
    </row>
    <row r="226" spans="1:6" x14ac:dyDescent="0.25">
      <c r="A226" s="277" t="s">
        <v>285</v>
      </c>
      <c r="B226" s="278" t="s">
        <v>286</v>
      </c>
      <c r="C226" s="278" t="s">
        <v>197</v>
      </c>
      <c r="D226" s="315">
        <v>41491</v>
      </c>
      <c r="E226" s="279">
        <v>3</v>
      </c>
      <c r="F226" s="55">
        <f t="shared" si="4"/>
        <v>97</v>
      </c>
    </row>
    <row r="227" spans="1:6" x14ac:dyDescent="0.25">
      <c r="A227" s="277" t="s">
        <v>285</v>
      </c>
      <c r="B227" s="278" t="s">
        <v>286</v>
      </c>
      <c r="C227" s="278" t="s">
        <v>198</v>
      </c>
      <c r="D227" s="315">
        <v>41491</v>
      </c>
      <c r="E227" s="279">
        <v>2</v>
      </c>
      <c r="F227" s="55">
        <f t="shared" si="4"/>
        <v>97</v>
      </c>
    </row>
    <row r="228" spans="1:6" x14ac:dyDescent="0.25">
      <c r="A228" s="277" t="s">
        <v>259</v>
      </c>
      <c r="B228" s="278" t="s">
        <v>260</v>
      </c>
      <c r="C228" s="278" t="s">
        <v>202</v>
      </c>
      <c r="D228" s="315">
        <v>41491</v>
      </c>
      <c r="E228" s="279">
        <v>3</v>
      </c>
      <c r="F228" s="55">
        <f t="shared" si="4"/>
        <v>97</v>
      </c>
    </row>
    <row r="229" spans="1:6" x14ac:dyDescent="0.25">
      <c r="A229" s="277" t="s">
        <v>259</v>
      </c>
      <c r="B229" s="278" t="s">
        <v>260</v>
      </c>
      <c r="C229" s="278" t="s">
        <v>197</v>
      </c>
      <c r="D229" s="315">
        <v>41491</v>
      </c>
      <c r="E229" s="279">
        <v>3</v>
      </c>
      <c r="F229" s="55">
        <f t="shared" si="4"/>
        <v>97</v>
      </c>
    </row>
    <row r="230" spans="1:6" x14ac:dyDescent="0.25">
      <c r="A230" s="277" t="s">
        <v>243</v>
      </c>
      <c r="B230" s="278" t="s">
        <v>248</v>
      </c>
      <c r="C230" s="278" t="s">
        <v>202</v>
      </c>
      <c r="D230" s="315">
        <v>41491</v>
      </c>
      <c r="E230" s="279">
        <v>6</v>
      </c>
      <c r="F230" s="55">
        <f t="shared" si="4"/>
        <v>97</v>
      </c>
    </row>
    <row r="231" spans="1:6" x14ac:dyDescent="0.25">
      <c r="A231" s="277" t="s">
        <v>243</v>
      </c>
      <c r="B231" s="278" t="s">
        <v>248</v>
      </c>
      <c r="C231" s="278" t="s">
        <v>197</v>
      </c>
      <c r="D231" s="315">
        <v>41491</v>
      </c>
      <c r="E231" s="279">
        <v>6</v>
      </c>
      <c r="F231" s="55">
        <f t="shared" si="4"/>
        <v>97</v>
      </c>
    </row>
    <row r="232" spans="1:6" x14ac:dyDescent="0.25">
      <c r="A232" s="277" t="s">
        <v>257</v>
      </c>
      <c r="B232" s="278" t="s">
        <v>258</v>
      </c>
      <c r="C232" s="278" t="s">
        <v>202</v>
      </c>
      <c r="D232" s="315">
        <v>41491</v>
      </c>
      <c r="E232" s="279">
        <v>3</v>
      </c>
      <c r="F232" s="55">
        <f t="shared" si="4"/>
        <v>97</v>
      </c>
    </row>
    <row r="233" spans="1:6" x14ac:dyDescent="0.25">
      <c r="A233" s="277" t="s">
        <v>257</v>
      </c>
      <c r="B233" s="278" t="s">
        <v>258</v>
      </c>
      <c r="C233" s="278" t="s">
        <v>197</v>
      </c>
      <c r="D233" s="315">
        <v>41491</v>
      </c>
      <c r="E233" s="279">
        <v>3</v>
      </c>
      <c r="F233" s="55">
        <f t="shared" si="4"/>
        <v>97</v>
      </c>
    </row>
    <row r="234" spans="1:6" x14ac:dyDescent="0.25">
      <c r="A234" s="277" t="s">
        <v>285</v>
      </c>
      <c r="B234" s="278" t="s">
        <v>286</v>
      </c>
      <c r="C234" s="278" t="s">
        <v>202</v>
      </c>
      <c r="D234" s="315">
        <v>41492</v>
      </c>
      <c r="E234" s="279">
        <v>6</v>
      </c>
      <c r="F234" s="55">
        <f t="shared" si="4"/>
        <v>97</v>
      </c>
    </row>
    <row r="235" spans="1:6" x14ac:dyDescent="0.25">
      <c r="A235" s="277" t="s">
        <v>285</v>
      </c>
      <c r="B235" s="278" t="s">
        <v>286</v>
      </c>
      <c r="C235" s="278" t="s">
        <v>197</v>
      </c>
      <c r="D235" s="315">
        <v>41492</v>
      </c>
      <c r="E235" s="279">
        <v>4</v>
      </c>
      <c r="F235" s="55">
        <f t="shared" si="4"/>
        <v>97</v>
      </c>
    </row>
    <row r="236" spans="1:6" x14ac:dyDescent="0.25">
      <c r="A236" s="277" t="s">
        <v>285</v>
      </c>
      <c r="B236" s="278" t="s">
        <v>286</v>
      </c>
      <c r="C236" s="278" t="s">
        <v>198</v>
      </c>
      <c r="D236" s="315">
        <v>41492</v>
      </c>
      <c r="E236" s="279">
        <v>2</v>
      </c>
      <c r="F236" s="55">
        <f t="shared" si="4"/>
        <v>97</v>
      </c>
    </row>
    <row r="237" spans="1:6" x14ac:dyDescent="0.25">
      <c r="A237" s="277" t="s">
        <v>279</v>
      </c>
      <c r="B237" s="278" t="s">
        <v>280</v>
      </c>
      <c r="C237" s="278" t="s">
        <v>202</v>
      </c>
      <c r="D237" s="315">
        <v>41492</v>
      </c>
      <c r="E237" s="279">
        <v>3</v>
      </c>
      <c r="F237" s="55">
        <f t="shared" si="4"/>
        <v>97</v>
      </c>
    </row>
    <row r="238" spans="1:6" x14ac:dyDescent="0.25">
      <c r="A238" s="277" t="s">
        <v>279</v>
      </c>
      <c r="B238" s="278" t="s">
        <v>280</v>
      </c>
      <c r="C238" s="278" t="s">
        <v>197</v>
      </c>
      <c r="D238" s="315">
        <v>41492</v>
      </c>
      <c r="E238" s="279">
        <v>2</v>
      </c>
      <c r="F238" s="55">
        <f t="shared" si="4"/>
        <v>97</v>
      </c>
    </row>
    <row r="239" spans="1:6" x14ac:dyDescent="0.25">
      <c r="A239" s="277" t="s">
        <v>279</v>
      </c>
      <c r="B239" s="278" t="s">
        <v>280</v>
      </c>
      <c r="C239" s="278" t="s">
        <v>198</v>
      </c>
      <c r="D239" s="315">
        <v>41492</v>
      </c>
      <c r="E239" s="279">
        <v>1</v>
      </c>
      <c r="F239" s="55">
        <f t="shared" si="4"/>
        <v>97</v>
      </c>
    </row>
    <row r="240" spans="1:6" x14ac:dyDescent="0.25">
      <c r="A240" s="277" t="s">
        <v>265</v>
      </c>
      <c r="B240" s="278" t="s">
        <v>266</v>
      </c>
      <c r="C240" s="278" t="s">
        <v>197</v>
      </c>
      <c r="D240" s="315">
        <v>41492</v>
      </c>
      <c r="E240" s="279">
        <v>21</v>
      </c>
      <c r="F240" s="55">
        <f t="shared" si="4"/>
        <v>97</v>
      </c>
    </row>
    <row r="241" spans="1:6" x14ac:dyDescent="0.25">
      <c r="A241" s="277" t="s">
        <v>265</v>
      </c>
      <c r="B241" s="278" t="s">
        <v>266</v>
      </c>
      <c r="C241" s="278" t="s">
        <v>202</v>
      </c>
      <c r="D241" s="315">
        <v>41492</v>
      </c>
      <c r="E241" s="279">
        <v>22</v>
      </c>
      <c r="F241" s="55">
        <f t="shared" si="4"/>
        <v>97</v>
      </c>
    </row>
    <row r="242" spans="1:6" x14ac:dyDescent="0.25">
      <c r="A242" s="277" t="s">
        <v>265</v>
      </c>
      <c r="B242" s="278" t="s">
        <v>266</v>
      </c>
      <c r="C242" s="278" t="s">
        <v>198</v>
      </c>
      <c r="D242" s="315">
        <v>41492</v>
      </c>
      <c r="E242" s="279">
        <v>1</v>
      </c>
      <c r="F242" s="55">
        <f t="shared" si="4"/>
        <v>97</v>
      </c>
    </row>
    <row r="243" spans="1:6" x14ac:dyDescent="0.25">
      <c r="A243" s="277" t="s">
        <v>251</v>
      </c>
      <c r="B243" s="278" t="s">
        <v>252</v>
      </c>
      <c r="C243" s="278" t="s">
        <v>202</v>
      </c>
      <c r="D243" s="315">
        <v>41492</v>
      </c>
      <c r="E243" s="279">
        <v>15</v>
      </c>
      <c r="F243" s="55">
        <f t="shared" si="4"/>
        <v>97</v>
      </c>
    </row>
    <row r="244" spans="1:6" x14ac:dyDescent="0.25">
      <c r="A244" s="277" t="s">
        <v>251</v>
      </c>
      <c r="B244" s="278" t="s">
        <v>252</v>
      </c>
      <c r="C244" s="278" t="s">
        <v>197</v>
      </c>
      <c r="D244" s="315">
        <v>41492</v>
      </c>
      <c r="E244" s="279">
        <v>15</v>
      </c>
      <c r="F244" s="55">
        <f t="shared" si="4"/>
        <v>97</v>
      </c>
    </row>
    <row r="245" spans="1:6" x14ac:dyDescent="0.25">
      <c r="A245" s="277" t="s">
        <v>243</v>
      </c>
      <c r="B245" s="278" t="s">
        <v>248</v>
      </c>
      <c r="C245" s="278" t="s">
        <v>197</v>
      </c>
      <c r="D245" s="315">
        <v>41492</v>
      </c>
      <c r="E245" s="279">
        <v>17</v>
      </c>
      <c r="F245" s="55">
        <f t="shared" si="4"/>
        <v>97</v>
      </c>
    </row>
    <row r="246" spans="1:6" x14ac:dyDescent="0.25">
      <c r="A246" s="277" t="s">
        <v>243</v>
      </c>
      <c r="B246" s="278" t="s">
        <v>248</v>
      </c>
      <c r="C246" s="278" t="s">
        <v>202</v>
      </c>
      <c r="D246" s="315">
        <v>41492</v>
      </c>
      <c r="E246" s="279">
        <v>17</v>
      </c>
      <c r="F246" s="55">
        <f t="shared" si="4"/>
        <v>97</v>
      </c>
    </row>
    <row r="247" spans="1:6" x14ac:dyDescent="0.25">
      <c r="A247" s="277" t="s">
        <v>257</v>
      </c>
      <c r="B247" s="278" t="s">
        <v>258</v>
      </c>
      <c r="C247" s="278" t="s">
        <v>202</v>
      </c>
      <c r="D247" s="315">
        <v>41492</v>
      </c>
      <c r="E247" s="279">
        <v>15</v>
      </c>
      <c r="F247" s="55">
        <f t="shared" si="4"/>
        <v>97</v>
      </c>
    </row>
    <row r="248" spans="1:6" x14ac:dyDescent="0.25">
      <c r="A248" s="277" t="s">
        <v>257</v>
      </c>
      <c r="B248" s="278" t="s">
        <v>258</v>
      </c>
      <c r="C248" s="278" t="s">
        <v>197</v>
      </c>
      <c r="D248" s="315">
        <v>41492</v>
      </c>
      <c r="E248" s="279">
        <v>15</v>
      </c>
      <c r="F248" s="55">
        <f t="shared" si="4"/>
        <v>97</v>
      </c>
    </row>
    <row r="249" spans="1:6" x14ac:dyDescent="0.25">
      <c r="A249" s="277" t="s">
        <v>255</v>
      </c>
      <c r="B249" s="278" t="s">
        <v>256</v>
      </c>
      <c r="C249" s="278" t="s">
        <v>197</v>
      </c>
      <c r="D249" s="315">
        <v>41492</v>
      </c>
      <c r="E249" s="279">
        <v>16</v>
      </c>
      <c r="F249" s="55">
        <f t="shared" si="4"/>
        <v>97</v>
      </c>
    </row>
    <row r="250" spans="1:6" x14ac:dyDescent="0.25">
      <c r="A250" s="277" t="s">
        <v>255</v>
      </c>
      <c r="B250" s="278" t="s">
        <v>256</v>
      </c>
      <c r="C250" s="278" t="s">
        <v>202</v>
      </c>
      <c r="D250" s="315">
        <v>41492</v>
      </c>
      <c r="E250" s="279">
        <v>16</v>
      </c>
      <c r="F250" s="55">
        <f t="shared" si="4"/>
        <v>97</v>
      </c>
    </row>
    <row r="251" spans="1:6" x14ac:dyDescent="0.25">
      <c r="A251" s="277" t="s">
        <v>267</v>
      </c>
      <c r="B251" s="278" t="s">
        <v>268</v>
      </c>
      <c r="C251" s="278" t="s">
        <v>202</v>
      </c>
      <c r="D251" s="315">
        <v>41492</v>
      </c>
      <c r="E251" s="279">
        <v>6</v>
      </c>
      <c r="F251" s="55">
        <f t="shared" si="4"/>
        <v>97</v>
      </c>
    </row>
    <row r="252" spans="1:6" x14ac:dyDescent="0.25">
      <c r="A252" s="277" t="s">
        <v>267</v>
      </c>
      <c r="B252" s="278" t="s">
        <v>268</v>
      </c>
      <c r="C252" s="278" t="s">
        <v>197</v>
      </c>
      <c r="D252" s="315">
        <v>41492</v>
      </c>
      <c r="E252" s="279">
        <v>4</v>
      </c>
      <c r="F252" s="55">
        <f t="shared" si="4"/>
        <v>97</v>
      </c>
    </row>
    <row r="253" spans="1:6" x14ac:dyDescent="0.25">
      <c r="A253" s="277" t="s">
        <v>267</v>
      </c>
      <c r="B253" s="278" t="s">
        <v>268</v>
      </c>
      <c r="C253" s="278" t="s">
        <v>198</v>
      </c>
      <c r="D253" s="315">
        <v>41492</v>
      </c>
      <c r="E253" s="279">
        <v>2</v>
      </c>
      <c r="F253" s="55">
        <f t="shared" si="4"/>
        <v>97</v>
      </c>
    </row>
    <row r="254" spans="1:6" x14ac:dyDescent="0.25">
      <c r="A254" s="277" t="s">
        <v>255</v>
      </c>
      <c r="B254" s="278" t="s">
        <v>256</v>
      </c>
      <c r="C254" s="278" t="s">
        <v>198</v>
      </c>
      <c r="D254" s="315">
        <v>41492</v>
      </c>
      <c r="E254" s="279">
        <v>1</v>
      </c>
      <c r="F254" s="55">
        <f t="shared" si="4"/>
        <v>97</v>
      </c>
    </row>
    <row r="255" spans="1:6" x14ac:dyDescent="0.25">
      <c r="A255" s="277" t="s">
        <v>275</v>
      </c>
      <c r="B255" s="278" t="s">
        <v>276</v>
      </c>
      <c r="C255" s="278" t="s">
        <v>197</v>
      </c>
      <c r="D255" s="315">
        <v>41492</v>
      </c>
      <c r="E255" s="279">
        <v>8</v>
      </c>
      <c r="F255" s="55">
        <f t="shared" si="4"/>
        <v>97</v>
      </c>
    </row>
    <row r="256" spans="1:6" x14ac:dyDescent="0.25">
      <c r="A256" s="277" t="s">
        <v>275</v>
      </c>
      <c r="B256" s="278" t="s">
        <v>276</v>
      </c>
      <c r="C256" s="278" t="s">
        <v>202</v>
      </c>
      <c r="D256" s="315">
        <v>41492</v>
      </c>
      <c r="E256" s="279">
        <v>9</v>
      </c>
      <c r="F256" s="55">
        <f t="shared" si="4"/>
        <v>97</v>
      </c>
    </row>
    <row r="257" spans="1:6" x14ac:dyDescent="0.25">
      <c r="A257" s="277" t="s">
        <v>275</v>
      </c>
      <c r="B257" s="278" t="s">
        <v>276</v>
      </c>
      <c r="C257" s="278" t="s">
        <v>198</v>
      </c>
      <c r="D257" s="315">
        <v>41492</v>
      </c>
      <c r="E257" s="279">
        <v>1</v>
      </c>
      <c r="F257" s="55">
        <f t="shared" si="4"/>
        <v>97</v>
      </c>
    </row>
    <row r="258" spans="1:6" x14ac:dyDescent="0.25">
      <c r="A258" s="277" t="s">
        <v>249</v>
      </c>
      <c r="B258" s="278" t="s">
        <v>250</v>
      </c>
      <c r="C258" s="278" t="s">
        <v>202</v>
      </c>
      <c r="D258" s="315">
        <v>41492</v>
      </c>
      <c r="E258" s="279">
        <v>1</v>
      </c>
      <c r="F258" s="55">
        <f t="shared" si="4"/>
        <v>97</v>
      </c>
    </row>
    <row r="259" spans="1:6" x14ac:dyDescent="0.25">
      <c r="A259" s="277" t="s">
        <v>249</v>
      </c>
      <c r="B259" s="278" t="s">
        <v>250</v>
      </c>
      <c r="C259" s="278" t="s">
        <v>197</v>
      </c>
      <c r="D259" s="315">
        <v>41492</v>
      </c>
      <c r="E259" s="279">
        <v>1</v>
      </c>
      <c r="F259" s="55">
        <f t="shared" si="4"/>
        <v>97</v>
      </c>
    </row>
    <row r="260" spans="1:6" x14ac:dyDescent="0.25">
      <c r="A260" s="277" t="s">
        <v>287</v>
      </c>
      <c r="B260" s="278" t="s">
        <v>288</v>
      </c>
      <c r="C260" s="278" t="s">
        <v>202</v>
      </c>
      <c r="D260" s="315">
        <v>41492</v>
      </c>
      <c r="E260" s="279">
        <v>1</v>
      </c>
      <c r="F260" s="55">
        <f t="shared" si="4"/>
        <v>97</v>
      </c>
    </row>
    <row r="261" spans="1:6" x14ac:dyDescent="0.25">
      <c r="A261" s="277" t="s">
        <v>287</v>
      </c>
      <c r="B261" s="278" t="s">
        <v>288</v>
      </c>
      <c r="C261" s="278" t="s">
        <v>198</v>
      </c>
      <c r="D261" s="315">
        <v>41492</v>
      </c>
      <c r="E261" s="279">
        <v>1</v>
      </c>
      <c r="F261" s="55">
        <f t="shared" si="4"/>
        <v>97</v>
      </c>
    </row>
    <row r="262" spans="1:6" x14ac:dyDescent="0.25">
      <c r="A262" s="277" t="s">
        <v>287</v>
      </c>
      <c r="B262" s="278" t="s">
        <v>288</v>
      </c>
      <c r="C262" s="278" t="s">
        <v>197</v>
      </c>
      <c r="D262" s="315">
        <v>41492</v>
      </c>
      <c r="E262" s="279">
        <v>1</v>
      </c>
      <c r="F262" s="55">
        <f t="shared" si="4"/>
        <v>97</v>
      </c>
    </row>
    <row r="263" spans="1:6" x14ac:dyDescent="0.25">
      <c r="A263" s="277" t="s">
        <v>251</v>
      </c>
      <c r="B263" s="278" t="s">
        <v>252</v>
      </c>
      <c r="C263" s="278" t="s">
        <v>197</v>
      </c>
      <c r="D263" s="315">
        <v>41493</v>
      </c>
      <c r="E263" s="279">
        <v>11</v>
      </c>
      <c r="F263" s="55">
        <f t="shared" si="4"/>
        <v>97</v>
      </c>
    </row>
    <row r="264" spans="1:6" x14ac:dyDescent="0.25">
      <c r="A264" s="277" t="s">
        <v>251</v>
      </c>
      <c r="B264" s="278" t="s">
        <v>252</v>
      </c>
      <c r="C264" s="278" t="s">
        <v>202</v>
      </c>
      <c r="D264" s="315">
        <v>41493</v>
      </c>
      <c r="E264" s="279">
        <v>11</v>
      </c>
      <c r="F264" s="55">
        <f t="shared" si="4"/>
        <v>97</v>
      </c>
    </row>
    <row r="265" spans="1:6" x14ac:dyDescent="0.25">
      <c r="A265" s="277" t="s">
        <v>257</v>
      </c>
      <c r="B265" s="278" t="s">
        <v>258</v>
      </c>
      <c r="C265" s="278" t="s">
        <v>197</v>
      </c>
      <c r="D265" s="315">
        <v>41493</v>
      </c>
      <c r="E265" s="279">
        <v>9</v>
      </c>
      <c r="F265" s="55">
        <f t="shared" si="4"/>
        <v>97</v>
      </c>
    </row>
    <row r="266" spans="1:6" x14ac:dyDescent="0.25">
      <c r="A266" s="277" t="s">
        <v>257</v>
      </c>
      <c r="B266" s="278" t="s">
        <v>258</v>
      </c>
      <c r="C266" s="278" t="s">
        <v>202</v>
      </c>
      <c r="D266" s="315">
        <v>41493</v>
      </c>
      <c r="E266" s="279">
        <v>9</v>
      </c>
      <c r="F266" s="55">
        <f t="shared" ref="F266:F329" si="5">TRUNC((D266-start)/7,0)+1</f>
        <v>97</v>
      </c>
    </row>
    <row r="267" spans="1:6" x14ac:dyDescent="0.25">
      <c r="A267" s="277" t="s">
        <v>255</v>
      </c>
      <c r="B267" s="278" t="s">
        <v>256</v>
      </c>
      <c r="C267" s="278" t="s">
        <v>202</v>
      </c>
      <c r="D267" s="315">
        <v>41493</v>
      </c>
      <c r="E267" s="279">
        <v>1</v>
      </c>
      <c r="F267" s="55">
        <f t="shared" si="5"/>
        <v>97</v>
      </c>
    </row>
    <row r="268" spans="1:6" x14ac:dyDescent="0.25">
      <c r="A268" s="277" t="s">
        <v>255</v>
      </c>
      <c r="B268" s="278" t="s">
        <v>256</v>
      </c>
      <c r="C268" s="278" t="s">
        <v>197</v>
      </c>
      <c r="D268" s="315">
        <v>41493</v>
      </c>
      <c r="E268" s="279">
        <v>1</v>
      </c>
      <c r="F268" s="55">
        <f t="shared" si="5"/>
        <v>97</v>
      </c>
    </row>
    <row r="269" spans="1:6" x14ac:dyDescent="0.25">
      <c r="A269" s="277" t="s">
        <v>249</v>
      </c>
      <c r="B269" s="278" t="s">
        <v>250</v>
      </c>
      <c r="C269" s="278" t="s">
        <v>197</v>
      </c>
      <c r="D269" s="315">
        <v>41493</v>
      </c>
      <c r="E269" s="279">
        <v>2</v>
      </c>
      <c r="F269" s="55">
        <f t="shared" si="5"/>
        <v>97</v>
      </c>
    </row>
    <row r="270" spans="1:6" x14ac:dyDescent="0.25">
      <c r="A270" s="277" t="s">
        <v>249</v>
      </c>
      <c r="B270" s="278" t="s">
        <v>250</v>
      </c>
      <c r="C270" s="278" t="s">
        <v>202</v>
      </c>
      <c r="D270" s="315">
        <v>41493</v>
      </c>
      <c r="E270" s="279">
        <v>3</v>
      </c>
      <c r="F270" s="55">
        <f t="shared" si="5"/>
        <v>97</v>
      </c>
    </row>
    <row r="271" spans="1:6" x14ac:dyDescent="0.25">
      <c r="A271" s="277" t="s">
        <v>249</v>
      </c>
      <c r="B271" s="278" t="s">
        <v>250</v>
      </c>
      <c r="C271" s="278" t="s">
        <v>198</v>
      </c>
      <c r="D271" s="315">
        <v>41493</v>
      </c>
      <c r="E271" s="279">
        <v>1</v>
      </c>
      <c r="F271" s="55">
        <f t="shared" si="5"/>
        <v>97</v>
      </c>
    </row>
    <row r="272" spans="1:6" x14ac:dyDescent="0.25">
      <c r="A272" s="277" t="s">
        <v>267</v>
      </c>
      <c r="B272" s="278" t="s">
        <v>268</v>
      </c>
      <c r="C272" s="278" t="s">
        <v>197</v>
      </c>
      <c r="D272" s="315">
        <v>41493</v>
      </c>
      <c r="E272" s="279">
        <v>1</v>
      </c>
      <c r="F272" s="55">
        <f t="shared" si="5"/>
        <v>97</v>
      </c>
    </row>
    <row r="273" spans="1:6" x14ac:dyDescent="0.25">
      <c r="A273" s="277" t="s">
        <v>267</v>
      </c>
      <c r="B273" s="278" t="s">
        <v>268</v>
      </c>
      <c r="C273" s="278" t="s">
        <v>202</v>
      </c>
      <c r="D273" s="315">
        <v>41493</v>
      </c>
      <c r="E273" s="279">
        <v>1</v>
      </c>
      <c r="F273" s="55">
        <f t="shared" si="5"/>
        <v>97</v>
      </c>
    </row>
    <row r="274" spans="1:6" x14ac:dyDescent="0.25">
      <c r="A274" s="277" t="s">
        <v>267</v>
      </c>
      <c r="B274" s="278" t="s">
        <v>268</v>
      </c>
      <c r="C274" s="278" t="s">
        <v>198</v>
      </c>
      <c r="D274" s="315">
        <v>41493</v>
      </c>
      <c r="E274" s="279">
        <v>1</v>
      </c>
      <c r="F274" s="55">
        <f t="shared" si="5"/>
        <v>97</v>
      </c>
    </row>
    <row r="275" spans="1:6" x14ac:dyDescent="0.25">
      <c r="A275" s="277" t="s">
        <v>243</v>
      </c>
      <c r="B275" s="278" t="s">
        <v>248</v>
      </c>
      <c r="C275" s="278" t="s">
        <v>197</v>
      </c>
      <c r="D275" s="315">
        <v>41493</v>
      </c>
      <c r="E275" s="279">
        <v>5</v>
      </c>
      <c r="F275" s="55">
        <f t="shared" si="5"/>
        <v>97</v>
      </c>
    </row>
    <row r="276" spans="1:6" x14ac:dyDescent="0.25">
      <c r="A276" s="277" t="s">
        <v>243</v>
      </c>
      <c r="B276" s="278" t="s">
        <v>248</v>
      </c>
      <c r="C276" s="278" t="s">
        <v>202</v>
      </c>
      <c r="D276" s="315">
        <v>41493</v>
      </c>
      <c r="E276" s="279">
        <v>5</v>
      </c>
      <c r="F276" s="55">
        <f t="shared" si="5"/>
        <v>97</v>
      </c>
    </row>
    <row r="277" spans="1:6" x14ac:dyDescent="0.25">
      <c r="A277" s="277" t="s">
        <v>259</v>
      </c>
      <c r="B277" s="278" t="s">
        <v>260</v>
      </c>
      <c r="C277" s="278" t="s">
        <v>197</v>
      </c>
      <c r="D277" s="315">
        <v>41493</v>
      </c>
      <c r="E277" s="279">
        <v>28</v>
      </c>
      <c r="F277" s="55">
        <f t="shared" si="5"/>
        <v>97</v>
      </c>
    </row>
    <row r="278" spans="1:6" x14ac:dyDescent="0.25">
      <c r="A278" s="277" t="s">
        <v>259</v>
      </c>
      <c r="B278" s="278" t="s">
        <v>260</v>
      </c>
      <c r="C278" s="278" t="s">
        <v>202</v>
      </c>
      <c r="D278" s="315">
        <v>41493</v>
      </c>
      <c r="E278" s="279">
        <v>29</v>
      </c>
      <c r="F278" s="55">
        <f t="shared" si="5"/>
        <v>97</v>
      </c>
    </row>
    <row r="279" spans="1:6" x14ac:dyDescent="0.25">
      <c r="A279" s="277" t="s">
        <v>259</v>
      </c>
      <c r="B279" s="278" t="s">
        <v>260</v>
      </c>
      <c r="C279" s="278" t="s">
        <v>198</v>
      </c>
      <c r="D279" s="315">
        <v>41493</v>
      </c>
      <c r="E279" s="279">
        <v>1</v>
      </c>
      <c r="F279" s="55">
        <f t="shared" si="5"/>
        <v>97</v>
      </c>
    </row>
    <row r="280" spans="1:6" x14ac:dyDescent="0.25">
      <c r="A280" s="277" t="s">
        <v>255</v>
      </c>
      <c r="B280" s="278" t="s">
        <v>256</v>
      </c>
      <c r="C280" s="278" t="s">
        <v>202</v>
      </c>
      <c r="D280" s="315">
        <v>41494</v>
      </c>
      <c r="E280" s="279">
        <v>2</v>
      </c>
      <c r="F280" s="55">
        <f t="shared" si="5"/>
        <v>97</v>
      </c>
    </row>
    <row r="281" spans="1:6" x14ac:dyDescent="0.25">
      <c r="A281" s="277" t="s">
        <v>255</v>
      </c>
      <c r="B281" s="278" t="s">
        <v>256</v>
      </c>
      <c r="C281" s="278" t="s">
        <v>197</v>
      </c>
      <c r="D281" s="315">
        <v>41494</v>
      </c>
      <c r="E281" s="279">
        <v>2</v>
      </c>
      <c r="F281" s="55">
        <f t="shared" si="5"/>
        <v>97</v>
      </c>
    </row>
    <row r="282" spans="1:6" x14ac:dyDescent="0.25">
      <c r="A282" s="277" t="s">
        <v>281</v>
      </c>
      <c r="B282" s="278" t="s">
        <v>282</v>
      </c>
      <c r="C282" s="278" t="s">
        <v>202</v>
      </c>
      <c r="D282" s="315">
        <v>41494</v>
      </c>
      <c r="E282" s="279">
        <v>32</v>
      </c>
      <c r="F282" s="55">
        <f t="shared" si="5"/>
        <v>97</v>
      </c>
    </row>
    <row r="283" spans="1:6" x14ac:dyDescent="0.25">
      <c r="A283" s="277" t="s">
        <v>281</v>
      </c>
      <c r="B283" s="278" t="s">
        <v>282</v>
      </c>
      <c r="C283" s="278" t="s">
        <v>197</v>
      </c>
      <c r="D283" s="315">
        <v>41494</v>
      </c>
      <c r="E283" s="279">
        <v>32</v>
      </c>
      <c r="F283" s="55">
        <f t="shared" si="5"/>
        <v>97</v>
      </c>
    </row>
    <row r="284" spans="1:6" x14ac:dyDescent="0.25">
      <c r="A284" s="277" t="s">
        <v>283</v>
      </c>
      <c r="B284" s="278" t="s">
        <v>284</v>
      </c>
      <c r="C284" s="278" t="s">
        <v>202</v>
      </c>
      <c r="D284" s="315">
        <v>41494</v>
      </c>
      <c r="E284" s="279">
        <v>2</v>
      </c>
      <c r="F284" s="55">
        <f t="shared" si="5"/>
        <v>97</v>
      </c>
    </row>
    <row r="285" spans="1:6" x14ac:dyDescent="0.25">
      <c r="A285" s="277" t="s">
        <v>283</v>
      </c>
      <c r="B285" s="278" t="s">
        <v>284</v>
      </c>
      <c r="C285" s="278" t="s">
        <v>198</v>
      </c>
      <c r="D285" s="315">
        <v>41494</v>
      </c>
      <c r="E285" s="279">
        <v>2</v>
      </c>
      <c r="F285" s="55">
        <f t="shared" si="5"/>
        <v>97</v>
      </c>
    </row>
    <row r="286" spans="1:6" x14ac:dyDescent="0.25">
      <c r="A286" s="277" t="s">
        <v>283</v>
      </c>
      <c r="B286" s="278" t="s">
        <v>284</v>
      </c>
      <c r="C286" s="278" t="s">
        <v>197</v>
      </c>
      <c r="D286" s="315">
        <v>41494</v>
      </c>
      <c r="E286" s="279">
        <v>2</v>
      </c>
      <c r="F286" s="55">
        <f t="shared" si="5"/>
        <v>97</v>
      </c>
    </row>
    <row r="287" spans="1:6" x14ac:dyDescent="0.25">
      <c r="A287" s="277" t="s">
        <v>261</v>
      </c>
      <c r="B287" s="278" t="s">
        <v>262</v>
      </c>
      <c r="C287" s="278" t="s">
        <v>197</v>
      </c>
      <c r="D287" s="315">
        <v>41494</v>
      </c>
      <c r="E287" s="279">
        <v>9</v>
      </c>
      <c r="F287" s="55">
        <f t="shared" si="5"/>
        <v>97</v>
      </c>
    </row>
    <row r="288" spans="1:6" x14ac:dyDescent="0.25">
      <c r="A288" s="277" t="s">
        <v>261</v>
      </c>
      <c r="B288" s="278" t="s">
        <v>262</v>
      </c>
      <c r="C288" s="278" t="s">
        <v>202</v>
      </c>
      <c r="D288" s="315">
        <v>41494</v>
      </c>
      <c r="E288" s="279">
        <v>10</v>
      </c>
      <c r="F288" s="55">
        <f t="shared" si="5"/>
        <v>97</v>
      </c>
    </row>
    <row r="289" spans="1:6" x14ac:dyDescent="0.25">
      <c r="A289" s="277" t="s">
        <v>261</v>
      </c>
      <c r="B289" s="278" t="s">
        <v>262</v>
      </c>
      <c r="C289" s="278" t="s">
        <v>198</v>
      </c>
      <c r="D289" s="315">
        <v>41494</v>
      </c>
      <c r="E289" s="279">
        <v>1</v>
      </c>
      <c r="F289" s="55">
        <f t="shared" si="5"/>
        <v>97</v>
      </c>
    </row>
    <row r="290" spans="1:6" x14ac:dyDescent="0.25">
      <c r="A290" s="277" t="s">
        <v>283</v>
      </c>
      <c r="B290" s="278" t="s">
        <v>284</v>
      </c>
      <c r="C290" s="278" t="s">
        <v>203</v>
      </c>
      <c r="D290" s="315">
        <v>41494</v>
      </c>
      <c r="E290" s="279">
        <v>1</v>
      </c>
      <c r="F290" s="55">
        <f t="shared" si="5"/>
        <v>97</v>
      </c>
    </row>
    <row r="291" spans="1:6" x14ac:dyDescent="0.25">
      <c r="A291" s="277" t="s">
        <v>259</v>
      </c>
      <c r="B291" s="278" t="s">
        <v>260</v>
      </c>
      <c r="C291" s="278" t="s">
        <v>197</v>
      </c>
      <c r="D291" s="315">
        <v>41494</v>
      </c>
      <c r="E291" s="279">
        <v>4</v>
      </c>
      <c r="F291" s="55">
        <f t="shared" si="5"/>
        <v>97</v>
      </c>
    </row>
    <row r="292" spans="1:6" x14ac:dyDescent="0.25">
      <c r="A292" s="277" t="s">
        <v>259</v>
      </c>
      <c r="B292" s="278" t="s">
        <v>260</v>
      </c>
      <c r="C292" s="278" t="s">
        <v>202</v>
      </c>
      <c r="D292" s="315">
        <v>41494</v>
      </c>
      <c r="E292" s="279">
        <v>4</v>
      </c>
      <c r="F292" s="55">
        <f t="shared" si="5"/>
        <v>97</v>
      </c>
    </row>
    <row r="293" spans="1:6" x14ac:dyDescent="0.25">
      <c r="A293" s="277" t="s">
        <v>269</v>
      </c>
      <c r="B293" s="278" t="s">
        <v>270</v>
      </c>
      <c r="C293" s="278" t="s">
        <v>202</v>
      </c>
      <c r="D293" s="315">
        <v>41494</v>
      </c>
      <c r="E293" s="279">
        <v>3</v>
      </c>
      <c r="F293" s="55">
        <f t="shared" si="5"/>
        <v>97</v>
      </c>
    </row>
    <row r="294" spans="1:6" x14ac:dyDescent="0.25">
      <c r="A294" s="277" t="s">
        <v>269</v>
      </c>
      <c r="B294" s="278" t="s">
        <v>270</v>
      </c>
      <c r="C294" s="278" t="s">
        <v>197</v>
      </c>
      <c r="D294" s="315">
        <v>41494</v>
      </c>
      <c r="E294" s="279">
        <v>2</v>
      </c>
      <c r="F294" s="55">
        <f t="shared" si="5"/>
        <v>97</v>
      </c>
    </row>
    <row r="295" spans="1:6" x14ac:dyDescent="0.25">
      <c r="A295" s="277" t="s">
        <v>269</v>
      </c>
      <c r="B295" s="278" t="s">
        <v>270</v>
      </c>
      <c r="C295" s="278" t="s">
        <v>198</v>
      </c>
      <c r="D295" s="315">
        <v>41494</v>
      </c>
      <c r="E295" s="279">
        <v>1</v>
      </c>
      <c r="F295" s="55">
        <f t="shared" si="5"/>
        <v>97</v>
      </c>
    </row>
    <row r="296" spans="1:6" x14ac:dyDescent="0.25">
      <c r="A296" s="277" t="s">
        <v>243</v>
      </c>
      <c r="B296" s="278" t="s">
        <v>248</v>
      </c>
      <c r="C296" s="278" t="s">
        <v>197</v>
      </c>
      <c r="D296" s="315">
        <v>41494</v>
      </c>
      <c r="E296" s="279">
        <v>10</v>
      </c>
      <c r="F296" s="55">
        <f t="shared" si="5"/>
        <v>97</v>
      </c>
    </row>
    <row r="297" spans="1:6" x14ac:dyDescent="0.25">
      <c r="A297" s="277" t="s">
        <v>243</v>
      </c>
      <c r="B297" s="278" t="s">
        <v>248</v>
      </c>
      <c r="C297" s="278" t="s">
        <v>202</v>
      </c>
      <c r="D297" s="315">
        <v>41494</v>
      </c>
      <c r="E297" s="279">
        <v>10</v>
      </c>
      <c r="F297" s="55">
        <f t="shared" si="5"/>
        <v>97</v>
      </c>
    </row>
    <row r="298" spans="1:6" x14ac:dyDescent="0.25">
      <c r="A298" s="277" t="s">
        <v>265</v>
      </c>
      <c r="B298" s="278" t="s">
        <v>266</v>
      </c>
      <c r="C298" s="278" t="s">
        <v>197</v>
      </c>
      <c r="D298" s="315">
        <v>41494</v>
      </c>
      <c r="E298" s="279">
        <v>2</v>
      </c>
      <c r="F298" s="55">
        <f t="shared" si="5"/>
        <v>97</v>
      </c>
    </row>
    <row r="299" spans="1:6" x14ac:dyDescent="0.25">
      <c r="A299" s="277" t="s">
        <v>265</v>
      </c>
      <c r="B299" s="278" t="s">
        <v>266</v>
      </c>
      <c r="C299" s="278" t="s">
        <v>202</v>
      </c>
      <c r="D299" s="315">
        <v>41494</v>
      </c>
      <c r="E299" s="279">
        <v>2</v>
      </c>
      <c r="F299" s="55">
        <f t="shared" si="5"/>
        <v>97</v>
      </c>
    </row>
    <row r="300" spans="1:6" x14ac:dyDescent="0.25">
      <c r="A300" s="277" t="s">
        <v>251</v>
      </c>
      <c r="B300" s="278" t="s">
        <v>252</v>
      </c>
      <c r="C300" s="278" t="s">
        <v>197</v>
      </c>
      <c r="D300" s="315">
        <v>41494</v>
      </c>
      <c r="E300" s="279">
        <v>9</v>
      </c>
      <c r="F300" s="55">
        <f t="shared" si="5"/>
        <v>97</v>
      </c>
    </row>
    <row r="301" spans="1:6" x14ac:dyDescent="0.25">
      <c r="A301" s="277" t="s">
        <v>251</v>
      </c>
      <c r="B301" s="278" t="s">
        <v>252</v>
      </c>
      <c r="C301" s="278" t="s">
        <v>202</v>
      </c>
      <c r="D301" s="315">
        <v>41494</v>
      </c>
      <c r="E301" s="279">
        <v>9</v>
      </c>
      <c r="F301" s="55">
        <f t="shared" si="5"/>
        <v>97</v>
      </c>
    </row>
    <row r="302" spans="1:6" x14ac:dyDescent="0.25">
      <c r="A302" s="277" t="s">
        <v>255</v>
      </c>
      <c r="B302" s="278" t="s">
        <v>256</v>
      </c>
      <c r="C302" s="278" t="s">
        <v>197</v>
      </c>
      <c r="D302" s="315">
        <v>41495</v>
      </c>
      <c r="E302" s="279">
        <v>12</v>
      </c>
      <c r="F302" s="55">
        <f t="shared" si="5"/>
        <v>97</v>
      </c>
    </row>
    <row r="303" spans="1:6" x14ac:dyDescent="0.25">
      <c r="A303" s="277" t="s">
        <v>255</v>
      </c>
      <c r="B303" s="278" t="s">
        <v>256</v>
      </c>
      <c r="C303" s="278" t="s">
        <v>202</v>
      </c>
      <c r="D303" s="315">
        <v>41495</v>
      </c>
      <c r="E303" s="279">
        <v>12</v>
      </c>
      <c r="F303" s="55">
        <f t="shared" si="5"/>
        <v>97</v>
      </c>
    </row>
    <row r="304" spans="1:6" x14ac:dyDescent="0.25">
      <c r="A304" s="277" t="s">
        <v>243</v>
      </c>
      <c r="B304" s="278" t="s">
        <v>248</v>
      </c>
      <c r="C304" s="278" t="s">
        <v>197</v>
      </c>
      <c r="D304" s="315">
        <v>41495</v>
      </c>
      <c r="E304" s="279">
        <v>1</v>
      </c>
      <c r="F304" s="55">
        <f t="shared" si="5"/>
        <v>97</v>
      </c>
    </row>
    <row r="305" spans="1:6" x14ac:dyDescent="0.25">
      <c r="A305" s="277" t="s">
        <v>243</v>
      </c>
      <c r="B305" s="278" t="s">
        <v>248</v>
      </c>
      <c r="C305" s="278" t="s">
        <v>202</v>
      </c>
      <c r="D305" s="315">
        <v>41495</v>
      </c>
      <c r="E305" s="279">
        <v>1</v>
      </c>
      <c r="F305" s="55">
        <f t="shared" si="5"/>
        <v>97</v>
      </c>
    </row>
    <row r="306" spans="1:6" x14ac:dyDescent="0.25">
      <c r="A306" s="277" t="s">
        <v>259</v>
      </c>
      <c r="B306" s="278" t="s">
        <v>260</v>
      </c>
      <c r="C306" s="278" t="s">
        <v>197</v>
      </c>
      <c r="D306" s="315">
        <v>41495</v>
      </c>
      <c r="E306" s="279">
        <v>3</v>
      </c>
      <c r="F306" s="55">
        <f t="shared" si="5"/>
        <v>97</v>
      </c>
    </row>
    <row r="307" spans="1:6" x14ac:dyDescent="0.25">
      <c r="A307" s="277" t="s">
        <v>259</v>
      </c>
      <c r="B307" s="278" t="s">
        <v>260</v>
      </c>
      <c r="C307" s="278" t="s">
        <v>202</v>
      </c>
      <c r="D307" s="315">
        <v>41495</v>
      </c>
      <c r="E307" s="279">
        <v>3</v>
      </c>
      <c r="F307" s="55">
        <f t="shared" si="5"/>
        <v>97</v>
      </c>
    </row>
    <row r="308" spans="1:6" x14ac:dyDescent="0.25">
      <c r="A308" s="277" t="s">
        <v>263</v>
      </c>
      <c r="B308" s="278" t="s">
        <v>264</v>
      </c>
      <c r="C308" s="278" t="s">
        <v>202</v>
      </c>
      <c r="D308" s="315">
        <v>41495</v>
      </c>
      <c r="E308" s="279">
        <v>42</v>
      </c>
      <c r="F308" s="55">
        <f t="shared" si="5"/>
        <v>97</v>
      </c>
    </row>
    <row r="309" spans="1:6" x14ac:dyDescent="0.25">
      <c r="A309" s="277" t="s">
        <v>263</v>
      </c>
      <c r="B309" s="278" t="s">
        <v>264</v>
      </c>
      <c r="C309" s="278" t="s">
        <v>197</v>
      </c>
      <c r="D309" s="315">
        <v>41495</v>
      </c>
      <c r="E309" s="279">
        <v>41</v>
      </c>
      <c r="F309" s="55">
        <f t="shared" si="5"/>
        <v>97</v>
      </c>
    </row>
    <row r="310" spans="1:6" x14ac:dyDescent="0.25">
      <c r="A310" s="277" t="s">
        <v>263</v>
      </c>
      <c r="B310" s="278" t="s">
        <v>264</v>
      </c>
      <c r="C310" s="278" t="s">
        <v>198</v>
      </c>
      <c r="D310" s="315">
        <v>41495</v>
      </c>
      <c r="E310" s="279">
        <v>1</v>
      </c>
      <c r="F310" s="55">
        <f t="shared" si="5"/>
        <v>97</v>
      </c>
    </row>
    <row r="311" spans="1:6" x14ac:dyDescent="0.25">
      <c r="A311" s="277" t="s">
        <v>275</v>
      </c>
      <c r="B311" s="278" t="s">
        <v>276</v>
      </c>
      <c r="C311" s="278" t="s">
        <v>202</v>
      </c>
      <c r="D311" s="315">
        <v>41496</v>
      </c>
      <c r="E311" s="279">
        <v>8</v>
      </c>
      <c r="F311" s="55">
        <f t="shared" si="5"/>
        <v>98</v>
      </c>
    </row>
    <row r="312" spans="1:6" x14ac:dyDescent="0.25">
      <c r="A312" s="277" t="s">
        <v>275</v>
      </c>
      <c r="B312" s="278" t="s">
        <v>276</v>
      </c>
      <c r="C312" s="278" t="s">
        <v>197</v>
      </c>
      <c r="D312" s="315">
        <v>41496</v>
      </c>
      <c r="E312" s="279">
        <v>4</v>
      </c>
      <c r="F312" s="55">
        <f t="shared" si="5"/>
        <v>98</v>
      </c>
    </row>
    <row r="313" spans="1:6" x14ac:dyDescent="0.25">
      <c r="A313" s="277" t="s">
        <v>275</v>
      </c>
      <c r="B313" s="278" t="s">
        <v>276</v>
      </c>
      <c r="C313" s="278" t="s">
        <v>198</v>
      </c>
      <c r="D313" s="315">
        <v>41496</v>
      </c>
      <c r="E313" s="279">
        <v>2</v>
      </c>
      <c r="F313" s="55">
        <f t="shared" si="5"/>
        <v>98</v>
      </c>
    </row>
    <row r="314" spans="1:6" x14ac:dyDescent="0.25">
      <c r="A314" s="277" t="s">
        <v>263</v>
      </c>
      <c r="B314" s="278" t="s">
        <v>264</v>
      </c>
      <c r="C314" s="278" t="s">
        <v>197</v>
      </c>
      <c r="D314" s="315">
        <v>41496</v>
      </c>
      <c r="E314" s="279">
        <v>3</v>
      </c>
      <c r="F314" s="55">
        <f t="shared" si="5"/>
        <v>98</v>
      </c>
    </row>
    <row r="315" spans="1:6" x14ac:dyDescent="0.25">
      <c r="A315" s="277" t="s">
        <v>263</v>
      </c>
      <c r="B315" s="278" t="s">
        <v>264</v>
      </c>
      <c r="C315" s="278" t="s">
        <v>202</v>
      </c>
      <c r="D315" s="315">
        <v>41496</v>
      </c>
      <c r="E315" s="279">
        <v>3</v>
      </c>
      <c r="F315" s="55">
        <f t="shared" si="5"/>
        <v>98</v>
      </c>
    </row>
    <row r="316" spans="1:6" x14ac:dyDescent="0.25">
      <c r="A316" s="277" t="s">
        <v>257</v>
      </c>
      <c r="B316" s="278" t="s">
        <v>258</v>
      </c>
      <c r="C316" s="278" t="s">
        <v>202</v>
      </c>
      <c r="D316" s="315">
        <v>41496</v>
      </c>
      <c r="E316" s="279">
        <v>16</v>
      </c>
      <c r="F316" s="55">
        <f t="shared" si="5"/>
        <v>98</v>
      </c>
    </row>
    <row r="317" spans="1:6" x14ac:dyDescent="0.25">
      <c r="A317" s="277" t="s">
        <v>257</v>
      </c>
      <c r="B317" s="278" t="s">
        <v>258</v>
      </c>
      <c r="C317" s="278" t="s">
        <v>197</v>
      </c>
      <c r="D317" s="315">
        <v>41496</v>
      </c>
      <c r="E317" s="279">
        <v>16</v>
      </c>
      <c r="F317" s="55">
        <f t="shared" si="5"/>
        <v>98</v>
      </c>
    </row>
    <row r="318" spans="1:6" x14ac:dyDescent="0.25">
      <c r="A318" s="277" t="s">
        <v>243</v>
      </c>
      <c r="B318" s="278" t="s">
        <v>248</v>
      </c>
      <c r="C318" s="278" t="s">
        <v>197</v>
      </c>
      <c r="D318" s="315">
        <v>41496</v>
      </c>
      <c r="E318" s="279">
        <v>13</v>
      </c>
      <c r="F318" s="55">
        <f t="shared" si="5"/>
        <v>98</v>
      </c>
    </row>
    <row r="319" spans="1:6" x14ac:dyDescent="0.25">
      <c r="A319" s="277" t="s">
        <v>243</v>
      </c>
      <c r="B319" s="278" t="s">
        <v>248</v>
      </c>
      <c r="C319" s="278" t="s">
        <v>202</v>
      </c>
      <c r="D319" s="315">
        <v>41496</v>
      </c>
      <c r="E319" s="279">
        <v>13</v>
      </c>
      <c r="F319" s="55">
        <f t="shared" si="5"/>
        <v>98</v>
      </c>
    </row>
    <row r="320" spans="1:6" x14ac:dyDescent="0.25">
      <c r="A320" s="277" t="s">
        <v>261</v>
      </c>
      <c r="B320" s="278" t="s">
        <v>262</v>
      </c>
      <c r="C320" s="278" t="s">
        <v>202</v>
      </c>
      <c r="D320" s="315">
        <v>41496</v>
      </c>
      <c r="E320" s="279">
        <v>13</v>
      </c>
      <c r="F320" s="55">
        <f t="shared" si="5"/>
        <v>98</v>
      </c>
    </row>
    <row r="321" spans="1:6" x14ac:dyDescent="0.25">
      <c r="A321" s="277" t="s">
        <v>261</v>
      </c>
      <c r="B321" s="278" t="s">
        <v>262</v>
      </c>
      <c r="C321" s="278" t="s">
        <v>197</v>
      </c>
      <c r="D321" s="315">
        <v>41496</v>
      </c>
      <c r="E321" s="279">
        <v>13</v>
      </c>
      <c r="F321" s="55">
        <f t="shared" si="5"/>
        <v>98</v>
      </c>
    </row>
    <row r="322" spans="1:6" x14ac:dyDescent="0.25">
      <c r="A322" s="277" t="s">
        <v>289</v>
      </c>
      <c r="B322" s="278" t="s">
        <v>290</v>
      </c>
      <c r="C322" s="278" t="s">
        <v>202</v>
      </c>
      <c r="D322" s="315">
        <v>41496</v>
      </c>
      <c r="E322" s="279">
        <v>8</v>
      </c>
      <c r="F322" s="55">
        <f t="shared" si="5"/>
        <v>98</v>
      </c>
    </row>
    <row r="323" spans="1:6" x14ac:dyDescent="0.25">
      <c r="A323" s="277" t="s">
        <v>289</v>
      </c>
      <c r="B323" s="278" t="s">
        <v>290</v>
      </c>
      <c r="C323" s="278" t="s">
        <v>197</v>
      </c>
      <c r="D323" s="315">
        <v>41496</v>
      </c>
      <c r="E323" s="279">
        <v>5</v>
      </c>
      <c r="F323" s="55">
        <f t="shared" si="5"/>
        <v>98</v>
      </c>
    </row>
    <row r="324" spans="1:6" x14ac:dyDescent="0.25">
      <c r="A324" s="277" t="s">
        <v>289</v>
      </c>
      <c r="B324" s="278" t="s">
        <v>290</v>
      </c>
      <c r="C324" s="278" t="s">
        <v>198</v>
      </c>
      <c r="D324" s="315">
        <v>41496</v>
      </c>
      <c r="E324" s="279">
        <v>2</v>
      </c>
      <c r="F324" s="55">
        <f t="shared" si="5"/>
        <v>98</v>
      </c>
    </row>
    <row r="325" spans="1:6" x14ac:dyDescent="0.25">
      <c r="A325" s="277" t="s">
        <v>283</v>
      </c>
      <c r="B325" s="278" t="s">
        <v>284</v>
      </c>
      <c r="C325" s="278" t="s">
        <v>202</v>
      </c>
      <c r="D325" s="315">
        <v>41496</v>
      </c>
      <c r="E325" s="279">
        <v>1</v>
      </c>
      <c r="F325" s="55">
        <f t="shared" si="5"/>
        <v>98</v>
      </c>
    </row>
    <row r="326" spans="1:6" x14ac:dyDescent="0.25">
      <c r="A326" s="277" t="s">
        <v>283</v>
      </c>
      <c r="B326" s="278" t="s">
        <v>284</v>
      </c>
      <c r="C326" s="278" t="s">
        <v>198</v>
      </c>
      <c r="D326" s="315">
        <v>41496</v>
      </c>
      <c r="E326" s="279">
        <v>1</v>
      </c>
      <c r="F326" s="55">
        <f t="shared" si="5"/>
        <v>98</v>
      </c>
    </row>
    <row r="327" spans="1:6" x14ac:dyDescent="0.25">
      <c r="A327" s="277" t="s">
        <v>283</v>
      </c>
      <c r="B327" s="278" t="s">
        <v>284</v>
      </c>
      <c r="C327" s="278" t="s">
        <v>197</v>
      </c>
      <c r="D327" s="315">
        <v>41496</v>
      </c>
      <c r="E327" s="279">
        <v>1</v>
      </c>
      <c r="F327" s="55">
        <f t="shared" si="5"/>
        <v>98</v>
      </c>
    </row>
    <row r="328" spans="1:6" x14ac:dyDescent="0.25">
      <c r="A328" s="277" t="s">
        <v>271</v>
      </c>
      <c r="B328" s="278" t="s">
        <v>272</v>
      </c>
      <c r="C328" s="278" t="s">
        <v>197</v>
      </c>
      <c r="D328" s="315">
        <v>41496</v>
      </c>
      <c r="E328" s="279">
        <v>1</v>
      </c>
      <c r="F328" s="55">
        <f t="shared" si="5"/>
        <v>98</v>
      </c>
    </row>
    <row r="329" spans="1:6" x14ac:dyDescent="0.25">
      <c r="A329" s="277" t="s">
        <v>271</v>
      </c>
      <c r="B329" s="278" t="s">
        <v>272</v>
      </c>
      <c r="C329" s="278" t="s">
        <v>202</v>
      </c>
      <c r="D329" s="315">
        <v>41496</v>
      </c>
      <c r="E329" s="279">
        <v>1</v>
      </c>
      <c r="F329" s="55">
        <f t="shared" si="5"/>
        <v>98</v>
      </c>
    </row>
    <row r="330" spans="1:6" x14ac:dyDescent="0.25">
      <c r="A330" s="277" t="s">
        <v>273</v>
      </c>
      <c r="B330" s="278" t="s">
        <v>274</v>
      </c>
      <c r="C330" s="278" t="s">
        <v>202</v>
      </c>
      <c r="D330" s="315">
        <v>41496</v>
      </c>
      <c r="E330" s="279">
        <v>11</v>
      </c>
      <c r="F330" s="55">
        <f t="shared" ref="F330:F393" si="6">TRUNC((D330-start)/7,0)+1</f>
        <v>98</v>
      </c>
    </row>
    <row r="331" spans="1:6" x14ac:dyDescent="0.25">
      <c r="A331" s="277" t="s">
        <v>273</v>
      </c>
      <c r="B331" s="278" t="s">
        <v>274</v>
      </c>
      <c r="C331" s="278" t="s">
        <v>197</v>
      </c>
      <c r="D331" s="315">
        <v>41496</v>
      </c>
      <c r="E331" s="279">
        <v>11</v>
      </c>
      <c r="F331" s="55">
        <f t="shared" si="6"/>
        <v>98</v>
      </c>
    </row>
    <row r="332" spans="1:6" x14ac:dyDescent="0.25">
      <c r="A332" s="277" t="s">
        <v>287</v>
      </c>
      <c r="B332" s="278" t="s">
        <v>288</v>
      </c>
      <c r="C332" s="278" t="s">
        <v>197</v>
      </c>
      <c r="D332" s="315">
        <v>41496</v>
      </c>
      <c r="E332" s="279">
        <v>5</v>
      </c>
      <c r="F332" s="55">
        <f t="shared" si="6"/>
        <v>98</v>
      </c>
    </row>
    <row r="333" spans="1:6" x14ac:dyDescent="0.25">
      <c r="A333" s="277" t="s">
        <v>287</v>
      </c>
      <c r="B333" s="278" t="s">
        <v>288</v>
      </c>
      <c r="C333" s="278" t="s">
        <v>202</v>
      </c>
      <c r="D333" s="315">
        <v>41496</v>
      </c>
      <c r="E333" s="279">
        <v>7</v>
      </c>
      <c r="F333" s="55">
        <f t="shared" si="6"/>
        <v>98</v>
      </c>
    </row>
    <row r="334" spans="1:6" x14ac:dyDescent="0.25">
      <c r="A334" s="277" t="s">
        <v>287</v>
      </c>
      <c r="B334" s="278" t="s">
        <v>288</v>
      </c>
      <c r="C334" s="278" t="s">
        <v>198</v>
      </c>
      <c r="D334" s="315">
        <v>41496</v>
      </c>
      <c r="E334" s="279">
        <v>3</v>
      </c>
      <c r="F334" s="55">
        <f t="shared" si="6"/>
        <v>98</v>
      </c>
    </row>
    <row r="335" spans="1:6" x14ac:dyDescent="0.25">
      <c r="A335" s="277" t="s">
        <v>291</v>
      </c>
      <c r="B335" s="278" t="s">
        <v>292</v>
      </c>
      <c r="C335" s="278" t="s">
        <v>197</v>
      </c>
      <c r="D335" s="315">
        <v>41496</v>
      </c>
      <c r="E335" s="279">
        <v>74</v>
      </c>
      <c r="F335" s="55">
        <f t="shared" si="6"/>
        <v>98</v>
      </c>
    </row>
    <row r="336" spans="1:6" x14ac:dyDescent="0.25">
      <c r="A336" s="277" t="s">
        <v>291</v>
      </c>
      <c r="B336" s="278" t="s">
        <v>292</v>
      </c>
      <c r="C336" s="278" t="s">
        <v>202</v>
      </c>
      <c r="D336" s="315">
        <v>41496</v>
      </c>
      <c r="E336" s="279">
        <v>74</v>
      </c>
      <c r="F336" s="55">
        <f t="shared" si="6"/>
        <v>98</v>
      </c>
    </row>
    <row r="337" spans="1:6" x14ac:dyDescent="0.25">
      <c r="A337" s="277" t="s">
        <v>265</v>
      </c>
      <c r="B337" s="278" t="s">
        <v>266</v>
      </c>
      <c r="C337" s="278" t="s">
        <v>197</v>
      </c>
      <c r="D337" s="315">
        <v>41496</v>
      </c>
      <c r="E337" s="279">
        <v>4</v>
      </c>
      <c r="F337" s="55">
        <f t="shared" si="6"/>
        <v>98</v>
      </c>
    </row>
    <row r="338" spans="1:6" x14ac:dyDescent="0.25">
      <c r="A338" s="277" t="s">
        <v>265</v>
      </c>
      <c r="B338" s="278" t="s">
        <v>266</v>
      </c>
      <c r="C338" s="278" t="s">
        <v>202</v>
      </c>
      <c r="D338" s="315">
        <v>41496</v>
      </c>
      <c r="E338" s="279">
        <v>4</v>
      </c>
      <c r="F338" s="55">
        <f t="shared" si="6"/>
        <v>98</v>
      </c>
    </row>
    <row r="339" spans="1:6" x14ac:dyDescent="0.25">
      <c r="A339" s="277" t="s">
        <v>255</v>
      </c>
      <c r="B339" s="278" t="s">
        <v>256</v>
      </c>
      <c r="C339" s="278" t="s">
        <v>202</v>
      </c>
      <c r="D339" s="315">
        <v>41496</v>
      </c>
      <c r="E339" s="279">
        <v>16</v>
      </c>
      <c r="F339" s="55">
        <f t="shared" si="6"/>
        <v>98</v>
      </c>
    </row>
    <row r="340" spans="1:6" x14ac:dyDescent="0.25">
      <c r="A340" s="277" t="s">
        <v>255</v>
      </c>
      <c r="B340" s="278" t="s">
        <v>256</v>
      </c>
      <c r="C340" s="278" t="s">
        <v>197</v>
      </c>
      <c r="D340" s="315">
        <v>41496</v>
      </c>
      <c r="E340" s="279">
        <v>13</v>
      </c>
      <c r="F340" s="55">
        <f t="shared" si="6"/>
        <v>98</v>
      </c>
    </row>
    <row r="341" spans="1:6" x14ac:dyDescent="0.25">
      <c r="A341" s="277" t="s">
        <v>255</v>
      </c>
      <c r="B341" s="278" t="s">
        <v>256</v>
      </c>
      <c r="C341" s="278" t="s">
        <v>198</v>
      </c>
      <c r="D341" s="315">
        <v>41496</v>
      </c>
      <c r="E341" s="279">
        <v>3</v>
      </c>
      <c r="F341" s="55">
        <f t="shared" si="6"/>
        <v>98</v>
      </c>
    </row>
    <row r="342" spans="1:6" x14ac:dyDescent="0.25">
      <c r="A342" s="277" t="s">
        <v>265</v>
      </c>
      <c r="B342" s="278" t="s">
        <v>266</v>
      </c>
      <c r="C342" s="278" t="s">
        <v>197</v>
      </c>
      <c r="D342" s="315">
        <v>41497</v>
      </c>
      <c r="E342" s="279">
        <v>39</v>
      </c>
      <c r="F342" s="55">
        <f t="shared" si="6"/>
        <v>98</v>
      </c>
    </row>
    <row r="343" spans="1:6" x14ac:dyDescent="0.25">
      <c r="A343" s="277" t="s">
        <v>265</v>
      </c>
      <c r="B343" s="278" t="s">
        <v>266</v>
      </c>
      <c r="C343" s="278" t="s">
        <v>202</v>
      </c>
      <c r="D343" s="315">
        <v>41497</v>
      </c>
      <c r="E343" s="279">
        <v>45</v>
      </c>
      <c r="F343" s="55">
        <f t="shared" si="6"/>
        <v>98</v>
      </c>
    </row>
    <row r="344" spans="1:6" x14ac:dyDescent="0.25">
      <c r="A344" s="277" t="s">
        <v>265</v>
      </c>
      <c r="B344" s="278" t="s">
        <v>266</v>
      </c>
      <c r="C344" s="278" t="s">
        <v>198</v>
      </c>
      <c r="D344" s="315">
        <v>41497</v>
      </c>
      <c r="E344" s="279">
        <v>5</v>
      </c>
      <c r="F344" s="55">
        <f t="shared" si="6"/>
        <v>98</v>
      </c>
    </row>
    <row r="345" spans="1:6" x14ac:dyDescent="0.25">
      <c r="A345" s="277" t="s">
        <v>251</v>
      </c>
      <c r="B345" s="278" t="s">
        <v>252</v>
      </c>
      <c r="C345" s="278" t="s">
        <v>197</v>
      </c>
      <c r="D345" s="315">
        <v>41497</v>
      </c>
      <c r="E345" s="279">
        <v>20</v>
      </c>
      <c r="F345" s="55">
        <f t="shared" si="6"/>
        <v>98</v>
      </c>
    </row>
    <row r="346" spans="1:6" x14ac:dyDescent="0.25">
      <c r="A346" s="277" t="s">
        <v>251</v>
      </c>
      <c r="B346" s="278" t="s">
        <v>252</v>
      </c>
      <c r="C346" s="278" t="s">
        <v>202</v>
      </c>
      <c r="D346" s="315">
        <v>41497</v>
      </c>
      <c r="E346" s="279">
        <v>20</v>
      </c>
      <c r="F346" s="55">
        <f t="shared" si="6"/>
        <v>98</v>
      </c>
    </row>
    <row r="347" spans="1:6" x14ac:dyDescent="0.25">
      <c r="A347" s="277" t="s">
        <v>257</v>
      </c>
      <c r="B347" s="278" t="s">
        <v>258</v>
      </c>
      <c r="C347" s="278" t="s">
        <v>197</v>
      </c>
      <c r="D347" s="315">
        <v>41497</v>
      </c>
      <c r="E347" s="279">
        <v>19</v>
      </c>
      <c r="F347" s="55">
        <f t="shared" si="6"/>
        <v>98</v>
      </c>
    </row>
    <row r="348" spans="1:6" x14ac:dyDescent="0.25">
      <c r="A348" s="277" t="s">
        <v>257</v>
      </c>
      <c r="B348" s="278" t="s">
        <v>258</v>
      </c>
      <c r="C348" s="278" t="s">
        <v>202</v>
      </c>
      <c r="D348" s="315">
        <v>41497</v>
      </c>
      <c r="E348" s="279">
        <v>19</v>
      </c>
      <c r="F348" s="55">
        <f t="shared" si="6"/>
        <v>98</v>
      </c>
    </row>
    <row r="349" spans="1:6" x14ac:dyDescent="0.25">
      <c r="A349" s="277" t="s">
        <v>255</v>
      </c>
      <c r="B349" s="278" t="s">
        <v>256</v>
      </c>
      <c r="C349" s="278" t="s">
        <v>202</v>
      </c>
      <c r="D349" s="315">
        <v>41497</v>
      </c>
      <c r="E349" s="279">
        <v>6</v>
      </c>
      <c r="F349" s="55">
        <f t="shared" si="6"/>
        <v>98</v>
      </c>
    </row>
    <row r="350" spans="1:6" x14ac:dyDescent="0.25">
      <c r="A350" s="277" t="s">
        <v>255</v>
      </c>
      <c r="B350" s="278" t="s">
        <v>256</v>
      </c>
      <c r="C350" s="278" t="s">
        <v>197</v>
      </c>
      <c r="D350" s="315">
        <v>41497</v>
      </c>
      <c r="E350" s="279">
        <v>6</v>
      </c>
      <c r="F350" s="55">
        <f t="shared" si="6"/>
        <v>98</v>
      </c>
    </row>
    <row r="351" spans="1:6" x14ac:dyDescent="0.25">
      <c r="A351" s="277" t="s">
        <v>273</v>
      </c>
      <c r="B351" s="278" t="s">
        <v>274</v>
      </c>
      <c r="C351" s="278" t="s">
        <v>197</v>
      </c>
      <c r="D351" s="315">
        <v>41497</v>
      </c>
      <c r="E351" s="279">
        <v>1</v>
      </c>
      <c r="F351" s="55">
        <f t="shared" si="6"/>
        <v>98</v>
      </c>
    </row>
    <row r="352" spans="1:6" x14ac:dyDescent="0.25">
      <c r="A352" s="277" t="s">
        <v>273</v>
      </c>
      <c r="B352" s="278" t="s">
        <v>274</v>
      </c>
      <c r="C352" s="278" t="s">
        <v>202</v>
      </c>
      <c r="D352" s="315">
        <v>41497</v>
      </c>
      <c r="E352" s="279">
        <v>1</v>
      </c>
      <c r="F352" s="55">
        <f t="shared" si="6"/>
        <v>98</v>
      </c>
    </row>
    <row r="353" spans="1:6" x14ac:dyDescent="0.25">
      <c r="A353" s="277" t="s">
        <v>243</v>
      </c>
      <c r="B353" s="278" t="s">
        <v>248</v>
      </c>
      <c r="C353" s="278" t="s">
        <v>202</v>
      </c>
      <c r="D353" s="315">
        <v>41497</v>
      </c>
      <c r="E353" s="279">
        <v>7</v>
      </c>
      <c r="F353" s="55">
        <f t="shared" si="6"/>
        <v>98</v>
      </c>
    </row>
    <row r="354" spans="1:6" x14ac:dyDescent="0.25">
      <c r="A354" s="277" t="s">
        <v>243</v>
      </c>
      <c r="B354" s="278" t="s">
        <v>248</v>
      </c>
      <c r="C354" s="278" t="s">
        <v>197</v>
      </c>
      <c r="D354" s="315">
        <v>41497</v>
      </c>
      <c r="E354" s="279">
        <v>7</v>
      </c>
      <c r="F354" s="55">
        <f t="shared" si="6"/>
        <v>98</v>
      </c>
    </row>
    <row r="355" spans="1:6" x14ac:dyDescent="0.25">
      <c r="A355" s="277" t="s">
        <v>267</v>
      </c>
      <c r="B355" s="278" t="s">
        <v>268</v>
      </c>
      <c r="C355" s="278" t="s">
        <v>202</v>
      </c>
      <c r="D355" s="315">
        <v>41497</v>
      </c>
      <c r="E355" s="279">
        <v>3</v>
      </c>
      <c r="F355" s="55">
        <f t="shared" si="6"/>
        <v>98</v>
      </c>
    </row>
    <row r="356" spans="1:6" x14ac:dyDescent="0.25">
      <c r="A356" s="277" t="s">
        <v>267</v>
      </c>
      <c r="B356" s="278" t="s">
        <v>268</v>
      </c>
      <c r="C356" s="278" t="s">
        <v>197</v>
      </c>
      <c r="D356" s="315">
        <v>41497</v>
      </c>
      <c r="E356" s="279">
        <v>2</v>
      </c>
      <c r="F356" s="55">
        <f t="shared" si="6"/>
        <v>98</v>
      </c>
    </row>
    <row r="357" spans="1:6" x14ac:dyDescent="0.25">
      <c r="A357" s="277" t="s">
        <v>267</v>
      </c>
      <c r="B357" s="278" t="s">
        <v>268</v>
      </c>
      <c r="C357" s="278" t="s">
        <v>198</v>
      </c>
      <c r="D357" s="315">
        <v>41497</v>
      </c>
      <c r="E357" s="279">
        <v>1</v>
      </c>
      <c r="F357" s="55">
        <f t="shared" si="6"/>
        <v>98</v>
      </c>
    </row>
    <row r="358" spans="1:6" x14ac:dyDescent="0.25">
      <c r="A358" s="277" t="s">
        <v>263</v>
      </c>
      <c r="B358" s="278" t="s">
        <v>264</v>
      </c>
      <c r="C358" s="278" t="s">
        <v>202</v>
      </c>
      <c r="D358" s="315">
        <v>41497</v>
      </c>
      <c r="E358" s="279">
        <v>4</v>
      </c>
      <c r="F358" s="55">
        <f t="shared" si="6"/>
        <v>98</v>
      </c>
    </row>
    <row r="359" spans="1:6" x14ac:dyDescent="0.25">
      <c r="A359" s="277" t="s">
        <v>263</v>
      </c>
      <c r="B359" s="278" t="s">
        <v>264</v>
      </c>
      <c r="C359" s="278" t="s">
        <v>197</v>
      </c>
      <c r="D359" s="315">
        <v>41497</v>
      </c>
      <c r="E359" s="279">
        <v>4</v>
      </c>
      <c r="F359" s="55">
        <f t="shared" si="6"/>
        <v>98</v>
      </c>
    </row>
    <row r="360" spans="1:6" x14ac:dyDescent="0.25">
      <c r="A360" s="277" t="s">
        <v>261</v>
      </c>
      <c r="B360" s="278" t="s">
        <v>262</v>
      </c>
      <c r="C360" s="278" t="s">
        <v>202</v>
      </c>
      <c r="D360" s="315">
        <v>41497</v>
      </c>
      <c r="E360" s="279">
        <v>22</v>
      </c>
      <c r="F360" s="55">
        <f t="shared" si="6"/>
        <v>98</v>
      </c>
    </row>
    <row r="361" spans="1:6" x14ac:dyDescent="0.25">
      <c r="A361" s="277" t="s">
        <v>261</v>
      </c>
      <c r="B361" s="278" t="s">
        <v>262</v>
      </c>
      <c r="C361" s="278" t="s">
        <v>197</v>
      </c>
      <c r="D361" s="315">
        <v>41497</v>
      </c>
      <c r="E361" s="279">
        <v>22</v>
      </c>
      <c r="F361" s="55">
        <f t="shared" si="6"/>
        <v>98</v>
      </c>
    </row>
    <row r="362" spans="1:6" x14ac:dyDescent="0.25">
      <c r="A362" s="277" t="s">
        <v>277</v>
      </c>
      <c r="B362" s="278" t="s">
        <v>278</v>
      </c>
      <c r="C362" s="278" t="s">
        <v>197</v>
      </c>
      <c r="D362" s="315">
        <v>41497</v>
      </c>
      <c r="E362" s="279">
        <v>2</v>
      </c>
      <c r="F362" s="55">
        <f t="shared" si="6"/>
        <v>98</v>
      </c>
    </row>
    <row r="363" spans="1:6" x14ac:dyDescent="0.25">
      <c r="A363" s="277" t="s">
        <v>277</v>
      </c>
      <c r="B363" s="278" t="s">
        <v>278</v>
      </c>
      <c r="C363" s="278" t="s">
        <v>202</v>
      </c>
      <c r="D363" s="315">
        <v>41497</v>
      </c>
      <c r="E363" s="279">
        <v>2</v>
      </c>
      <c r="F363" s="55">
        <f t="shared" si="6"/>
        <v>98</v>
      </c>
    </row>
    <row r="364" spans="1:6" x14ac:dyDescent="0.25">
      <c r="A364" s="277" t="s">
        <v>277</v>
      </c>
      <c r="B364" s="278" t="s">
        <v>278</v>
      </c>
      <c r="C364" s="278" t="s">
        <v>198</v>
      </c>
      <c r="D364" s="315">
        <v>41497</v>
      </c>
      <c r="E364" s="279">
        <v>1</v>
      </c>
      <c r="F364" s="55">
        <f t="shared" si="6"/>
        <v>98</v>
      </c>
    </row>
    <row r="365" spans="1:6" x14ac:dyDescent="0.25">
      <c r="A365" s="277" t="s">
        <v>243</v>
      </c>
      <c r="B365" s="278" t="s">
        <v>248</v>
      </c>
      <c r="C365" s="278" t="s">
        <v>202</v>
      </c>
      <c r="D365" s="315">
        <v>41498</v>
      </c>
      <c r="E365" s="279">
        <v>6</v>
      </c>
      <c r="F365" s="55">
        <f t="shared" si="6"/>
        <v>98</v>
      </c>
    </row>
    <row r="366" spans="1:6" x14ac:dyDescent="0.25">
      <c r="A366" s="277" t="s">
        <v>243</v>
      </c>
      <c r="B366" s="278" t="s">
        <v>248</v>
      </c>
      <c r="C366" s="278" t="s">
        <v>197</v>
      </c>
      <c r="D366" s="315">
        <v>41498</v>
      </c>
      <c r="E366" s="279">
        <v>6</v>
      </c>
      <c r="F366" s="55">
        <f t="shared" si="6"/>
        <v>98</v>
      </c>
    </row>
    <row r="367" spans="1:6" x14ac:dyDescent="0.25">
      <c r="A367" s="277" t="s">
        <v>265</v>
      </c>
      <c r="B367" s="278" t="s">
        <v>266</v>
      </c>
      <c r="C367" s="278" t="s">
        <v>202</v>
      </c>
      <c r="D367" s="315">
        <v>41498</v>
      </c>
      <c r="E367" s="279">
        <v>4</v>
      </c>
      <c r="F367" s="55">
        <f t="shared" si="6"/>
        <v>98</v>
      </c>
    </row>
    <row r="368" spans="1:6" x14ac:dyDescent="0.25">
      <c r="A368" s="277" t="s">
        <v>265</v>
      </c>
      <c r="B368" s="278" t="s">
        <v>266</v>
      </c>
      <c r="C368" s="278" t="s">
        <v>197</v>
      </c>
      <c r="D368" s="315">
        <v>41498</v>
      </c>
      <c r="E368" s="279">
        <v>3</v>
      </c>
      <c r="F368" s="55">
        <f t="shared" si="6"/>
        <v>98</v>
      </c>
    </row>
    <row r="369" spans="1:6" x14ac:dyDescent="0.25">
      <c r="A369" s="277" t="s">
        <v>265</v>
      </c>
      <c r="B369" s="278" t="s">
        <v>266</v>
      </c>
      <c r="C369" s="278" t="s">
        <v>198</v>
      </c>
      <c r="D369" s="315">
        <v>41498</v>
      </c>
      <c r="E369" s="279">
        <v>1</v>
      </c>
      <c r="F369" s="55">
        <f t="shared" si="6"/>
        <v>98</v>
      </c>
    </row>
    <row r="370" spans="1:6" x14ac:dyDescent="0.25">
      <c r="A370" s="277" t="s">
        <v>277</v>
      </c>
      <c r="B370" s="278" t="s">
        <v>278</v>
      </c>
      <c r="C370" s="278" t="s">
        <v>198</v>
      </c>
      <c r="D370" s="315">
        <v>41498</v>
      </c>
      <c r="E370" s="279">
        <v>1</v>
      </c>
      <c r="F370" s="55">
        <f t="shared" si="6"/>
        <v>98</v>
      </c>
    </row>
    <row r="371" spans="1:6" x14ac:dyDescent="0.25">
      <c r="A371" s="277" t="s">
        <v>277</v>
      </c>
      <c r="B371" s="278" t="s">
        <v>278</v>
      </c>
      <c r="C371" s="278" t="s">
        <v>202</v>
      </c>
      <c r="D371" s="315">
        <v>41498</v>
      </c>
      <c r="E371" s="279">
        <v>5</v>
      </c>
      <c r="F371" s="55">
        <f t="shared" si="6"/>
        <v>98</v>
      </c>
    </row>
    <row r="372" spans="1:6" x14ac:dyDescent="0.25">
      <c r="A372" s="277" t="s">
        <v>277</v>
      </c>
      <c r="B372" s="278" t="s">
        <v>278</v>
      </c>
      <c r="C372" s="278" t="s">
        <v>197</v>
      </c>
      <c r="D372" s="315">
        <v>41498</v>
      </c>
      <c r="E372" s="279">
        <v>1</v>
      </c>
      <c r="F372" s="55">
        <f t="shared" si="6"/>
        <v>98</v>
      </c>
    </row>
    <row r="373" spans="1:6" x14ac:dyDescent="0.25">
      <c r="A373" s="277" t="s">
        <v>265</v>
      </c>
      <c r="B373" s="278" t="s">
        <v>266</v>
      </c>
      <c r="C373" s="278" t="s">
        <v>197</v>
      </c>
      <c r="D373" s="315">
        <v>41499</v>
      </c>
      <c r="E373" s="279">
        <v>10</v>
      </c>
      <c r="F373" s="55">
        <f t="shared" si="6"/>
        <v>98</v>
      </c>
    </row>
    <row r="374" spans="1:6" x14ac:dyDescent="0.25">
      <c r="A374" s="277" t="s">
        <v>265</v>
      </c>
      <c r="B374" s="278" t="s">
        <v>266</v>
      </c>
      <c r="C374" s="278" t="s">
        <v>202</v>
      </c>
      <c r="D374" s="315">
        <v>41499</v>
      </c>
      <c r="E374" s="279">
        <v>13</v>
      </c>
      <c r="F374" s="55">
        <f t="shared" si="6"/>
        <v>98</v>
      </c>
    </row>
    <row r="375" spans="1:6" x14ac:dyDescent="0.25">
      <c r="A375" s="277" t="s">
        <v>269</v>
      </c>
      <c r="B375" s="278" t="s">
        <v>270</v>
      </c>
      <c r="C375" s="278" t="s">
        <v>202</v>
      </c>
      <c r="D375" s="315">
        <v>41499</v>
      </c>
      <c r="E375" s="279">
        <v>2</v>
      </c>
      <c r="F375" s="55">
        <f t="shared" si="6"/>
        <v>98</v>
      </c>
    </row>
    <row r="376" spans="1:6" x14ac:dyDescent="0.25">
      <c r="A376" s="277" t="s">
        <v>269</v>
      </c>
      <c r="B376" s="278" t="s">
        <v>270</v>
      </c>
      <c r="C376" s="278" t="s">
        <v>197</v>
      </c>
      <c r="D376" s="315">
        <v>41499</v>
      </c>
      <c r="E376" s="279">
        <v>2</v>
      </c>
      <c r="F376" s="55">
        <f t="shared" si="6"/>
        <v>98</v>
      </c>
    </row>
    <row r="377" spans="1:6" x14ac:dyDescent="0.25">
      <c r="A377" s="277" t="s">
        <v>293</v>
      </c>
      <c r="B377" s="278" t="s">
        <v>294</v>
      </c>
      <c r="C377" s="278" t="s">
        <v>202</v>
      </c>
      <c r="D377" s="315">
        <v>41499</v>
      </c>
      <c r="E377" s="279">
        <v>1</v>
      </c>
      <c r="F377" s="55">
        <f t="shared" si="6"/>
        <v>98</v>
      </c>
    </row>
    <row r="378" spans="1:6" x14ac:dyDescent="0.25">
      <c r="A378" s="277" t="s">
        <v>293</v>
      </c>
      <c r="B378" s="278" t="s">
        <v>294</v>
      </c>
      <c r="C378" s="278" t="s">
        <v>197</v>
      </c>
      <c r="D378" s="315">
        <v>41499</v>
      </c>
      <c r="E378" s="279">
        <v>1</v>
      </c>
      <c r="F378" s="55">
        <f t="shared" si="6"/>
        <v>98</v>
      </c>
    </row>
    <row r="379" spans="1:6" x14ac:dyDescent="0.25">
      <c r="A379" s="277" t="s">
        <v>293</v>
      </c>
      <c r="B379" s="278" t="s">
        <v>294</v>
      </c>
      <c r="C379" s="278" t="s">
        <v>198</v>
      </c>
      <c r="D379" s="315">
        <v>41499</v>
      </c>
      <c r="E379" s="279">
        <v>1</v>
      </c>
      <c r="F379" s="55">
        <f t="shared" si="6"/>
        <v>98</v>
      </c>
    </row>
    <row r="380" spans="1:6" x14ac:dyDescent="0.25">
      <c r="A380" s="277" t="s">
        <v>243</v>
      </c>
      <c r="B380" s="278" t="s">
        <v>248</v>
      </c>
      <c r="C380" s="278" t="s">
        <v>202</v>
      </c>
      <c r="D380" s="315">
        <v>41499</v>
      </c>
      <c r="E380" s="279">
        <v>11</v>
      </c>
      <c r="F380" s="55">
        <f t="shared" si="6"/>
        <v>98</v>
      </c>
    </row>
    <row r="381" spans="1:6" x14ac:dyDescent="0.25">
      <c r="A381" s="277" t="s">
        <v>243</v>
      </c>
      <c r="B381" s="278" t="s">
        <v>248</v>
      </c>
      <c r="C381" s="278" t="s">
        <v>197</v>
      </c>
      <c r="D381" s="315">
        <v>41499</v>
      </c>
      <c r="E381" s="279">
        <v>10</v>
      </c>
      <c r="F381" s="55">
        <f t="shared" si="6"/>
        <v>98</v>
      </c>
    </row>
    <row r="382" spans="1:6" x14ac:dyDescent="0.25">
      <c r="A382" s="277" t="s">
        <v>267</v>
      </c>
      <c r="B382" s="278" t="s">
        <v>268</v>
      </c>
      <c r="C382" s="278" t="s">
        <v>202</v>
      </c>
      <c r="D382" s="315">
        <v>41499</v>
      </c>
      <c r="E382" s="279">
        <v>3</v>
      </c>
      <c r="F382" s="55">
        <f t="shared" si="6"/>
        <v>98</v>
      </c>
    </row>
    <row r="383" spans="1:6" x14ac:dyDescent="0.25">
      <c r="A383" s="277" t="s">
        <v>267</v>
      </c>
      <c r="B383" s="278" t="s">
        <v>268</v>
      </c>
      <c r="C383" s="278" t="s">
        <v>197</v>
      </c>
      <c r="D383" s="315">
        <v>41499</v>
      </c>
      <c r="E383" s="279">
        <v>2</v>
      </c>
      <c r="F383" s="55">
        <f t="shared" si="6"/>
        <v>98</v>
      </c>
    </row>
    <row r="384" spans="1:6" x14ac:dyDescent="0.25">
      <c r="A384" s="277" t="s">
        <v>267</v>
      </c>
      <c r="B384" s="278" t="s">
        <v>268</v>
      </c>
      <c r="C384" s="278" t="s">
        <v>198</v>
      </c>
      <c r="D384" s="315">
        <v>41499</v>
      </c>
      <c r="E384" s="279">
        <v>1</v>
      </c>
      <c r="F384" s="55">
        <f t="shared" si="6"/>
        <v>98</v>
      </c>
    </row>
    <row r="385" spans="1:6" x14ac:dyDescent="0.25">
      <c r="A385" s="277" t="s">
        <v>279</v>
      </c>
      <c r="B385" s="278" t="s">
        <v>280</v>
      </c>
      <c r="C385" s="278" t="s">
        <v>197</v>
      </c>
      <c r="D385" s="315">
        <v>41499</v>
      </c>
      <c r="E385" s="279">
        <v>1</v>
      </c>
      <c r="F385" s="55">
        <f t="shared" si="6"/>
        <v>98</v>
      </c>
    </row>
    <row r="386" spans="1:6" x14ac:dyDescent="0.25">
      <c r="A386" s="277" t="s">
        <v>279</v>
      </c>
      <c r="B386" s="278" t="s">
        <v>280</v>
      </c>
      <c r="C386" s="278" t="s">
        <v>198</v>
      </c>
      <c r="D386" s="315">
        <v>41499</v>
      </c>
      <c r="E386" s="279">
        <v>1</v>
      </c>
      <c r="F386" s="55">
        <f t="shared" si="6"/>
        <v>98</v>
      </c>
    </row>
    <row r="387" spans="1:6" x14ac:dyDescent="0.25">
      <c r="A387" s="277" t="s">
        <v>279</v>
      </c>
      <c r="B387" s="278" t="s">
        <v>280</v>
      </c>
      <c r="C387" s="278" t="s">
        <v>202</v>
      </c>
      <c r="D387" s="315">
        <v>41499</v>
      </c>
      <c r="E387" s="279">
        <v>1</v>
      </c>
      <c r="F387" s="55">
        <f t="shared" si="6"/>
        <v>98</v>
      </c>
    </row>
    <row r="388" spans="1:6" x14ac:dyDescent="0.25">
      <c r="A388" s="277" t="s">
        <v>261</v>
      </c>
      <c r="B388" s="278" t="s">
        <v>262</v>
      </c>
      <c r="C388" s="278" t="s">
        <v>202</v>
      </c>
      <c r="D388" s="315">
        <v>41499</v>
      </c>
      <c r="E388" s="279">
        <v>8</v>
      </c>
      <c r="F388" s="55">
        <f t="shared" si="6"/>
        <v>98</v>
      </c>
    </row>
    <row r="389" spans="1:6" x14ac:dyDescent="0.25">
      <c r="A389" s="277" t="s">
        <v>261</v>
      </c>
      <c r="B389" s="278" t="s">
        <v>262</v>
      </c>
      <c r="C389" s="278" t="s">
        <v>197</v>
      </c>
      <c r="D389" s="315">
        <v>41499</v>
      </c>
      <c r="E389" s="279">
        <v>8</v>
      </c>
      <c r="F389" s="55">
        <f t="shared" si="6"/>
        <v>98</v>
      </c>
    </row>
    <row r="390" spans="1:6" x14ac:dyDescent="0.25">
      <c r="A390" s="277" t="s">
        <v>263</v>
      </c>
      <c r="B390" s="278" t="s">
        <v>264</v>
      </c>
      <c r="C390" s="278" t="s">
        <v>197</v>
      </c>
      <c r="D390" s="315">
        <v>41499</v>
      </c>
      <c r="E390" s="279">
        <v>27</v>
      </c>
      <c r="F390" s="55">
        <f t="shared" si="6"/>
        <v>98</v>
      </c>
    </row>
    <row r="391" spans="1:6" x14ac:dyDescent="0.25">
      <c r="A391" s="277" t="s">
        <v>263</v>
      </c>
      <c r="B391" s="278" t="s">
        <v>264</v>
      </c>
      <c r="C391" s="278" t="s">
        <v>202</v>
      </c>
      <c r="D391" s="315">
        <v>41499</v>
      </c>
      <c r="E391" s="279">
        <v>27</v>
      </c>
      <c r="F391" s="55">
        <f t="shared" si="6"/>
        <v>98</v>
      </c>
    </row>
    <row r="392" spans="1:6" x14ac:dyDescent="0.25">
      <c r="A392" s="277" t="s">
        <v>265</v>
      </c>
      <c r="B392" s="278" t="s">
        <v>266</v>
      </c>
      <c r="C392" s="278" t="s">
        <v>198</v>
      </c>
      <c r="D392" s="315">
        <v>41499</v>
      </c>
      <c r="E392" s="279">
        <v>1</v>
      </c>
      <c r="F392" s="55">
        <f t="shared" si="6"/>
        <v>98</v>
      </c>
    </row>
    <row r="393" spans="1:6" x14ac:dyDescent="0.25">
      <c r="A393" s="277" t="s">
        <v>257</v>
      </c>
      <c r="B393" s="278" t="s">
        <v>258</v>
      </c>
      <c r="C393" s="278" t="s">
        <v>197</v>
      </c>
      <c r="D393" s="315">
        <v>41499</v>
      </c>
      <c r="E393" s="279">
        <v>12</v>
      </c>
      <c r="F393" s="55">
        <f t="shared" si="6"/>
        <v>98</v>
      </c>
    </row>
    <row r="394" spans="1:6" x14ac:dyDescent="0.25">
      <c r="A394" s="277" t="s">
        <v>257</v>
      </c>
      <c r="B394" s="278" t="s">
        <v>258</v>
      </c>
      <c r="C394" s="278" t="s">
        <v>202</v>
      </c>
      <c r="D394" s="315">
        <v>41499</v>
      </c>
      <c r="E394" s="279">
        <v>12</v>
      </c>
      <c r="F394" s="55">
        <f t="shared" ref="F394:F457" si="7">TRUNC((D394-start)/7,0)+1</f>
        <v>98</v>
      </c>
    </row>
    <row r="395" spans="1:6" x14ac:dyDescent="0.25">
      <c r="A395" s="277" t="s">
        <v>243</v>
      </c>
      <c r="B395" s="278" t="s">
        <v>248</v>
      </c>
      <c r="C395" s="278" t="s">
        <v>198</v>
      </c>
      <c r="D395" s="315">
        <v>41499</v>
      </c>
      <c r="E395" s="279">
        <v>1</v>
      </c>
      <c r="F395" s="55">
        <f t="shared" si="7"/>
        <v>98</v>
      </c>
    </row>
    <row r="396" spans="1:6" x14ac:dyDescent="0.25">
      <c r="A396" s="277" t="s">
        <v>281</v>
      </c>
      <c r="B396" s="278" t="s">
        <v>282</v>
      </c>
      <c r="C396" s="278" t="s">
        <v>202</v>
      </c>
      <c r="D396" s="315">
        <v>41500</v>
      </c>
      <c r="E396" s="279">
        <v>42</v>
      </c>
      <c r="F396" s="55">
        <f t="shared" si="7"/>
        <v>98</v>
      </c>
    </row>
    <row r="397" spans="1:6" x14ac:dyDescent="0.25">
      <c r="A397" s="277" t="s">
        <v>281</v>
      </c>
      <c r="B397" s="278" t="s">
        <v>282</v>
      </c>
      <c r="C397" s="278" t="s">
        <v>197</v>
      </c>
      <c r="D397" s="315">
        <v>41500</v>
      </c>
      <c r="E397" s="279">
        <v>42</v>
      </c>
      <c r="F397" s="55">
        <f t="shared" si="7"/>
        <v>98</v>
      </c>
    </row>
    <row r="398" spans="1:6" x14ac:dyDescent="0.25">
      <c r="A398" s="277" t="s">
        <v>243</v>
      </c>
      <c r="B398" s="278" t="s">
        <v>248</v>
      </c>
      <c r="C398" s="278" t="s">
        <v>202</v>
      </c>
      <c r="D398" s="315">
        <v>41500</v>
      </c>
      <c r="E398" s="279">
        <v>2</v>
      </c>
      <c r="F398" s="55">
        <f t="shared" si="7"/>
        <v>98</v>
      </c>
    </row>
    <row r="399" spans="1:6" x14ac:dyDescent="0.25">
      <c r="A399" s="277" t="s">
        <v>243</v>
      </c>
      <c r="B399" s="278" t="s">
        <v>248</v>
      </c>
      <c r="C399" s="278" t="s">
        <v>197</v>
      </c>
      <c r="D399" s="315">
        <v>41500</v>
      </c>
      <c r="E399" s="279">
        <v>2</v>
      </c>
      <c r="F399" s="55">
        <f t="shared" si="7"/>
        <v>98</v>
      </c>
    </row>
    <row r="400" spans="1:6" x14ac:dyDescent="0.25">
      <c r="A400" s="277" t="s">
        <v>265</v>
      </c>
      <c r="B400" s="278" t="s">
        <v>266</v>
      </c>
      <c r="C400" s="278" t="s">
        <v>197</v>
      </c>
      <c r="D400" s="315">
        <v>41500</v>
      </c>
      <c r="E400" s="279">
        <v>1</v>
      </c>
      <c r="F400" s="55">
        <f t="shared" si="7"/>
        <v>98</v>
      </c>
    </row>
    <row r="401" spans="1:6" x14ac:dyDescent="0.25">
      <c r="A401" s="277" t="s">
        <v>265</v>
      </c>
      <c r="B401" s="278" t="s">
        <v>266</v>
      </c>
      <c r="C401" s="278" t="s">
        <v>202</v>
      </c>
      <c r="D401" s="315">
        <v>41500</v>
      </c>
      <c r="E401" s="279">
        <v>1</v>
      </c>
      <c r="F401" s="55">
        <f t="shared" si="7"/>
        <v>98</v>
      </c>
    </row>
    <row r="402" spans="1:6" x14ac:dyDescent="0.25">
      <c r="A402" s="277" t="s">
        <v>269</v>
      </c>
      <c r="B402" s="278" t="s">
        <v>270</v>
      </c>
      <c r="C402" s="278" t="s">
        <v>197</v>
      </c>
      <c r="D402" s="315">
        <v>41500</v>
      </c>
      <c r="E402" s="279">
        <v>6</v>
      </c>
      <c r="F402" s="55">
        <f t="shared" si="7"/>
        <v>98</v>
      </c>
    </row>
    <row r="403" spans="1:6" x14ac:dyDescent="0.25">
      <c r="A403" s="277" t="s">
        <v>269</v>
      </c>
      <c r="B403" s="278" t="s">
        <v>270</v>
      </c>
      <c r="C403" s="278" t="s">
        <v>202</v>
      </c>
      <c r="D403" s="315">
        <v>41500</v>
      </c>
      <c r="E403" s="279">
        <v>7</v>
      </c>
      <c r="F403" s="55">
        <f t="shared" si="7"/>
        <v>98</v>
      </c>
    </row>
    <row r="404" spans="1:6" x14ac:dyDescent="0.25">
      <c r="A404" s="277" t="s">
        <v>261</v>
      </c>
      <c r="B404" s="278" t="s">
        <v>262</v>
      </c>
      <c r="C404" s="278" t="s">
        <v>202</v>
      </c>
      <c r="D404" s="315">
        <v>41500</v>
      </c>
      <c r="E404" s="279">
        <v>2</v>
      </c>
      <c r="F404" s="55">
        <f t="shared" si="7"/>
        <v>98</v>
      </c>
    </row>
    <row r="405" spans="1:6" x14ac:dyDescent="0.25">
      <c r="A405" s="277" t="s">
        <v>261</v>
      </c>
      <c r="B405" s="278" t="s">
        <v>262</v>
      </c>
      <c r="C405" s="278" t="s">
        <v>197</v>
      </c>
      <c r="D405" s="315">
        <v>41500</v>
      </c>
      <c r="E405" s="279">
        <v>2</v>
      </c>
      <c r="F405" s="55">
        <f t="shared" si="7"/>
        <v>98</v>
      </c>
    </row>
    <row r="406" spans="1:6" x14ac:dyDescent="0.25">
      <c r="A406" s="277" t="s">
        <v>269</v>
      </c>
      <c r="B406" s="278" t="s">
        <v>270</v>
      </c>
      <c r="C406" s="278" t="s">
        <v>198</v>
      </c>
      <c r="D406" s="315">
        <v>41500</v>
      </c>
      <c r="E406" s="279">
        <v>1</v>
      </c>
      <c r="F406" s="55">
        <f t="shared" si="7"/>
        <v>98</v>
      </c>
    </row>
    <row r="407" spans="1:6" x14ac:dyDescent="0.25">
      <c r="A407" s="277" t="s">
        <v>259</v>
      </c>
      <c r="B407" s="278" t="s">
        <v>260</v>
      </c>
      <c r="C407" s="278" t="s">
        <v>202</v>
      </c>
      <c r="D407" s="315">
        <v>41500</v>
      </c>
      <c r="E407" s="279">
        <v>38</v>
      </c>
      <c r="F407" s="55">
        <f t="shared" si="7"/>
        <v>98</v>
      </c>
    </row>
    <row r="408" spans="1:6" x14ac:dyDescent="0.25">
      <c r="A408" s="277" t="s">
        <v>259</v>
      </c>
      <c r="B408" s="278" t="s">
        <v>260</v>
      </c>
      <c r="C408" s="278" t="s">
        <v>197</v>
      </c>
      <c r="D408" s="315">
        <v>41500</v>
      </c>
      <c r="E408" s="279">
        <v>38</v>
      </c>
      <c r="F408" s="55">
        <f t="shared" si="7"/>
        <v>98</v>
      </c>
    </row>
    <row r="409" spans="1:6" x14ac:dyDescent="0.25">
      <c r="A409" s="277" t="s">
        <v>271</v>
      </c>
      <c r="B409" s="278" t="s">
        <v>272</v>
      </c>
      <c r="C409" s="278" t="s">
        <v>197</v>
      </c>
      <c r="D409" s="315">
        <v>41500</v>
      </c>
      <c r="E409" s="279">
        <v>12</v>
      </c>
      <c r="F409" s="55">
        <f t="shared" si="7"/>
        <v>98</v>
      </c>
    </row>
    <row r="410" spans="1:6" x14ac:dyDescent="0.25">
      <c r="A410" s="277" t="s">
        <v>271</v>
      </c>
      <c r="B410" s="278" t="s">
        <v>272</v>
      </c>
      <c r="C410" s="278" t="s">
        <v>202</v>
      </c>
      <c r="D410" s="315">
        <v>41500</v>
      </c>
      <c r="E410" s="279">
        <v>12</v>
      </c>
      <c r="F410" s="55">
        <f t="shared" si="7"/>
        <v>98</v>
      </c>
    </row>
    <row r="411" spans="1:6" x14ac:dyDescent="0.25">
      <c r="A411" s="277" t="s">
        <v>267</v>
      </c>
      <c r="B411" s="278" t="s">
        <v>268</v>
      </c>
      <c r="C411" s="278" t="s">
        <v>197</v>
      </c>
      <c r="D411" s="315">
        <v>41501</v>
      </c>
      <c r="E411" s="279">
        <v>4</v>
      </c>
      <c r="F411" s="55">
        <f t="shared" si="7"/>
        <v>98</v>
      </c>
    </row>
    <row r="412" spans="1:6" x14ac:dyDescent="0.25">
      <c r="A412" s="277" t="s">
        <v>267</v>
      </c>
      <c r="B412" s="278" t="s">
        <v>268</v>
      </c>
      <c r="C412" s="278" t="s">
        <v>202</v>
      </c>
      <c r="D412" s="315">
        <v>41501</v>
      </c>
      <c r="E412" s="279">
        <v>6</v>
      </c>
      <c r="F412" s="55">
        <f t="shared" si="7"/>
        <v>98</v>
      </c>
    </row>
    <row r="413" spans="1:6" x14ac:dyDescent="0.25">
      <c r="A413" s="277" t="s">
        <v>267</v>
      </c>
      <c r="B413" s="278" t="s">
        <v>268</v>
      </c>
      <c r="C413" s="278" t="s">
        <v>198</v>
      </c>
      <c r="D413" s="315">
        <v>41501</v>
      </c>
      <c r="E413" s="279">
        <v>2</v>
      </c>
      <c r="F413" s="55">
        <f t="shared" si="7"/>
        <v>98</v>
      </c>
    </row>
    <row r="414" spans="1:6" x14ac:dyDescent="0.25">
      <c r="A414" s="277" t="s">
        <v>243</v>
      </c>
      <c r="B414" s="278" t="s">
        <v>248</v>
      </c>
      <c r="C414" s="278" t="s">
        <v>202</v>
      </c>
      <c r="D414" s="315">
        <v>41501</v>
      </c>
      <c r="E414" s="279">
        <v>4</v>
      </c>
      <c r="F414" s="55">
        <f t="shared" si="7"/>
        <v>98</v>
      </c>
    </row>
    <row r="415" spans="1:6" x14ac:dyDescent="0.25">
      <c r="A415" s="277" t="s">
        <v>243</v>
      </c>
      <c r="B415" s="278" t="s">
        <v>248</v>
      </c>
      <c r="C415" s="278" t="s">
        <v>197</v>
      </c>
      <c r="D415" s="315">
        <v>41501</v>
      </c>
      <c r="E415" s="279">
        <v>4</v>
      </c>
      <c r="F415" s="55">
        <f t="shared" si="7"/>
        <v>98</v>
      </c>
    </row>
    <row r="416" spans="1:6" x14ac:dyDescent="0.25">
      <c r="A416" s="277" t="s">
        <v>265</v>
      </c>
      <c r="B416" s="278" t="s">
        <v>266</v>
      </c>
      <c r="C416" s="278" t="s">
        <v>202</v>
      </c>
      <c r="D416" s="315">
        <v>41501</v>
      </c>
      <c r="E416" s="279">
        <v>5</v>
      </c>
      <c r="F416" s="55">
        <f t="shared" si="7"/>
        <v>98</v>
      </c>
    </row>
    <row r="417" spans="1:6" x14ac:dyDescent="0.25">
      <c r="A417" s="277" t="s">
        <v>265</v>
      </c>
      <c r="B417" s="278" t="s">
        <v>266</v>
      </c>
      <c r="C417" s="278" t="s">
        <v>197</v>
      </c>
      <c r="D417" s="315">
        <v>41501</v>
      </c>
      <c r="E417" s="279">
        <v>5</v>
      </c>
      <c r="F417" s="55">
        <f t="shared" si="7"/>
        <v>98</v>
      </c>
    </row>
    <row r="418" spans="1:6" x14ac:dyDescent="0.25">
      <c r="A418" s="277" t="s">
        <v>269</v>
      </c>
      <c r="B418" s="278" t="s">
        <v>270</v>
      </c>
      <c r="C418" s="278" t="s">
        <v>202</v>
      </c>
      <c r="D418" s="315">
        <v>41501</v>
      </c>
      <c r="E418" s="279">
        <v>15</v>
      </c>
      <c r="F418" s="55">
        <f t="shared" si="7"/>
        <v>98</v>
      </c>
    </row>
    <row r="419" spans="1:6" x14ac:dyDescent="0.25">
      <c r="A419" s="277" t="s">
        <v>269</v>
      </c>
      <c r="B419" s="278" t="s">
        <v>270</v>
      </c>
      <c r="C419" s="278" t="s">
        <v>197</v>
      </c>
      <c r="D419" s="315">
        <v>41501</v>
      </c>
      <c r="E419" s="279">
        <v>15</v>
      </c>
      <c r="F419" s="55">
        <f t="shared" si="7"/>
        <v>98</v>
      </c>
    </row>
    <row r="420" spans="1:6" x14ac:dyDescent="0.25">
      <c r="A420" s="277" t="s">
        <v>257</v>
      </c>
      <c r="B420" s="278" t="s">
        <v>258</v>
      </c>
      <c r="C420" s="278" t="s">
        <v>197</v>
      </c>
      <c r="D420" s="315">
        <v>41501</v>
      </c>
      <c r="E420" s="279">
        <v>7</v>
      </c>
      <c r="F420" s="55">
        <f t="shared" si="7"/>
        <v>98</v>
      </c>
    </row>
    <row r="421" spans="1:6" x14ac:dyDescent="0.25">
      <c r="A421" s="277" t="s">
        <v>257</v>
      </c>
      <c r="B421" s="278" t="s">
        <v>258</v>
      </c>
      <c r="C421" s="278" t="s">
        <v>202</v>
      </c>
      <c r="D421" s="315">
        <v>41501</v>
      </c>
      <c r="E421" s="279">
        <v>7</v>
      </c>
      <c r="F421" s="55">
        <f t="shared" si="7"/>
        <v>98</v>
      </c>
    </row>
    <row r="422" spans="1:6" x14ac:dyDescent="0.25">
      <c r="A422" s="277" t="s">
        <v>251</v>
      </c>
      <c r="B422" s="278" t="s">
        <v>252</v>
      </c>
      <c r="C422" s="278" t="s">
        <v>197</v>
      </c>
      <c r="D422" s="315">
        <v>41501</v>
      </c>
      <c r="E422" s="279">
        <v>24</v>
      </c>
      <c r="F422" s="55">
        <f t="shared" si="7"/>
        <v>98</v>
      </c>
    </row>
    <row r="423" spans="1:6" x14ac:dyDescent="0.25">
      <c r="A423" s="277" t="s">
        <v>251</v>
      </c>
      <c r="B423" s="278" t="s">
        <v>252</v>
      </c>
      <c r="C423" s="278" t="s">
        <v>202</v>
      </c>
      <c r="D423" s="315">
        <v>41501</v>
      </c>
      <c r="E423" s="279">
        <v>24</v>
      </c>
      <c r="F423" s="55">
        <f t="shared" si="7"/>
        <v>98</v>
      </c>
    </row>
    <row r="424" spans="1:6" x14ac:dyDescent="0.25">
      <c r="A424" s="277" t="s">
        <v>293</v>
      </c>
      <c r="B424" s="278" t="s">
        <v>294</v>
      </c>
      <c r="C424" s="278" t="s">
        <v>202</v>
      </c>
      <c r="D424" s="315">
        <v>41501</v>
      </c>
      <c r="E424" s="279">
        <v>3</v>
      </c>
      <c r="F424" s="55">
        <f t="shared" si="7"/>
        <v>98</v>
      </c>
    </row>
    <row r="425" spans="1:6" x14ac:dyDescent="0.25">
      <c r="A425" s="277" t="s">
        <v>293</v>
      </c>
      <c r="B425" s="278" t="s">
        <v>294</v>
      </c>
      <c r="C425" s="278" t="s">
        <v>197</v>
      </c>
      <c r="D425" s="315">
        <v>41501</v>
      </c>
      <c r="E425" s="279">
        <v>2</v>
      </c>
      <c r="F425" s="55">
        <f t="shared" si="7"/>
        <v>98</v>
      </c>
    </row>
    <row r="426" spans="1:6" x14ac:dyDescent="0.25">
      <c r="A426" s="277" t="s">
        <v>293</v>
      </c>
      <c r="B426" s="278" t="s">
        <v>294</v>
      </c>
      <c r="C426" s="278" t="s">
        <v>198</v>
      </c>
      <c r="D426" s="315">
        <v>41501</v>
      </c>
      <c r="E426" s="279">
        <v>1</v>
      </c>
      <c r="F426" s="55">
        <f t="shared" si="7"/>
        <v>98</v>
      </c>
    </row>
    <row r="427" spans="1:6" x14ac:dyDescent="0.25">
      <c r="A427" s="277" t="s">
        <v>265</v>
      </c>
      <c r="B427" s="278" t="s">
        <v>266</v>
      </c>
      <c r="C427" s="278" t="s">
        <v>202</v>
      </c>
      <c r="D427" s="315">
        <v>41502</v>
      </c>
      <c r="E427" s="279">
        <v>1</v>
      </c>
      <c r="F427" s="55">
        <f t="shared" si="7"/>
        <v>98</v>
      </c>
    </row>
    <row r="428" spans="1:6" x14ac:dyDescent="0.25">
      <c r="A428" s="277" t="s">
        <v>265</v>
      </c>
      <c r="B428" s="278" t="s">
        <v>266</v>
      </c>
      <c r="C428" s="278" t="s">
        <v>197</v>
      </c>
      <c r="D428" s="315">
        <v>41502</v>
      </c>
      <c r="E428" s="279">
        <v>1</v>
      </c>
      <c r="F428" s="55">
        <f t="shared" si="7"/>
        <v>98</v>
      </c>
    </row>
    <row r="429" spans="1:6" x14ac:dyDescent="0.25">
      <c r="A429" s="277" t="s">
        <v>257</v>
      </c>
      <c r="B429" s="278" t="s">
        <v>258</v>
      </c>
      <c r="C429" s="278" t="s">
        <v>202</v>
      </c>
      <c r="D429" s="315">
        <v>41502</v>
      </c>
      <c r="E429" s="279">
        <v>1</v>
      </c>
      <c r="F429" s="55">
        <f t="shared" si="7"/>
        <v>98</v>
      </c>
    </row>
    <row r="430" spans="1:6" x14ac:dyDescent="0.25">
      <c r="A430" s="277" t="s">
        <v>257</v>
      </c>
      <c r="B430" s="278" t="s">
        <v>258</v>
      </c>
      <c r="C430" s="278" t="s">
        <v>197</v>
      </c>
      <c r="D430" s="315">
        <v>41502</v>
      </c>
      <c r="E430" s="279">
        <v>1</v>
      </c>
      <c r="F430" s="55">
        <f t="shared" si="7"/>
        <v>98</v>
      </c>
    </row>
    <row r="431" spans="1:6" x14ac:dyDescent="0.25">
      <c r="A431" s="277" t="s">
        <v>259</v>
      </c>
      <c r="B431" s="278" t="s">
        <v>260</v>
      </c>
      <c r="C431" s="278" t="s">
        <v>202</v>
      </c>
      <c r="D431" s="315">
        <v>41502</v>
      </c>
      <c r="E431" s="279">
        <v>5</v>
      </c>
      <c r="F431" s="55">
        <f t="shared" si="7"/>
        <v>98</v>
      </c>
    </row>
    <row r="432" spans="1:6" x14ac:dyDescent="0.25">
      <c r="A432" s="277" t="s">
        <v>259</v>
      </c>
      <c r="B432" s="278" t="s">
        <v>260</v>
      </c>
      <c r="C432" s="278" t="s">
        <v>197</v>
      </c>
      <c r="D432" s="315">
        <v>41502</v>
      </c>
      <c r="E432" s="279">
        <v>5</v>
      </c>
      <c r="F432" s="55">
        <f t="shared" si="7"/>
        <v>98</v>
      </c>
    </row>
    <row r="433" spans="1:6" x14ac:dyDescent="0.25">
      <c r="A433" s="277" t="s">
        <v>267</v>
      </c>
      <c r="B433" s="278" t="s">
        <v>268</v>
      </c>
      <c r="C433" s="278" t="s">
        <v>197</v>
      </c>
      <c r="D433" s="315">
        <v>41502</v>
      </c>
      <c r="E433" s="279">
        <v>1</v>
      </c>
      <c r="F433" s="55">
        <f t="shared" si="7"/>
        <v>98</v>
      </c>
    </row>
    <row r="434" spans="1:6" x14ac:dyDescent="0.25">
      <c r="A434" s="277" t="s">
        <v>267</v>
      </c>
      <c r="B434" s="278" t="s">
        <v>268</v>
      </c>
      <c r="C434" s="278" t="s">
        <v>202</v>
      </c>
      <c r="D434" s="315">
        <v>41502</v>
      </c>
      <c r="E434" s="279">
        <v>1</v>
      </c>
      <c r="F434" s="55">
        <f t="shared" si="7"/>
        <v>98</v>
      </c>
    </row>
    <row r="435" spans="1:6" x14ac:dyDescent="0.25">
      <c r="A435" s="277" t="s">
        <v>263</v>
      </c>
      <c r="B435" s="278" t="s">
        <v>264</v>
      </c>
      <c r="C435" s="278" t="s">
        <v>197</v>
      </c>
      <c r="D435" s="315">
        <v>41502</v>
      </c>
      <c r="E435" s="279">
        <v>8</v>
      </c>
      <c r="F435" s="55">
        <f t="shared" si="7"/>
        <v>98</v>
      </c>
    </row>
    <row r="436" spans="1:6" x14ac:dyDescent="0.25">
      <c r="A436" s="277" t="s">
        <v>263</v>
      </c>
      <c r="B436" s="278" t="s">
        <v>264</v>
      </c>
      <c r="C436" s="278" t="s">
        <v>202</v>
      </c>
      <c r="D436" s="315">
        <v>41502</v>
      </c>
      <c r="E436" s="279">
        <v>8</v>
      </c>
      <c r="F436" s="55">
        <f t="shared" si="7"/>
        <v>98</v>
      </c>
    </row>
    <row r="437" spans="1:6" x14ac:dyDescent="0.25">
      <c r="A437" s="277" t="s">
        <v>273</v>
      </c>
      <c r="B437" s="278" t="s">
        <v>274</v>
      </c>
      <c r="C437" s="278" t="s">
        <v>197</v>
      </c>
      <c r="D437" s="315">
        <v>41502</v>
      </c>
      <c r="E437" s="279">
        <v>1</v>
      </c>
      <c r="F437" s="55">
        <f t="shared" si="7"/>
        <v>98</v>
      </c>
    </row>
    <row r="438" spans="1:6" x14ac:dyDescent="0.25">
      <c r="A438" s="277" t="s">
        <v>273</v>
      </c>
      <c r="B438" s="278" t="s">
        <v>274</v>
      </c>
      <c r="C438" s="278" t="s">
        <v>202</v>
      </c>
      <c r="D438" s="315">
        <v>41502</v>
      </c>
      <c r="E438" s="279">
        <v>1</v>
      </c>
      <c r="F438" s="55">
        <f t="shared" si="7"/>
        <v>98</v>
      </c>
    </row>
    <row r="439" spans="1:6" x14ac:dyDescent="0.25">
      <c r="A439" s="277" t="s">
        <v>243</v>
      </c>
      <c r="B439" s="278" t="s">
        <v>248</v>
      </c>
      <c r="C439" s="278" t="s">
        <v>197</v>
      </c>
      <c r="D439" s="315">
        <v>41502</v>
      </c>
      <c r="E439" s="279">
        <v>1</v>
      </c>
      <c r="F439" s="55">
        <f t="shared" si="7"/>
        <v>98</v>
      </c>
    </row>
    <row r="440" spans="1:6" x14ac:dyDescent="0.25">
      <c r="A440" s="277" t="s">
        <v>243</v>
      </c>
      <c r="B440" s="278" t="s">
        <v>248</v>
      </c>
      <c r="C440" s="278" t="s">
        <v>202</v>
      </c>
      <c r="D440" s="315">
        <v>41502</v>
      </c>
      <c r="E440" s="279">
        <v>1</v>
      </c>
      <c r="F440" s="55">
        <f t="shared" si="7"/>
        <v>98</v>
      </c>
    </row>
    <row r="441" spans="1:6" x14ac:dyDescent="0.25">
      <c r="A441" s="277" t="s">
        <v>261</v>
      </c>
      <c r="B441" s="278" t="s">
        <v>262</v>
      </c>
      <c r="C441" s="278" t="s">
        <v>197</v>
      </c>
      <c r="D441" s="315">
        <v>41503</v>
      </c>
      <c r="E441" s="279">
        <v>21</v>
      </c>
      <c r="F441" s="55">
        <f t="shared" si="7"/>
        <v>99</v>
      </c>
    </row>
    <row r="442" spans="1:6" x14ac:dyDescent="0.25">
      <c r="A442" s="277" t="s">
        <v>261</v>
      </c>
      <c r="B442" s="278" t="s">
        <v>262</v>
      </c>
      <c r="C442" s="278" t="s">
        <v>202</v>
      </c>
      <c r="D442" s="315">
        <v>41503</v>
      </c>
      <c r="E442" s="279">
        <v>21</v>
      </c>
      <c r="F442" s="55">
        <f t="shared" si="7"/>
        <v>99</v>
      </c>
    </row>
    <row r="443" spans="1:6" x14ac:dyDescent="0.25">
      <c r="A443" s="277" t="s">
        <v>251</v>
      </c>
      <c r="B443" s="278" t="s">
        <v>252</v>
      </c>
      <c r="C443" s="278" t="s">
        <v>197</v>
      </c>
      <c r="D443" s="315">
        <v>41503</v>
      </c>
      <c r="E443" s="279">
        <v>1</v>
      </c>
      <c r="F443" s="55">
        <f t="shared" si="7"/>
        <v>99</v>
      </c>
    </row>
    <row r="444" spans="1:6" x14ac:dyDescent="0.25">
      <c r="A444" s="277" t="s">
        <v>251</v>
      </c>
      <c r="B444" s="278" t="s">
        <v>252</v>
      </c>
      <c r="C444" s="278" t="s">
        <v>202</v>
      </c>
      <c r="D444" s="315">
        <v>41503</v>
      </c>
      <c r="E444" s="279">
        <v>1</v>
      </c>
      <c r="F444" s="55">
        <f t="shared" si="7"/>
        <v>99</v>
      </c>
    </row>
    <row r="445" spans="1:6" x14ac:dyDescent="0.25">
      <c r="A445" s="277" t="s">
        <v>271</v>
      </c>
      <c r="B445" s="278" t="s">
        <v>272</v>
      </c>
      <c r="C445" s="278" t="s">
        <v>198</v>
      </c>
      <c r="D445" s="315">
        <v>41504</v>
      </c>
      <c r="E445" s="279">
        <v>1</v>
      </c>
      <c r="F445" s="55">
        <f t="shared" si="7"/>
        <v>99</v>
      </c>
    </row>
    <row r="446" spans="1:6" x14ac:dyDescent="0.25">
      <c r="A446" s="277" t="s">
        <v>271</v>
      </c>
      <c r="B446" s="278" t="s">
        <v>272</v>
      </c>
      <c r="C446" s="278" t="s">
        <v>202</v>
      </c>
      <c r="D446" s="315">
        <v>41504</v>
      </c>
      <c r="E446" s="279">
        <v>1</v>
      </c>
      <c r="F446" s="55">
        <f t="shared" si="7"/>
        <v>99</v>
      </c>
    </row>
    <row r="447" spans="1:6" x14ac:dyDescent="0.25">
      <c r="A447" s="277" t="s">
        <v>271</v>
      </c>
      <c r="B447" s="278" t="s">
        <v>272</v>
      </c>
      <c r="C447" s="278" t="s">
        <v>197</v>
      </c>
      <c r="D447" s="315">
        <v>41504</v>
      </c>
      <c r="E447" s="279">
        <v>1</v>
      </c>
      <c r="F447" s="55">
        <f t="shared" si="7"/>
        <v>99</v>
      </c>
    </row>
    <row r="448" spans="1:6" x14ac:dyDescent="0.25">
      <c r="A448" s="277" t="s">
        <v>259</v>
      </c>
      <c r="B448" s="278" t="s">
        <v>260</v>
      </c>
      <c r="C448" s="278" t="s">
        <v>197</v>
      </c>
      <c r="D448" s="315">
        <v>41504</v>
      </c>
      <c r="E448" s="279">
        <v>1</v>
      </c>
      <c r="F448" s="55">
        <f t="shared" si="7"/>
        <v>99</v>
      </c>
    </row>
    <row r="449" spans="1:6" x14ac:dyDescent="0.25">
      <c r="A449" s="277" t="s">
        <v>259</v>
      </c>
      <c r="B449" s="278" t="s">
        <v>260</v>
      </c>
      <c r="C449" s="278" t="s">
        <v>202</v>
      </c>
      <c r="D449" s="315">
        <v>41504</v>
      </c>
      <c r="E449" s="279">
        <v>1</v>
      </c>
      <c r="F449" s="55">
        <f t="shared" si="7"/>
        <v>99</v>
      </c>
    </row>
    <row r="450" spans="1:6" x14ac:dyDescent="0.25">
      <c r="A450" s="277" t="s">
        <v>251</v>
      </c>
      <c r="B450" s="278" t="s">
        <v>252</v>
      </c>
      <c r="C450" s="278" t="s">
        <v>197</v>
      </c>
      <c r="D450" s="315">
        <v>41504</v>
      </c>
      <c r="E450" s="279">
        <v>1</v>
      </c>
      <c r="F450" s="55">
        <f t="shared" si="7"/>
        <v>99</v>
      </c>
    </row>
    <row r="451" spans="1:6" x14ac:dyDescent="0.25">
      <c r="A451" s="277" t="s">
        <v>251</v>
      </c>
      <c r="B451" s="278" t="s">
        <v>252</v>
      </c>
      <c r="C451" s="278" t="s">
        <v>202</v>
      </c>
      <c r="D451" s="315">
        <v>41504</v>
      </c>
      <c r="E451" s="279">
        <v>1</v>
      </c>
      <c r="F451" s="55">
        <f t="shared" si="7"/>
        <v>99</v>
      </c>
    </row>
    <row r="452" spans="1:6" x14ac:dyDescent="0.25">
      <c r="A452" s="277" t="s">
        <v>243</v>
      </c>
      <c r="B452" s="278" t="s">
        <v>248</v>
      </c>
      <c r="C452" s="278" t="s">
        <v>197</v>
      </c>
      <c r="D452" s="315">
        <v>41504</v>
      </c>
      <c r="E452" s="279">
        <v>2</v>
      </c>
      <c r="F452" s="55">
        <f t="shared" si="7"/>
        <v>99</v>
      </c>
    </row>
    <row r="453" spans="1:6" x14ac:dyDescent="0.25">
      <c r="A453" s="277" t="s">
        <v>243</v>
      </c>
      <c r="B453" s="278" t="s">
        <v>248</v>
      </c>
      <c r="C453" s="278" t="s">
        <v>202</v>
      </c>
      <c r="D453" s="315">
        <v>41504</v>
      </c>
      <c r="E453" s="279">
        <v>2</v>
      </c>
      <c r="F453" s="55">
        <f t="shared" si="7"/>
        <v>99</v>
      </c>
    </row>
    <row r="454" spans="1:6" x14ac:dyDescent="0.25">
      <c r="A454" s="277" t="s">
        <v>281</v>
      </c>
      <c r="B454" s="278" t="s">
        <v>282</v>
      </c>
      <c r="C454" s="278" t="s">
        <v>202</v>
      </c>
      <c r="D454" s="315">
        <v>41505</v>
      </c>
      <c r="E454" s="279">
        <v>8</v>
      </c>
      <c r="F454" s="55">
        <f t="shared" si="7"/>
        <v>99</v>
      </c>
    </row>
    <row r="455" spans="1:6" x14ac:dyDescent="0.25">
      <c r="A455" s="277" t="s">
        <v>281</v>
      </c>
      <c r="B455" s="278" t="s">
        <v>282</v>
      </c>
      <c r="C455" s="278" t="s">
        <v>197</v>
      </c>
      <c r="D455" s="315">
        <v>41505</v>
      </c>
      <c r="E455" s="279">
        <v>8</v>
      </c>
      <c r="F455" s="55">
        <f t="shared" si="7"/>
        <v>99</v>
      </c>
    </row>
    <row r="456" spans="1:6" x14ac:dyDescent="0.25">
      <c r="A456" s="277" t="s">
        <v>269</v>
      </c>
      <c r="B456" s="278" t="s">
        <v>270</v>
      </c>
      <c r="C456" s="278" t="s">
        <v>197</v>
      </c>
      <c r="D456" s="315">
        <v>41505</v>
      </c>
      <c r="E456" s="279">
        <v>23</v>
      </c>
      <c r="F456" s="55">
        <f t="shared" si="7"/>
        <v>99</v>
      </c>
    </row>
    <row r="457" spans="1:6" x14ac:dyDescent="0.25">
      <c r="A457" s="277" t="s">
        <v>269</v>
      </c>
      <c r="B457" s="278" t="s">
        <v>270</v>
      </c>
      <c r="C457" s="278" t="s">
        <v>202</v>
      </c>
      <c r="D457" s="315">
        <v>41505</v>
      </c>
      <c r="E457" s="279">
        <v>23</v>
      </c>
      <c r="F457" s="55">
        <f t="shared" si="7"/>
        <v>99</v>
      </c>
    </row>
    <row r="458" spans="1:6" x14ac:dyDescent="0.25">
      <c r="A458" s="277" t="s">
        <v>293</v>
      </c>
      <c r="B458" s="278" t="s">
        <v>294</v>
      </c>
      <c r="C458" s="278" t="s">
        <v>202</v>
      </c>
      <c r="D458" s="315">
        <v>41505</v>
      </c>
      <c r="E458" s="279">
        <v>1</v>
      </c>
      <c r="F458" s="55">
        <f t="shared" ref="F458:F521" si="8">TRUNC((D458-start)/7,0)+1</f>
        <v>99</v>
      </c>
    </row>
    <row r="459" spans="1:6" x14ac:dyDescent="0.25">
      <c r="A459" s="277" t="s">
        <v>293</v>
      </c>
      <c r="B459" s="278" t="s">
        <v>294</v>
      </c>
      <c r="C459" s="278" t="s">
        <v>198</v>
      </c>
      <c r="D459" s="315">
        <v>41505</v>
      </c>
      <c r="E459" s="279">
        <v>1</v>
      </c>
      <c r="F459" s="55">
        <f t="shared" si="8"/>
        <v>99</v>
      </c>
    </row>
    <row r="460" spans="1:6" x14ac:dyDescent="0.25">
      <c r="A460" s="277" t="s">
        <v>293</v>
      </c>
      <c r="B460" s="278" t="s">
        <v>294</v>
      </c>
      <c r="C460" s="278" t="s">
        <v>197</v>
      </c>
      <c r="D460" s="315">
        <v>41505</v>
      </c>
      <c r="E460" s="279">
        <v>1</v>
      </c>
      <c r="F460" s="55">
        <f t="shared" si="8"/>
        <v>99</v>
      </c>
    </row>
    <row r="461" spans="1:6" x14ac:dyDescent="0.25">
      <c r="A461" s="277" t="s">
        <v>243</v>
      </c>
      <c r="B461" s="278" t="s">
        <v>248</v>
      </c>
      <c r="C461" s="278" t="s">
        <v>197</v>
      </c>
      <c r="D461" s="315">
        <v>41505</v>
      </c>
      <c r="E461" s="279">
        <v>1</v>
      </c>
      <c r="F461" s="55">
        <f t="shared" si="8"/>
        <v>99</v>
      </c>
    </row>
    <row r="462" spans="1:6" x14ac:dyDescent="0.25">
      <c r="A462" s="277" t="s">
        <v>243</v>
      </c>
      <c r="B462" s="278" t="s">
        <v>248</v>
      </c>
      <c r="C462" s="278" t="s">
        <v>202</v>
      </c>
      <c r="D462" s="315">
        <v>41505</v>
      </c>
      <c r="E462" s="279">
        <v>1</v>
      </c>
      <c r="F462" s="55">
        <f t="shared" si="8"/>
        <v>99</v>
      </c>
    </row>
    <row r="463" spans="1:6" x14ac:dyDescent="0.25">
      <c r="A463" s="277" t="s">
        <v>277</v>
      </c>
      <c r="B463" s="278" t="s">
        <v>278</v>
      </c>
      <c r="C463" s="278" t="s">
        <v>197</v>
      </c>
      <c r="D463" s="315">
        <v>41506</v>
      </c>
      <c r="E463" s="279">
        <v>1</v>
      </c>
      <c r="F463" s="55">
        <f t="shared" si="8"/>
        <v>99</v>
      </c>
    </row>
    <row r="464" spans="1:6" x14ac:dyDescent="0.25">
      <c r="A464" s="277" t="s">
        <v>277</v>
      </c>
      <c r="B464" s="278" t="s">
        <v>278</v>
      </c>
      <c r="C464" s="278" t="s">
        <v>202</v>
      </c>
      <c r="D464" s="315">
        <v>41506</v>
      </c>
      <c r="E464" s="279">
        <v>1</v>
      </c>
      <c r="F464" s="55">
        <f t="shared" si="8"/>
        <v>99</v>
      </c>
    </row>
    <row r="465" spans="1:6" x14ac:dyDescent="0.25">
      <c r="A465" s="277" t="s">
        <v>251</v>
      </c>
      <c r="B465" s="278" t="s">
        <v>252</v>
      </c>
      <c r="C465" s="278" t="s">
        <v>197</v>
      </c>
      <c r="D465" s="315">
        <v>41506</v>
      </c>
      <c r="E465" s="279">
        <v>2</v>
      </c>
      <c r="F465" s="55">
        <f t="shared" si="8"/>
        <v>99</v>
      </c>
    </row>
    <row r="466" spans="1:6" x14ac:dyDescent="0.25">
      <c r="A466" s="277" t="s">
        <v>251</v>
      </c>
      <c r="B466" s="278" t="s">
        <v>252</v>
      </c>
      <c r="C466" s="278" t="s">
        <v>202</v>
      </c>
      <c r="D466" s="315">
        <v>41506</v>
      </c>
      <c r="E466" s="279">
        <v>2</v>
      </c>
      <c r="F466" s="55">
        <f t="shared" si="8"/>
        <v>99</v>
      </c>
    </row>
    <row r="467" spans="1:6" x14ac:dyDescent="0.25">
      <c r="A467" s="277" t="s">
        <v>269</v>
      </c>
      <c r="B467" s="278" t="s">
        <v>270</v>
      </c>
      <c r="C467" s="278" t="s">
        <v>197</v>
      </c>
      <c r="D467" s="315">
        <v>41506</v>
      </c>
      <c r="E467" s="279">
        <v>3</v>
      </c>
      <c r="F467" s="55">
        <f t="shared" si="8"/>
        <v>99</v>
      </c>
    </row>
    <row r="468" spans="1:6" x14ac:dyDescent="0.25">
      <c r="A468" s="277" t="s">
        <v>269</v>
      </c>
      <c r="B468" s="278" t="s">
        <v>270</v>
      </c>
      <c r="C468" s="278" t="s">
        <v>202</v>
      </c>
      <c r="D468" s="315">
        <v>41506</v>
      </c>
      <c r="E468" s="279">
        <v>3</v>
      </c>
      <c r="F468" s="55">
        <f t="shared" si="8"/>
        <v>99</v>
      </c>
    </row>
    <row r="469" spans="1:6" x14ac:dyDescent="0.25">
      <c r="A469" s="277" t="s">
        <v>295</v>
      </c>
      <c r="B469" s="278" t="s">
        <v>296</v>
      </c>
      <c r="C469" s="278" t="s">
        <v>202</v>
      </c>
      <c r="D469" s="315">
        <v>41506</v>
      </c>
      <c r="E469" s="279">
        <v>6</v>
      </c>
      <c r="F469" s="55">
        <f t="shared" si="8"/>
        <v>99</v>
      </c>
    </row>
    <row r="470" spans="1:6" x14ac:dyDescent="0.25">
      <c r="A470" s="277" t="s">
        <v>295</v>
      </c>
      <c r="B470" s="278" t="s">
        <v>296</v>
      </c>
      <c r="C470" s="278" t="s">
        <v>197</v>
      </c>
      <c r="D470" s="315">
        <v>41506</v>
      </c>
      <c r="E470" s="279">
        <v>6</v>
      </c>
      <c r="F470" s="55">
        <f t="shared" si="8"/>
        <v>99</v>
      </c>
    </row>
    <row r="471" spans="1:6" x14ac:dyDescent="0.25">
      <c r="A471" s="277" t="s">
        <v>261</v>
      </c>
      <c r="B471" s="278" t="s">
        <v>262</v>
      </c>
      <c r="C471" s="278" t="s">
        <v>202</v>
      </c>
      <c r="D471" s="315">
        <v>41506</v>
      </c>
      <c r="E471" s="279">
        <v>3</v>
      </c>
      <c r="F471" s="55">
        <f t="shared" si="8"/>
        <v>99</v>
      </c>
    </row>
    <row r="472" spans="1:6" x14ac:dyDescent="0.25">
      <c r="A472" s="277" t="s">
        <v>261</v>
      </c>
      <c r="B472" s="278" t="s">
        <v>262</v>
      </c>
      <c r="C472" s="278" t="s">
        <v>197</v>
      </c>
      <c r="D472" s="315">
        <v>41506</v>
      </c>
      <c r="E472" s="279">
        <v>3</v>
      </c>
      <c r="F472" s="55">
        <f t="shared" si="8"/>
        <v>99</v>
      </c>
    </row>
    <row r="473" spans="1:6" x14ac:dyDescent="0.25">
      <c r="A473" s="277" t="s">
        <v>257</v>
      </c>
      <c r="B473" s="278" t="s">
        <v>258</v>
      </c>
      <c r="C473" s="278" t="s">
        <v>202</v>
      </c>
      <c r="D473" s="315">
        <v>41506</v>
      </c>
      <c r="E473" s="279">
        <v>3</v>
      </c>
      <c r="F473" s="55">
        <f t="shared" si="8"/>
        <v>99</v>
      </c>
    </row>
    <row r="474" spans="1:6" x14ac:dyDescent="0.25">
      <c r="A474" s="277" t="s">
        <v>257</v>
      </c>
      <c r="B474" s="278" t="s">
        <v>258</v>
      </c>
      <c r="C474" s="278" t="s">
        <v>197</v>
      </c>
      <c r="D474" s="315">
        <v>41506</v>
      </c>
      <c r="E474" s="279">
        <v>3</v>
      </c>
      <c r="F474" s="55">
        <f t="shared" si="8"/>
        <v>99</v>
      </c>
    </row>
    <row r="475" spans="1:6" x14ac:dyDescent="0.25">
      <c r="A475" s="277" t="s">
        <v>269</v>
      </c>
      <c r="B475" s="278" t="s">
        <v>270</v>
      </c>
      <c r="C475" s="278" t="s">
        <v>202</v>
      </c>
      <c r="D475" s="315">
        <v>41507</v>
      </c>
      <c r="E475" s="279">
        <v>13</v>
      </c>
      <c r="F475" s="55">
        <f t="shared" si="8"/>
        <v>99</v>
      </c>
    </row>
    <row r="476" spans="1:6" x14ac:dyDescent="0.25">
      <c r="A476" s="277" t="s">
        <v>269</v>
      </c>
      <c r="B476" s="278" t="s">
        <v>270</v>
      </c>
      <c r="C476" s="278" t="s">
        <v>197</v>
      </c>
      <c r="D476" s="315">
        <v>41507</v>
      </c>
      <c r="E476" s="279">
        <v>13</v>
      </c>
      <c r="F476" s="55">
        <f t="shared" si="8"/>
        <v>99</v>
      </c>
    </row>
    <row r="477" spans="1:6" x14ac:dyDescent="0.25">
      <c r="A477" s="277" t="s">
        <v>293</v>
      </c>
      <c r="B477" s="278" t="s">
        <v>294</v>
      </c>
      <c r="C477" s="278" t="s">
        <v>202</v>
      </c>
      <c r="D477" s="315">
        <v>41508</v>
      </c>
      <c r="E477" s="279">
        <v>3</v>
      </c>
      <c r="F477" s="55">
        <f t="shared" si="8"/>
        <v>99</v>
      </c>
    </row>
    <row r="478" spans="1:6" x14ac:dyDescent="0.25">
      <c r="A478" s="277" t="s">
        <v>293</v>
      </c>
      <c r="B478" s="278" t="s">
        <v>294</v>
      </c>
      <c r="C478" s="278" t="s">
        <v>197</v>
      </c>
      <c r="D478" s="315">
        <v>41508</v>
      </c>
      <c r="E478" s="279">
        <v>2</v>
      </c>
      <c r="F478" s="55">
        <f t="shared" si="8"/>
        <v>99</v>
      </c>
    </row>
    <row r="479" spans="1:6" x14ac:dyDescent="0.25">
      <c r="A479" s="277" t="s">
        <v>293</v>
      </c>
      <c r="B479" s="278" t="s">
        <v>294</v>
      </c>
      <c r="C479" s="278" t="s">
        <v>198</v>
      </c>
      <c r="D479" s="315">
        <v>41508</v>
      </c>
      <c r="E479" s="279">
        <v>1</v>
      </c>
      <c r="F479" s="55">
        <f t="shared" si="8"/>
        <v>99</v>
      </c>
    </row>
    <row r="480" spans="1:6" x14ac:dyDescent="0.25">
      <c r="A480" s="277" t="s">
        <v>269</v>
      </c>
      <c r="B480" s="278" t="s">
        <v>270</v>
      </c>
      <c r="C480" s="278" t="s">
        <v>197</v>
      </c>
      <c r="D480" s="315">
        <v>41508</v>
      </c>
      <c r="E480" s="279">
        <v>10</v>
      </c>
      <c r="F480" s="55">
        <f t="shared" si="8"/>
        <v>99</v>
      </c>
    </row>
    <row r="481" spans="1:6" x14ac:dyDescent="0.25">
      <c r="A481" s="277" t="s">
        <v>269</v>
      </c>
      <c r="B481" s="278" t="s">
        <v>270</v>
      </c>
      <c r="C481" s="278" t="s">
        <v>202</v>
      </c>
      <c r="D481" s="315">
        <v>41508</v>
      </c>
      <c r="E481" s="279">
        <v>10</v>
      </c>
      <c r="F481" s="55">
        <f t="shared" si="8"/>
        <v>99</v>
      </c>
    </row>
    <row r="482" spans="1:6" x14ac:dyDescent="0.25">
      <c r="A482" s="277" t="s">
        <v>257</v>
      </c>
      <c r="B482" s="278" t="s">
        <v>258</v>
      </c>
      <c r="C482" s="278" t="s">
        <v>197</v>
      </c>
      <c r="D482" s="315">
        <v>41508</v>
      </c>
      <c r="E482" s="279">
        <v>3</v>
      </c>
      <c r="F482" s="55">
        <f t="shared" si="8"/>
        <v>99</v>
      </c>
    </row>
    <row r="483" spans="1:6" x14ac:dyDescent="0.25">
      <c r="A483" s="277" t="s">
        <v>257</v>
      </c>
      <c r="B483" s="278" t="s">
        <v>258</v>
      </c>
      <c r="C483" s="278" t="s">
        <v>202</v>
      </c>
      <c r="D483" s="315">
        <v>41508</v>
      </c>
      <c r="E483" s="279">
        <v>3</v>
      </c>
      <c r="F483" s="55">
        <f t="shared" si="8"/>
        <v>99</v>
      </c>
    </row>
    <row r="484" spans="1:6" x14ac:dyDescent="0.25">
      <c r="A484" s="277" t="s">
        <v>259</v>
      </c>
      <c r="B484" s="278" t="s">
        <v>260</v>
      </c>
      <c r="C484" s="278" t="s">
        <v>197</v>
      </c>
      <c r="D484" s="315">
        <v>41508</v>
      </c>
      <c r="E484" s="279">
        <v>3</v>
      </c>
      <c r="F484" s="55">
        <f t="shared" si="8"/>
        <v>99</v>
      </c>
    </row>
    <row r="485" spans="1:6" x14ac:dyDescent="0.25">
      <c r="A485" s="277" t="s">
        <v>259</v>
      </c>
      <c r="B485" s="278" t="s">
        <v>260</v>
      </c>
      <c r="C485" s="278" t="s">
        <v>202</v>
      </c>
      <c r="D485" s="315">
        <v>41508</v>
      </c>
      <c r="E485" s="279">
        <v>3</v>
      </c>
      <c r="F485" s="55">
        <f t="shared" si="8"/>
        <v>99</v>
      </c>
    </row>
    <row r="486" spans="1:6" x14ac:dyDescent="0.25">
      <c r="A486" s="277" t="s">
        <v>261</v>
      </c>
      <c r="B486" s="278" t="s">
        <v>262</v>
      </c>
      <c r="C486" s="278" t="s">
        <v>202</v>
      </c>
      <c r="D486" s="315">
        <v>41508</v>
      </c>
      <c r="E486" s="279">
        <v>5</v>
      </c>
      <c r="F486" s="55">
        <f t="shared" si="8"/>
        <v>99</v>
      </c>
    </row>
    <row r="487" spans="1:6" x14ac:dyDescent="0.25">
      <c r="A487" s="277" t="s">
        <v>261</v>
      </c>
      <c r="B487" s="278" t="s">
        <v>262</v>
      </c>
      <c r="C487" s="278" t="s">
        <v>197</v>
      </c>
      <c r="D487" s="315">
        <v>41508</v>
      </c>
      <c r="E487" s="279">
        <v>5</v>
      </c>
      <c r="F487" s="55">
        <f t="shared" si="8"/>
        <v>99</v>
      </c>
    </row>
    <row r="488" spans="1:6" x14ac:dyDescent="0.25">
      <c r="A488" s="277" t="s">
        <v>243</v>
      </c>
      <c r="B488" s="278" t="s">
        <v>248</v>
      </c>
      <c r="C488" s="278" t="s">
        <v>197</v>
      </c>
      <c r="D488" s="315">
        <v>41508</v>
      </c>
      <c r="E488" s="279">
        <v>3</v>
      </c>
      <c r="F488" s="55">
        <f t="shared" si="8"/>
        <v>99</v>
      </c>
    </row>
    <row r="489" spans="1:6" x14ac:dyDescent="0.25">
      <c r="A489" s="277" t="s">
        <v>243</v>
      </c>
      <c r="B489" s="278" t="s">
        <v>248</v>
      </c>
      <c r="C489" s="278" t="s">
        <v>202</v>
      </c>
      <c r="D489" s="315">
        <v>41508</v>
      </c>
      <c r="E489" s="279">
        <v>3</v>
      </c>
      <c r="F489" s="55">
        <f t="shared" si="8"/>
        <v>99</v>
      </c>
    </row>
    <row r="490" spans="1:6" x14ac:dyDescent="0.25">
      <c r="A490" s="277" t="s">
        <v>291</v>
      </c>
      <c r="B490" s="278" t="s">
        <v>292</v>
      </c>
      <c r="C490" s="278" t="s">
        <v>202</v>
      </c>
      <c r="D490" s="315">
        <v>41508</v>
      </c>
      <c r="E490" s="279">
        <v>19</v>
      </c>
      <c r="F490" s="55">
        <f t="shared" si="8"/>
        <v>99</v>
      </c>
    </row>
    <row r="491" spans="1:6" x14ac:dyDescent="0.25">
      <c r="A491" s="277" t="s">
        <v>291</v>
      </c>
      <c r="B491" s="278" t="s">
        <v>292</v>
      </c>
      <c r="C491" s="278" t="s">
        <v>197</v>
      </c>
      <c r="D491" s="315">
        <v>41508</v>
      </c>
      <c r="E491" s="279">
        <v>19</v>
      </c>
      <c r="F491" s="55">
        <f t="shared" si="8"/>
        <v>99</v>
      </c>
    </row>
    <row r="492" spans="1:6" x14ac:dyDescent="0.25">
      <c r="A492" s="277" t="s">
        <v>291</v>
      </c>
      <c r="B492" s="278" t="s">
        <v>292</v>
      </c>
      <c r="C492" s="278" t="s">
        <v>202</v>
      </c>
      <c r="D492" s="315">
        <v>41509</v>
      </c>
      <c r="E492" s="279">
        <v>45</v>
      </c>
      <c r="F492" s="55">
        <f t="shared" si="8"/>
        <v>99</v>
      </c>
    </row>
    <row r="493" spans="1:6" x14ac:dyDescent="0.25">
      <c r="A493" s="277" t="s">
        <v>291</v>
      </c>
      <c r="B493" s="278" t="s">
        <v>292</v>
      </c>
      <c r="C493" s="278" t="s">
        <v>197</v>
      </c>
      <c r="D493" s="315">
        <v>41509</v>
      </c>
      <c r="E493" s="279">
        <v>45</v>
      </c>
      <c r="F493" s="55">
        <f t="shared" si="8"/>
        <v>99</v>
      </c>
    </row>
    <row r="494" spans="1:6" x14ac:dyDescent="0.25">
      <c r="A494" s="277" t="s">
        <v>269</v>
      </c>
      <c r="B494" s="278" t="s">
        <v>270</v>
      </c>
      <c r="C494" s="278" t="s">
        <v>197</v>
      </c>
      <c r="D494" s="315">
        <v>41509</v>
      </c>
      <c r="E494" s="279">
        <v>10</v>
      </c>
      <c r="F494" s="55">
        <f t="shared" si="8"/>
        <v>99</v>
      </c>
    </row>
    <row r="495" spans="1:6" x14ac:dyDescent="0.25">
      <c r="A495" s="277" t="s">
        <v>269</v>
      </c>
      <c r="B495" s="278" t="s">
        <v>270</v>
      </c>
      <c r="C495" s="278" t="s">
        <v>202</v>
      </c>
      <c r="D495" s="315">
        <v>41509</v>
      </c>
      <c r="E495" s="279">
        <v>10</v>
      </c>
      <c r="F495" s="55">
        <f t="shared" si="8"/>
        <v>99</v>
      </c>
    </row>
    <row r="496" spans="1:6" x14ac:dyDescent="0.25">
      <c r="A496" s="277" t="s">
        <v>251</v>
      </c>
      <c r="B496" s="278" t="s">
        <v>252</v>
      </c>
      <c r="C496" s="278" t="s">
        <v>197</v>
      </c>
      <c r="D496" s="315">
        <v>41509</v>
      </c>
      <c r="E496" s="279">
        <v>3</v>
      </c>
      <c r="F496" s="55">
        <f t="shared" si="8"/>
        <v>99</v>
      </c>
    </row>
    <row r="497" spans="1:6" x14ac:dyDescent="0.25">
      <c r="A497" s="277" t="s">
        <v>251</v>
      </c>
      <c r="B497" s="278" t="s">
        <v>252</v>
      </c>
      <c r="C497" s="278" t="s">
        <v>202</v>
      </c>
      <c r="D497" s="315">
        <v>41509</v>
      </c>
      <c r="E497" s="279">
        <v>3</v>
      </c>
      <c r="F497" s="55">
        <f t="shared" si="8"/>
        <v>99</v>
      </c>
    </row>
    <row r="498" spans="1:6" x14ac:dyDescent="0.25">
      <c r="A498" s="277" t="s">
        <v>259</v>
      </c>
      <c r="B498" s="278" t="s">
        <v>260</v>
      </c>
      <c r="C498" s="278" t="s">
        <v>202</v>
      </c>
      <c r="D498" s="315">
        <v>41509</v>
      </c>
      <c r="E498" s="279">
        <v>2</v>
      </c>
      <c r="F498" s="55">
        <f t="shared" si="8"/>
        <v>99</v>
      </c>
    </row>
    <row r="499" spans="1:6" x14ac:dyDescent="0.25">
      <c r="A499" s="277" t="s">
        <v>259</v>
      </c>
      <c r="B499" s="278" t="s">
        <v>260</v>
      </c>
      <c r="C499" s="278" t="s">
        <v>197</v>
      </c>
      <c r="D499" s="315">
        <v>41509</v>
      </c>
      <c r="E499" s="279">
        <v>2</v>
      </c>
      <c r="F499" s="55">
        <f t="shared" si="8"/>
        <v>99</v>
      </c>
    </row>
    <row r="500" spans="1:6" x14ac:dyDescent="0.25">
      <c r="A500" s="277" t="s">
        <v>275</v>
      </c>
      <c r="B500" s="278" t="s">
        <v>276</v>
      </c>
      <c r="C500" s="278" t="s">
        <v>202</v>
      </c>
      <c r="D500" s="315">
        <v>41510</v>
      </c>
      <c r="E500" s="279">
        <v>1</v>
      </c>
      <c r="F500" s="55">
        <f t="shared" si="8"/>
        <v>100</v>
      </c>
    </row>
    <row r="501" spans="1:6" x14ac:dyDescent="0.25">
      <c r="A501" s="277" t="s">
        <v>275</v>
      </c>
      <c r="B501" s="278" t="s">
        <v>276</v>
      </c>
      <c r="C501" s="278" t="s">
        <v>198</v>
      </c>
      <c r="D501" s="315">
        <v>41510</v>
      </c>
      <c r="E501" s="279">
        <v>1</v>
      </c>
      <c r="F501" s="55">
        <f t="shared" si="8"/>
        <v>100</v>
      </c>
    </row>
    <row r="502" spans="1:6" x14ac:dyDescent="0.25">
      <c r="A502" s="277" t="s">
        <v>275</v>
      </c>
      <c r="B502" s="278" t="s">
        <v>276</v>
      </c>
      <c r="C502" s="278" t="s">
        <v>197</v>
      </c>
      <c r="D502" s="315">
        <v>41510</v>
      </c>
      <c r="E502" s="279">
        <v>1</v>
      </c>
      <c r="F502" s="55">
        <f t="shared" si="8"/>
        <v>100</v>
      </c>
    </row>
    <row r="503" spans="1:6" x14ac:dyDescent="0.25">
      <c r="A503" s="277" t="s">
        <v>291</v>
      </c>
      <c r="B503" s="278" t="s">
        <v>292</v>
      </c>
      <c r="C503" s="278" t="s">
        <v>197</v>
      </c>
      <c r="D503" s="315">
        <v>41510</v>
      </c>
      <c r="E503" s="279">
        <v>1</v>
      </c>
      <c r="F503" s="55">
        <f t="shared" si="8"/>
        <v>100</v>
      </c>
    </row>
    <row r="504" spans="1:6" x14ac:dyDescent="0.25">
      <c r="A504" s="277" t="s">
        <v>291</v>
      </c>
      <c r="B504" s="278" t="s">
        <v>292</v>
      </c>
      <c r="C504" s="278" t="s">
        <v>202</v>
      </c>
      <c r="D504" s="315">
        <v>41510</v>
      </c>
      <c r="E504" s="279">
        <v>1</v>
      </c>
      <c r="F504" s="55">
        <f t="shared" si="8"/>
        <v>100</v>
      </c>
    </row>
    <row r="505" spans="1:6" x14ac:dyDescent="0.25">
      <c r="A505" s="277" t="s">
        <v>251</v>
      </c>
      <c r="B505" s="278" t="s">
        <v>252</v>
      </c>
      <c r="C505" s="278" t="s">
        <v>197</v>
      </c>
      <c r="D505" s="315">
        <v>41510</v>
      </c>
      <c r="E505" s="279">
        <v>1</v>
      </c>
      <c r="F505" s="55">
        <f t="shared" si="8"/>
        <v>100</v>
      </c>
    </row>
    <row r="506" spans="1:6" x14ac:dyDescent="0.25">
      <c r="A506" s="277" t="s">
        <v>251</v>
      </c>
      <c r="B506" s="278" t="s">
        <v>252</v>
      </c>
      <c r="C506" s="278" t="s">
        <v>202</v>
      </c>
      <c r="D506" s="315">
        <v>41510</v>
      </c>
      <c r="E506" s="279">
        <v>1</v>
      </c>
      <c r="F506" s="55">
        <f t="shared" si="8"/>
        <v>100</v>
      </c>
    </row>
    <row r="507" spans="1:6" x14ac:dyDescent="0.25">
      <c r="A507" s="277" t="s">
        <v>295</v>
      </c>
      <c r="B507" s="278" t="s">
        <v>296</v>
      </c>
      <c r="C507" s="278" t="s">
        <v>202</v>
      </c>
      <c r="D507" s="315">
        <v>41510</v>
      </c>
      <c r="E507" s="279">
        <v>135</v>
      </c>
      <c r="F507" s="55">
        <f t="shared" si="8"/>
        <v>100</v>
      </c>
    </row>
    <row r="508" spans="1:6" x14ac:dyDescent="0.25">
      <c r="A508" s="277" t="s">
        <v>295</v>
      </c>
      <c r="B508" s="278" t="s">
        <v>296</v>
      </c>
      <c r="C508" s="278" t="s">
        <v>197</v>
      </c>
      <c r="D508" s="315">
        <v>41510</v>
      </c>
      <c r="E508" s="279">
        <v>135</v>
      </c>
      <c r="F508" s="55">
        <f t="shared" si="8"/>
        <v>100</v>
      </c>
    </row>
    <row r="509" spans="1:6" x14ac:dyDescent="0.25">
      <c r="A509" s="277" t="s">
        <v>293</v>
      </c>
      <c r="B509" s="278" t="s">
        <v>294</v>
      </c>
      <c r="C509" s="278" t="s">
        <v>202</v>
      </c>
      <c r="D509" s="315">
        <v>41510</v>
      </c>
      <c r="E509" s="279">
        <v>3</v>
      </c>
      <c r="F509" s="55">
        <f t="shared" si="8"/>
        <v>100</v>
      </c>
    </row>
    <row r="510" spans="1:6" x14ac:dyDescent="0.25">
      <c r="A510" s="277" t="s">
        <v>293</v>
      </c>
      <c r="B510" s="278" t="s">
        <v>294</v>
      </c>
      <c r="C510" s="278" t="s">
        <v>197</v>
      </c>
      <c r="D510" s="315">
        <v>41510</v>
      </c>
      <c r="E510" s="279">
        <v>2</v>
      </c>
      <c r="F510" s="55">
        <f t="shared" si="8"/>
        <v>100</v>
      </c>
    </row>
    <row r="511" spans="1:6" x14ac:dyDescent="0.25">
      <c r="A511" s="277" t="s">
        <v>293</v>
      </c>
      <c r="B511" s="278" t="s">
        <v>294</v>
      </c>
      <c r="C511" s="278" t="s">
        <v>198</v>
      </c>
      <c r="D511" s="315">
        <v>41510</v>
      </c>
      <c r="E511" s="279">
        <v>1</v>
      </c>
      <c r="F511" s="55">
        <f t="shared" si="8"/>
        <v>100</v>
      </c>
    </row>
    <row r="512" spans="1:6" x14ac:dyDescent="0.25">
      <c r="A512" s="277" t="s">
        <v>249</v>
      </c>
      <c r="B512" s="278" t="s">
        <v>250</v>
      </c>
      <c r="C512" s="278" t="s">
        <v>197</v>
      </c>
      <c r="D512" s="315">
        <v>41510</v>
      </c>
      <c r="E512" s="279">
        <v>1</v>
      </c>
      <c r="F512" s="55">
        <f t="shared" si="8"/>
        <v>100</v>
      </c>
    </row>
    <row r="513" spans="1:6" x14ac:dyDescent="0.25">
      <c r="A513" s="277" t="s">
        <v>249</v>
      </c>
      <c r="B513" s="278" t="s">
        <v>250</v>
      </c>
      <c r="C513" s="278" t="s">
        <v>202</v>
      </c>
      <c r="D513" s="315">
        <v>41510</v>
      </c>
      <c r="E513" s="279">
        <v>1</v>
      </c>
      <c r="F513" s="55">
        <f t="shared" si="8"/>
        <v>100</v>
      </c>
    </row>
    <row r="514" spans="1:6" x14ac:dyDescent="0.25">
      <c r="A514" s="277" t="s">
        <v>249</v>
      </c>
      <c r="B514" s="278" t="s">
        <v>250</v>
      </c>
      <c r="C514" s="278" t="s">
        <v>198</v>
      </c>
      <c r="D514" s="315">
        <v>41510</v>
      </c>
      <c r="E514" s="279">
        <v>1</v>
      </c>
      <c r="F514" s="55">
        <f t="shared" si="8"/>
        <v>100</v>
      </c>
    </row>
    <row r="515" spans="1:6" x14ac:dyDescent="0.25">
      <c r="A515" s="277" t="s">
        <v>259</v>
      </c>
      <c r="B515" s="278" t="s">
        <v>260</v>
      </c>
      <c r="C515" s="278" t="s">
        <v>197</v>
      </c>
      <c r="D515" s="315">
        <v>41510</v>
      </c>
      <c r="E515" s="279">
        <v>3</v>
      </c>
      <c r="F515" s="55">
        <f t="shared" si="8"/>
        <v>100</v>
      </c>
    </row>
    <row r="516" spans="1:6" x14ac:dyDescent="0.25">
      <c r="A516" s="277" t="s">
        <v>259</v>
      </c>
      <c r="B516" s="278" t="s">
        <v>260</v>
      </c>
      <c r="C516" s="278" t="s">
        <v>202</v>
      </c>
      <c r="D516" s="315">
        <v>41510</v>
      </c>
      <c r="E516" s="279">
        <v>3</v>
      </c>
      <c r="F516" s="55">
        <f t="shared" si="8"/>
        <v>100</v>
      </c>
    </row>
    <row r="517" spans="1:6" x14ac:dyDescent="0.25">
      <c r="A517" s="277" t="s">
        <v>267</v>
      </c>
      <c r="B517" s="278" t="s">
        <v>268</v>
      </c>
      <c r="C517" s="278" t="s">
        <v>202</v>
      </c>
      <c r="D517" s="315">
        <v>41511</v>
      </c>
      <c r="E517" s="279">
        <v>1</v>
      </c>
      <c r="F517" s="55">
        <f t="shared" si="8"/>
        <v>100</v>
      </c>
    </row>
    <row r="518" spans="1:6" x14ac:dyDescent="0.25">
      <c r="A518" s="277" t="s">
        <v>267</v>
      </c>
      <c r="B518" s="278" t="s">
        <v>268</v>
      </c>
      <c r="C518" s="278" t="s">
        <v>197</v>
      </c>
      <c r="D518" s="315">
        <v>41511</v>
      </c>
      <c r="E518" s="279">
        <v>1</v>
      </c>
      <c r="F518" s="55">
        <f t="shared" si="8"/>
        <v>100</v>
      </c>
    </row>
    <row r="519" spans="1:6" x14ac:dyDescent="0.25">
      <c r="A519" s="277" t="s">
        <v>267</v>
      </c>
      <c r="B519" s="278" t="s">
        <v>268</v>
      </c>
      <c r="C519" s="278" t="s">
        <v>198</v>
      </c>
      <c r="D519" s="315">
        <v>41511</v>
      </c>
      <c r="E519" s="279">
        <v>1</v>
      </c>
      <c r="F519" s="55">
        <f t="shared" si="8"/>
        <v>100</v>
      </c>
    </row>
    <row r="520" spans="1:6" x14ac:dyDescent="0.25">
      <c r="A520" s="277" t="s">
        <v>243</v>
      </c>
      <c r="B520" s="278" t="s">
        <v>248</v>
      </c>
      <c r="C520" s="278" t="s">
        <v>197</v>
      </c>
      <c r="D520" s="315">
        <v>41511</v>
      </c>
      <c r="E520" s="279">
        <v>4</v>
      </c>
      <c r="F520" s="55">
        <f t="shared" si="8"/>
        <v>100</v>
      </c>
    </row>
    <row r="521" spans="1:6" x14ac:dyDescent="0.25">
      <c r="A521" s="277" t="s">
        <v>243</v>
      </c>
      <c r="B521" s="278" t="s">
        <v>248</v>
      </c>
      <c r="C521" s="278" t="s">
        <v>202</v>
      </c>
      <c r="D521" s="315">
        <v>41511</v>
      </c>
      <c r="E521" s="279">
        <v>4</v>
      </c>
      <c r="F521" s="55">
        <f t="shared" si="8"/>
        <v>100</v>
      </c>
    </row>
    <row r="522" spans="1:6" x14ac:dyDescent="0.25">
      <c r="A522" s="277" t="s">
        <v>269</v>
      </c>
      <c r="B522" s="278" t="s">
        <v>270</v>
      </c>
      <c r="C522" s="278" t="s">
        <v>202</v>
      </c>
      <c r="D522" s="315">
        <v>41512</v>
      </c>
      <c r="E522" s="279">
        <v>3</v>
      </c>
      <c r="F522" s="55">
        <f t="shared" ref="F522:F585" si="9">TRUNC((D522-start)/7,0)+1</f>
        <v>100</v>
      </c>
    </row>
    <row r="523" spans="1:6" x14ac:dyDescent="0.25">
      <c r="A523" s="277" t="s">
        <v>269</v>
      </c>
      <c r="B523" s="278" t="s">
        <v>270</v>
      </c>
      <c r="C523" s="278" t="s">
        <v>197</v>
      </c>
      <c r="D523" s="315">
        <v>41512</v>
      </c>
      <c r="E523" s="279">
        <v>3</v>
      </c>
      <c r="F523" s="55">
        <f t="shared" si="9"/>
        <v>100</v>
      </c>
    </row>
    <row r="524" spans="1:6" x14ac:dyDescent="0.25">
      <c r="A524" s="277" t="s">
        <v>281</v>
      </c>
      <c r="B524" s="278" t="s">
        <v>282</v>
      </c>
      <c r="C524" s="278" t="s">
        <v>202</v>
      </c>
      <c r="D524" s="315">
        <v>41512</v>
      </c>
      <c r="E524" s="279">
        <v>8</v>
      </c>
      <c r="F524" s="55">
        <f t="shared" si="9"/>
        <v>100</v>
      </c>
    </row>
    <row r="525" spans="1:6" x14ac:dyDescent="0.25">
      <c r="A525" s="277" t="s">
        <v>281</v>
      </c>
      <c r="B525" s="278" t="s">
        <v>282</v>
      </c>
      <c r="C525" s="278" t="s">
        <v>197</v>
      </c>
      <c r="D525" s="315">
        <v>41512</v>
      </c>
      <c r="E525" s="279">
        <v>8</v>
      </c>
      <c r="F525" s="55">
        <f t="shared" si="9"/>
        <v>100</v>
      </c>
    </row>
    <row r="526" spans="1:6" x14ac:dyDescent="0.25">
      <c r="A526" s="277" t="s">
        <v>267</v>
      </c>
      <c r="B526" s="278" t="s">
        <v>268</v>
      </c>
      <c r="C526" s="278" t="s">
        <v>197</v>
      </c>
      <c r="D526" s="315">
        <v>41512</v>
      </c>
      <c r="E526" s="279">
        <v>1</v>
      </c>
      <c r="F526" s="55">
        <f t="shared" si="9"/>
        <v>100</v>
      </c>
    </row>
    <row r="527" spans="1:6" x14ac:dyDescent="0.25">
      <c r="A527" s="277" t="s">
        <v>267</v>
      </c>
      <c r="B527" s="278" t="s">
        <v>268</v>
      </c>
      <c r="C527" s="278" t="s">
        <v>198</v>
      </c>
      <c r="D527" s="315">
        <v>41512</v>
      </c>
      <c r="E527" s="279">
        <v>1</v>
      </c>
      <c r="F527" s="55">
        <f t="shared" si="9"/>
        <v>100</v>
      </c>
    </row>
    <row r="528" spans="1:6" x14ac:dyDescent="0.25">
      <c r="A528" s="277" t="s">
        <v>267</v>
      </c>
      <c r="B528" s="278" t="s">
        <v>268</v>
      </c>
      <c r="C528" s="278" t="s">
        <v>202</v>
      </c>
      <c r="D528" s="315">
        <v>41512</v>
      </c>
      <c r="E528" s="279">
        <v>2</v>
      </c>
      <c r="F528" s="55">
        <f t="shared" si="9"/>
        <v>100</v>
      </c>
    </row>
    <row r="529" spans="1:6" x14ac:dyDescent="0.25">
      <c r="A529" s="277" t="s">
        <v>259</v>
      </c>
      <c r="B529" s="278" t="s">
        <v>260</v>
      </c>
      <c r="C529" s="278" t="s">
        <v>202</v>
      </c>
      <c r="D529" s="315">
        <v>41512</v>
      </c>
      <c r="E529" s="279">
        <v>2</v>
      </c>
      <c r="F529" s="55">
        <f t="shared" si="9"/>
        <v>100</v>
      </c>
    </row>
    <row r="530" spans="1:6" x14ac:dyDescent="0.25">
      <c r="A530" s="277" t="s">
        <v>259</v>
      </c>
      <c r="B530" s="278" t="s">
        <v>260</v>
      </c>
      <c r="C530" s="278" t="s">
        <v>197</v>
      </c>
      <c r="D530" s="315">
        <v>41512</v>
      </c>
      <c r="E530" s="279">
        <v>2</v>
      </c>
      <c r="F530" s="55">
        <f t="shared" si="9"/>
        <v>100</v>
      </c>
    </row>
    <row r="531" spans="1:6" x14ac:dyDescent="0.25">
      <c r="A531" s="277" t="s">
        <v>275</v>
      </c>
      <c r="B531" s="278" t="s">
        <v>276</v>
      </c>
      <c r="C531" s="278" t="s">
        <v>197</v>
      </c>
      <c r="D531" s="315">
        <v>41512</v>
      </c>
      <c r="E531" s="279">
        <v>2</v>
      </c>
      <c r="F531" s="55">
        <f t="shared" si="9"/>
        <v>100</v>
      </c>
    </row>
    <row r="532" spans="1:6" x14ac:dyDescent="0.25">
      <c r="A532" s="277" t="s">
        <v>275</v>
      </c>
      <c r="B532" s="278" t="s">
        <v>276</v>
      </c>
      <c r="C532" s="278" t="s">
        <v>202</v>
      </c>
      <c r="D532" s="315">
        <v>41512</v>
      </c>
      <c r="E532" s="279">
        <v>3</v>
      </c>
      <c r="F532" s="55">
        <f t="shared" si="9"/>
        <v>100</v>
      </c>
    </row>
    <row r="533" spans="1:6" x14ac:dyDescent="0.25">
      <c r="A533" s="277" t="s">
        <v>275</v>
      </c>
      <c r="B533" s="278" t="s">
        <v>276</v>
      </c>
      <c r="C533" s="278" t="s">
        <v>198</v>
      </c>
      <c r="D533" s="315">
        <v>41512</v>
      </c>
      <c r="E533" s="279">
        <v>1</v>
      </c>
      <c r="F533" s="55">
        <f t="shared" si="9"/>
        <v>100</v>
      </c>
    </row>
    <row r="534" spans="1:6" x14ac:dyDescent="0.25">
      <c r="A534" s="277" t="s">
        <v>257</v>
      </c>
      <c r="B534" s="278" t="s">
        <v>258</v>
      </c>
      <c r="C534" s="278" t="s">
        <v>202</v>
      </c>
      <c r="D534" s="315">
        <v>41513</v>
      </c>
      <c r="E534" s="279">
        <v>6</v>
      </c>
      <c r="F534" s="55">
        <f t="shared" si="9"/>
        <v>100</v>
      </c>
    </row>
    <row r="535" spans="1:6" x14ac:dyDescent="0.25">
      <c r="A535" s="277" t="s">
        <v>257</v>
      </c>
      <c r="B535" s="278" t="s">
        <v>258</v>
      </c>
      <c r="C535" s="278" t="s">
        <v>197</v>
      </c>
      <c r="D535" s="315">
        <v>41513</v>
      </c>
      <c r="E535" s="279">
        <v>6</v>
      </c>
      <c r="F535" s="55">
        <f t="shared" si="9"/>
        <v>100</v>
      </c>
    </row>
    <row r="536" spans="1:6" x14ac:dyDescent="0.25">
      <c r="A536" s="277" t="s">
        <v>295</v>
      </c>
      <c r="B536" s="278" t="s">
        <v>296</v>
      </c>
      <c r="C536" s="278" t="s">
        <v>197</v>
      </c>
      <c r="D536" s="315">
        <v>41513</v>
      </c>
      <c r="E536" s="279">
        <v>5</v>
      </c>
      <c r="F536" s="55">
        <f t="shared" si="9"/>
        <v>100</v>
      </c>
    </row>
    <row r="537" spans="1:6" x14ac:dyDescent="0.25">
      <c r="A537" s="277" t="s">
        <v>295</v>
      </c>
      <c r="B537" s="278" t="s">
        <v>296</v>
      </c>
      <c r="C537" s="278" t="s">
        <v>202</v>
      </c>
      <c r="D537" s="315">
        <v>41513</v>
      </c>
      <c r="E537" s="279">
        <v>5</v>
      </c>
      <c r="F537" s="55">
        <f t="shared" si="9"/>
        <v>100</v>
      </c>
    </row>
    <row r="538" spans="1:6" x14ac:dyDescent="0.25">
      <c r="A538" s="277" t="s">
        <v>251</v>
      </c>
      <c r="B538" s="278" t="s">
        <v>252</v>
      </c>
      <c r="C538" s="278" t="s">
        <v>197</v>
      </c>
      <c r="D538" s="315">
        <v>41513</v>
      </c>
      <c r="E538" s="279">
        <v>5</v>
      </c>
      <c r="F538" s="55">
        <f t="shared" si="9"/>
        <v>100</v>
      </c>
    </row>
    <row r="539" spans="1:6" x14ac:dyDescent="0.25">
      <c r="A539" s="277" t="s">
        <v>251</v>
      </c>
      <c r="B539" s="278" t="s">
        <v>252</v>
      </c>
      <c r="C539" s="278" t="s">
        <v>202</v>
      </c>
      <c r="D539" s="315">
        <v>41513</v>
      </c>
      <c r="E539" s="279">
        <v>5</v>
      </c>
      <c r="F539" s="55">
        <f t="shared" si="9"/>
        <v>100</v>
      </c>
    </row>
    <row r="540" spans="1:6" x14ac:dyDescent="0.25">
      <c r="A540" s="277" t="s">
        <v>249</v>
      </c>
      <c r="B540" s="278" t="s">
        <v>250</v>
      </c>
      <c r="C540" s="278" t="s">
        <v>202</v>
      </c>
      <c r="D540" s="315">
        <v>41513</v>
      </c>
      <c r="E540" s="279">
        <v>1</v>
      </c>
      <c r="F540" s="55">
        <f t="shared" si="9"/>
        <v>100</v>
      </c>
    </row>
    <row r="541" spans="1:6" x14ac:dyDescent="0.25">
      <c r="A541" s="277" t="s">
        <v>249</v>
      </c>
      <c r="B541" s="278" t="s">
        <v>250</v>
      </c>
      <c r="C541" s="278" t="s">
        <v>197</v>
      </c>
      <c r="D541" s="315">
        <v>41513</v>
      </c>
      <c r="E541" s="279">
        <v>1</v>
      </c>
      <c r="F541" s="55">
        <f t="shared" si="9"/>
        <v>100</v>
      </c>
    </row>
    <row r="542" spans="1:6" x14ac:dyDescent="0.25">
      <c r="A542" s="277" t="s">
        <v>249</v>
      </c>
      <c r="B542" s="278" t="s">
        <v>250</v>
      </c>
      <c r="C542" s="278" t="s">
        <v>198</v>
      </c>
      <c r="D542" s="315">
        <v>41513</v>
      </c>
      <c r="E542" s="279">
        <v>1</v>
      </c>
      <c r="F542" s="55">
        <f t="shared" si="9"/>
        <v>100</v>
      </c>
    </row>
    <row r="543" spans="1:6" x14ac:dyDescent="0.25">
      <c r="A543" s="277" t="s">
        <v>261</v>
      </c>
      <c r="B543" s="278" t="s">
        <v>262</v>
      </c>
      <c r="C543" s="278" t="s">
        <v>197</v>
      </c>
      <c r="D543" s="315">
        <v>41513</v>
      </c>
      <c r="E543" s="279">
        <v>4</v>
      </c>
      <c r="F543" s="55">
        <f t="shared" si="9"/>
        <v>100</v>
      </c>
    </row>
    <row r="544" spans="1:6" x14ac:dyDescent="0.25">
      <c r="A544" s="277" t="s">
        <v>261</v>
      </c>
      <c r="B544" s="278" t="s">
        <v>262</v>
      </c>
      <c r="C544" s="278" t="s">
        <v>202</v>
      </c>
      <c r="D544" s="315">
        <v>41513</v>
      </c>
      <c r="E544" s="279">
        <v>4</v>
      </c>
      <c r="F544" s="55">
        <f t="shared" si="9"/>
        <v>100</v>
      </c>
    </row>
    <row r="545" spans="1:6" x14ac:dyDescent="0.25">
      <c r="A545" s="277" t="s">
        <v>243</v>
      </c>
      <c r="B545" s="278" t="s">
        <v>248</v>
      </c>
      <c r="C545" s="278" t="s">
        <v>197</v>
      </c>
      <c r="D545" s="315">
        <v>41513</v>
      </c>
      <c r="E545" s="279">
        <v>3</v>
      </c>
      <c r="F545" s="55">
        <f t="shared" si="9"/>
        <v>100</v>
      </c>
    </row>
    <row r="546" spans="1:6" x14ac:dyDescent="0.25">
      <c r="A546" s="277" t="s">
        <v>243</v>
      </c>
      <c r="B546" s="278" t="s">
        <v>248</v>
      </c>
      <c r="C546" s="278" t="s">
        <v>202</v>
      </c>
      <c r="D546" s="315">
        <v>41513</v>
      </c>
      <c r="E546" s="279">
        <v>3</v>
      </c>
      <c r="F546" s="55">
        <f t="shared" si="9"/>
        <v>100</v>
      </c>
    </row>
    <row r="547" spans="1:6" x14ac:dyDescent="0.25">
      <c r="A547" s="277" t="s">
        <v>259</v>
      </c>
      <c r="B547" s="278" t="s">
        <v>260</v>
      </c>
      <c r="C547" s="278" t="s">
        <v>197</v>
      </c>
      <c r="D547" s="315">
        <v>41513</v>
      </c>
      <c r="E547" s="279">
        <v>1</v>
      </c>
      <c r="F547" s="55">
        <f t="shared" si="9"/>
        <v>100</v>
      </c>
    </row>
    <row r="548" spans="1:6" x14ac:dyDescent="0.25">
      <c r="A548" s="277" t="s">
        <v>259</v>
      </c>
      <c r="B548" s="278" t="s">
        <v>260</v>
      </c>
      <c r="C548" s="278" t="s">
        <v>202</v>
      </c>
      <c r="D548" s="315">
        <v>41513</v>
      </c>
      <c r="E548" s="279">
        <v>1</v>
      </c>
      <c r="F548" s="55">
        <f t="shared" si="9"/>
        <v>100</v>
      </c>
    </row>
    <row r="549" spans="1:6" x14ac:dyDescent="0.25">
      <c r="A549" s="277" t="s">
        <v>273</v>
      </c>
      <c r="B549" s="278" t="s">
        <v>274</v>
      </c>
      <c r="C549" s="278" t="s">
        <v>202</v>
      </c>
      <c r="D549" s="315">
        <v>41513</v>
      </c>
      <c r="E549" s="279">
        <v>5</v>
      </c>
      <c r="F549" s="55">
        <f t="shared" si="9"/>
        <v>100</v>
      </c>
    </row>
    <row r="550" spans="1:6" x14ac:dyDescent="0.25">
      <c r="A550" s="277" t="s">
        <v>273</v>
      </c>
      <c r="B550" s="278" t="s">
        <v>274</v>
      </c>
      <c r="C550" s="278" t="s">
        <v>197</v>
      </c>
      <c r="D550" s="315">
        <v>41513</v>
      </c>
      <c r="E550" s="279">
        <v>5</v>
      </c>
      <c r="F550" s="55">
        <f t="shared" si="9"/>
        <v>100</v>
      </c>
    </row>
    <row r="551" spans="1:6" x14ac:dyDescent="0.25">
      <c r="A551" s="277" t="s">
        <v>243</v>
      </c>
      <c r="B551" s="278" t="s">
        <v>248</v>
      </c>
      <c r="C551" s="278" t="s">
        <v>202</v>
      </c>
      <c r="D551" s="315">
        <v>41514</v>
      </c>
      <c r="E551" s="279">
        <v>3</v>
      </c>
      <c r="F551" s="55">
        <f t="shared" si="9"/>
        <v>100</v>
      </c>
    </row>
    <row r="552" spans="1:6" x14ac:dyDescent="0.25">
      <c r="A552" s="277" t="s">
        <v>243</v>
      </c>
      <c r="B552" s="278" t="s">
        <v>248</v>
      </c>
      <c r="C552" s="278" t="s">
        <v>197</v>
      </c>
      <c r="D552" s="315">
        <v>41514</v>
      </c>
      <c r="E552" s="279">
        <v>3</v>
      </c>
      <c r="F552" s="55">
        <f t="shared" si="9"/>
        <v>100</v>
      </c>
    </row>
    <row r="553" spans="1:6" x14ac:dyDescent="0.25">
      <c r="A553" s="277" t="s">
        <v>281</v>
      </c>
      <c r="B553" s="278" t="s">
        <v>282</v>
      </c>
      <c r="C553" s="278" t="s">
        <v>202</v>
      </c>
      <c r="D553" s="315">
        <v>41515</v>
      </c>
      <c r="E553" s="279">
        <v>6</v>
      </c>
      <c r="F553" s="55">
        <f t="shared" si="9"/>
        <v>100</v>
      </c>
    </row>
    <row r="554" spans="1:6" x14ac:dyDescent="0.25">
      <c r="A554" s="277" t="s">
        <v>281</v>
      </c>
      <c r="B554" s="278" t="s">
        <v>282</v>
      </c>
      <c r="C554" s="278" t="s">
        <v>197</v>
      </c>
      <c r="D554" s="315">
        <v>41515</v>
      </c>
      <c r="E554" s="279">
        <v>6</v>
      </c>
      <c r="F554" s="55">
        <f t="shared" si="9"/>
        <v>100</v>
      </c>
    </row>
    <row r="555" spans="1:6" x14ac:dyDescent="0.25">
      <c r="A555" s="277" t="s">
        <v>259</v>
      </c>
      <c r="B555" s="278" t="s">
        <v>260</v>
      </c>
      <c r="C555" s="278" t="s">
        <v>202</v>
      </c>
      <c r="D555" s="315">
        <v>41515</v>
      </c>
      <c r="E555" s="279">
        <v>4</v>
      </c>
      <c r="F555" s="55">
        <f t="shared" si="9"/>
        <v>100</v>
      </c>
    </row>
    <row r="556" spans="1:6" x14ac:dyDescent="0.25">
      <c r="A556" s="277" t="s">
        <v>259</v>
      </c>
      <c r="B556" s="278" t="s">
        <v>260</v>
      </c>
      <c r="C556" s="278" t="s">
        <v>197</v>
      </c>
      <c r="D556" s="315">
        <v>41515</v>
      </c>
      <c r="E556" s="279">
        <v>4</v>
      </c>
      <c r="F556" s="55">
        <f t="shared" si="9"/>
        <v>100</v>
      </c>
    </row>
    <row r="557" spans="1:6" x14ac:dyDescent="0.25">
      <c r="A557" s="277" t="s">
        <v>269</v>
      </c>
      <c r="B557" s="278" t="s">
        <v>270</v>
      </c>
      <c r="C557" s="278" t="s">
        <v>202</v>
      </c>
      <c r="D557" s="315">
        <v>41515</v>
      </c>
      <c r="E557" s="279">
        <v>5</v>
      </c>
      <c r="F557" s="55">
        <f t="shared" si="9"/>
        <v>100</v>
      </c>
    </row>
    <row r="558" spans="1:6" x14ac:dyDescent="0.25">
      <c r="A558" s="277" t="s">
        <v>269</v>
      </c>
      <c r="B558" s="278" t="s">
        <v>270</v>
      </c>
      <c r="C558" s="278" t="s">
        <v>197</v>
      </c>
      <c r="D558" s="315">
        <v>41515</v>
      </c>
      <c r="E558" s="279">
        <v>5</v>
      </c>
      <c r="F558" s="55">
        <f t="shared" si="9"/>
        <v>100</v>
      </c>
    </row>
    <row r="559" spans="1:6" x14ac:dyDescent="0.25">
      <c r="A559" s="277" t="s">
        <v>257</v>
      </c>
      <c r="B559" s="278" t="s">
        <v>258</v>
      </c>
      <c r="C559" s="278" t="s">
        <v>202</v>
      </c>
      <c r="D559" s="315">
        <v>41515</v>
      </c>
      <c r="E559" s="279">
        <v>4</v>
      </c>
      <c r="F559" s="55">
        <f t="shared" si="9"/>
        <v>100</v>
      </c>
    </row>
    <row r="560" spans="1:6" x14ac:dyDescent="0.25">
      <c r="A560" s="277" t="s">
        <v>257</v>
      </c>
      <c r="B560" s="278" t="s">
        <v>258</v>
      </c>
      <c r="C560" s="278" t="s">
        <v>197</v>
      </c>
      <c r="D560" s="315">
        <v>41515</v>
      </c>
      <c r="E560" s="279">
        <v>4</v>
      </c>
      <c r="F560" s="55">
        <f t="shared" si="9"/>
        <v>100</v>
      </c>
    </row>
    <row r="561" spans="1:6" x14ac:dyDescent="0.25">
      <c r="A561" s="277" t="s">
        <v>269</v>
      </c>
      <c r="B561" s="278" t="s">
        <v>270</v>
      </c>
      <c r="C561" s="278" t="s">
        <v>197</v>
      </c>
      <c r="D561" s="315">
        <v>41516</v>
      </c>
      <c r="E561" s="279">
        <v>2</v>
      </c>
      <c r="F561" s="55">
        <f t="shared" si="9"/>
        <v>100</v>
      </c>
    </row>
    <row r="562" spans="1:6" x14ac:dyDescent="0.25">
      <c r="A562" s="277" t="s">
        <v>269</v>
      </c>
      <c r="B562" s="278" t="s">
        <v>270</v>
      </c>
      <c r="C562" s="278" t="s">
        <v>202</v>
      </c>
      <c r="D562" s="315">
        <v>41516</v>
      </c>
      <c r="E562" s="279">
        <v>2</v>
      </c>
      <c r="F562" s="55">
        <f t="shared" si="9"/>
        <v>100</v>
      </c>
    </row>
    <row r="563" spans="1:6" x14ac:dyDescent="0.25">
      <c r="A563" s="277" t="s">
        <v>267</v>
      </c>
      <c r="B563" s="278" t="s">
        <v>268</v>
      </c>
      <c r="C563" s="278" t="s">
        <v>197</v>
      </c>
      <c r="D563" s="315">
        <v>41516</v>
      </c>
      <c r="E563" s="279">
        <v>2</v>
      </c>
      <c r="F563" s="55">
        <f t="shared" si="9"/>
        <v>100</v>
      </c>
    </row>
    <row r="564" spans="1:6" x14ac:dyDescent="0.25">
      <c r="A564" s="277" t="s">
        <v>267</v>
      </c>
      <c r="B564" s="278" t="s">
        <v>268</v>
      </c>
      <c r="C564" s="278" t="s">
        <v>202</v>
      </c>
      <c r="D564" s="315">
        <v>41516</v>
      </c>
      <c r="E564" s="279">
        <v>3</v>
      </c>
      <c r="F564" s="55">
        <f t="shared" si="9"/>
        <v>100</v>
      </c>
    </row>
    <row r="565" spans="1:6" x14ac:dyDescent="0.25">
      <c r="A565" s="277" t="s">
        <v>267</v>
      </c>
      <c r="B565" s="278" t="s">
        <v>268</v>
      </c>
      <c r="C565" s="278" t="s">
        <v>198</v>
      </c>
      <c r="D565" s="315">
        <v>41516</v>
      </c>
      <c r="E565" s="279">
        <v>1</v>
      </c>
      <c r="F565" s="55">
        <f t="shared" si="9"/>
        <v>100</v>
      </c>
    </row>
    <row r="566" spans="1:6" x14ac:dyDescent="0.25">
      <c r="A566" s="277" t="s">
        <v>243</v>
      </c>
      <c r="B566" s="278" t="s">
        <v>248</v>
      </c>
      <c r="C566" s="278" t="s">
        <v>197</v>
      </c>
      <c r="D566" s="315">
        <v>41516</v>
      </c>
      <c r="E566" s="279">
        <v>1</v>
      </c>
      <c r="F566" s="55">
        <f t="shared" si="9"/>
        <v>100</v>
      </c>
    </row>
    <row r="567" spans="1:6" x14ac:dyDescent="0.25">
      <c r="A567" s="277" t="s">
        <v>243</v>
      </c>
      <c r="B567" s="278" t="s">
        <v>248</v>
      </c>
      <c r="C567" s="278" t="s">
        <v>202</v>
      </c>
      <c r="D567" s="315">
        <v>41516</v>
      </c>
      <c r="E567" s="279">
        <v>1</v>
      </c>
      <c r="F567" s="55">
        <f t="shared" si="9"/>
        <v>100</v>
      </c>
    </row>
    <row r="568" spans="1:6" x14ac:dyDescent="0.25">
      <c r="A568" s="277" t="s">
        <v>259</v>
      </c>
      <c r="B568" s="278" t="s">
        <v>260</v>
      </c>
      <c r="C568" s="278" t="s">
        <v>197</v>
      </c>
      <c r="D568" s="315">
        <v>41516</v>
      </c>
      <c r="E568" s="279">
        <v>1</v>
      </c>
      <c r="F568" s="55">
        <f t="shared" si="9"/>
        <v>100</v>
      </c>
    </row>
    <row r="569" spans="1:6" x14ac:dyDescent="0.25">
      <c r="A569" s="277" t="s">
        <v>259</v>
      </c>
      <c r="B569" s="278" t="s">
        <v>260</v>
      </c>
      <c r="C569" s="278" t="s">
        <v>202</v>
      </c>
      <c r="D569" s="315">
        <v>41516</v>
      </c>
      <c r="E569" s="279">
        <v>1</v>
      </c>
      <c r="F569" s="55">
        <f t="shared" si="9"/>
        <v>100</v>
      </c>
    </row>
    <row r="570" spans="1:6" x14ac:dyDescent="0.25">
      <c r="A570" s="277" t="s">
        <v>265</v>
      </c>
      <c r="B570" s="278" t="s">
        <v>266</v>
      </c>
      <c r="C570" s="278" t="s">
        <v>197</v>
      </c>
      <c r="D570" s="315">
        <v>41517</v>
      </c>
      <c r="E570" s="279">
        <v>19</v>
      </c>
      <c r="F570" s="55">
        <f t="shared" si="9"/>
        <v>101</v>
      </c>
    </row>
    <row r="571" spans="1:6" x14ac:dyDescent="0.25">
      <c r="A571" s="277" t="s">
        <v>265</v>
      </c>
      <c r="B571" s="278" t="s">
        <v>266</v>
      </c>
      <c r="C571" s="278" t="s">
        <v>202</v>
      </c>
      <c r="D571" s="315">
        <v>41517</v>
      </c>
      <c r="E571" s="279">
        <v>19</v>
      </c>
      <c r="F571" s="55">
        <f t="shared" si="9"/>
        <v>101</v>
      </c>
    </row>
    <row r="572" spans="1:6" x14ac:dyDescent="0.25">
      <c r="A572" s="277" t="s">
        <v>269</v>
      </c>
      <c r="B572" s="278" t="s">
        <v>270</v>
      </c>
      <c r="C572" s="278" t="s">
        <v>202</v>
      </c>
      <c r="D572" s="315">
        <v>41517</v>
      </c>
      <c r="E572" s="279">
        <v>3</v>
      </c>
      <c r="F572" s="55">
        <f t="shared" si="9"/>
        <v>101</v>
      </c>
    </row>
    <row r="573" spans="1:6" x14ac:dyDescent="0.25">
      <c r="A573" s="277" t="s">
        <v>269</v>
      </c>
      <c r="B573" s="278" t="s">
        <v>270</v>
      </c>
      <c r="C573" s="278" t="s">
        <v>197</v>
      </c>
      <c r="D573" s="315">
        <v>41517</v>
      </c>
      <c r="E573" s="279">
        <v>3</v>
      </c>
      <c r="F573" s="55">
        <f t="shared" si="9"/>
        <v>101</v>
      </c>
    </row>
    <row r="574" spans="1:6" x14ac:dyDescent="0.25">
      <c r="A574" s="277" t="s">
        <v>285</v>
      </c>
      <c r="B574" s="278" t="s">
        <v>286</v>
      </c>
      <c r="C574" s="278" t="s">
        <v>197</v>
      </c>
      <c r="D574" s="315">
        <v>41518</v>
      </c>
      <c r="E574" s="279">
        <v>1</v>
      </c>
      <c r="F574" s="55">
        <f t="shared" si="9"/>
        <v>101</v>
      </c>
    </row>
    <row r="575" spans="1:6" x14ac:dyDescent="0.25">
      <c r="A575" s="277" t="s">
        <v>285</v>
      </c>
      <c r="B575" s="278" t="s">
        <v>286</v>
      </c>
      <c r="C575" s="278" t="s">
        <v>202</v>
      </c>
      <c r="D575" s="315">
        <v>41518</v>
      </c>
      <c r="E575" s="279">
        <v>1</v>
      </c>
      <c r="F575" s="55">
        <f t="shared" si="9"/>
        <v>101</v>
      </c>
    </row>
    <row r="576" spans="1:6" x14ac:dyDescent="0.25">
      <c r="A576" s="277" t="s">
        <v>285</v>
      </c>
      <c r="B576" s="278" t="s">
        <v>286</v>
      </c>
      <c r="C576" s="278" t="s">
        <v>198</v>
      </c>
      <c r="D576" s="315">
        <v>41518</v>
      </c>
      <c r="E576" s="279">
        <v>1</v>
      </c>
      <c r="F576" s="55">
        <f t="shared" si="9"/>
        <v>101</v>
      </c>
    </row>
    <row r="577" spans="1:6" x14ac:dyDescent="0.25">
      <c r="A577" s="277" t="s">
        <v>267</v>
      </c>
      <c r="B577" s="278" t="s">
        <v>268</v>
      </c>
      <c r="C577" s="278" t="s">
        <v>202</v>
      </c>
      <c r="D577" s="315">
        <v>41518</v>
      </c>
      <c r="E577" s="279">
        <v>3</v>
      </c>
      <c r="F577" s="55">
        <f t="shared" si="9"/>
        <v>101</v>
      </c>
    </row>
    <row r="578" spans="1:6" x14ac:dyDescent="0.25">
      <c r="A578" s="277" t="s">
        <v>267</v>
      </c>
      <c r="B578" s="278" t="s">
        <v>268</v>
      </c>
      <c r="C578" s="278" t="s">
        <v>197</v>
      </c>
      <c r="D578" s="315">
        <v>41518</v>
      </c>
      <c r="E578" s="279">
        <v>2</v>
      </c>
      <c r="F578" s="55">
        <f t="shared" si="9"/>
        <v>101</v>
      </c>
    </row>
    <row r="579" spans="1:6" x14ac:dyDescent="0.25">
      <c r="A579" s="277" t="s">
        <v>267</v>
      </c>
      <c r="B579" s="278" t="s">
        <v>268</v>
      </c>
      <c r="C579" s="278" t="s">
        <v>198</v>
      </c>
      <c r="D579" s="315">
        <v>41518</v>
      </c>
      <c r="E579" s="279">
        <v>1</v>
      </c>
      <c r="F579" s="55">
        <f t="shared" si="9"/>
        <v>101</v>
      </c>
    </row>
    <row r="580" spans="1:6" x14ac:dyDescent="0.25">
      <c r="A580" s="277" t="s">
        <v>273</v>
      </c>
      <c r="B580" s="278" t="s">
        <v>274</v>
      </c>
      <c r="C580" s="278" t="s">
        <v>202</v>
      </c>
      <c r="D580" s="315">
        <v>41518</v>
      </c>
      <c r="E580" s="279">
        <v>2</v>
      </c>
      <c r="F580" s="55">
        <f t="shared" si="9"/>
        <v>101</v>
      </c>
    </row>
    <row r="581" spans="1:6" x14ac:dyDescent="0.25">
      <c r="A581" s="277" t="s">
        <v>273</v>
      </c>
      <c r="B581" s="278" t="s">
        <v>274</v>
      </c>
      <c r="C581" s="278" t="s">
        <v>197</v>
      </c>
      <c r="D581" s="315">
        <v>41518</v>
      </c>
      <c r="E581" s="279">
        <v>2</v>
      </c>
      <c r="F581" s="55">
        <f t="shared" si="9"/>
        <v>101</v>
      </c>
    </row>
    <row r="582" spans="1:6" x14ac:dyDescent="0.25">
      <c r="A582" s="277" t="s">
        <v>259</v>
      </c>
      <c r="B582" s="278" t="s">
        <v>260</v>
      </c>
      <c r="C582" s="278" t="s">
        <v>197</v>
      </c>
      <c r="D582" s="315">
        <v>41518</v>
      </c>
      <c r="E582" s="279">
        <v>5</v>
      </c>
      <c r="F582" s="55">
        <f t="shared" si="9"/>
        <v>101</v>
      </c>
    </row>
    <row r="583" spans="1:6" x14ac:dyDescent="0.25">
      <c r="A583" s="277" t="s">
        <v>259</v>
      </c>
      <c r="B583" s="278" t="s">
        <v>260</v>
      </c>
      <c r="C583" s="278" t="s">
        <v>202</v>
      </c>
      <c r="D583" s="315">
        <v>41518</v>
      </c>
      <c r="E583" s="279">
        <v>6</v>
      </c>
      <c r="F583" s="55">
        <f t="shared" si="9"/>
        <v>101</v>
      </c>
    </row>
    <row r="584" spans="1:6" x14ac:dyDescent="0.25">
      <c r="A584" s="277" t="s">
        <v>259</v>
      </c>
      <c r="B584" s="278" t="s">
        <v>260</v>
      </c>
      <c r="C584" s="278" t="s">
        <v>198</v>
      </c>
      <c r="D584" s="315">
        <v>41518</v>
      </c>
      <c r="E584" s="279">
        <v>1</v>
      </c>
      <c r="F584" s="55">
        <f t="shared" si="9"/>
        <v>101</v>
      </c>
    </row>
    <row r="585" spans="1:6" x14ac:dyDescent="0.25">
      <c r="A585" s="277" t="s">
        <v>295</v>
      </c>
      <c r="B585" s="278" t="s">
        <v>296</v>
      </c>
      <c r="C585" s="278" t="s">
        <v>197</v>
      </c>
      <c r="D585" s="315">
        <v>41518</v>
      </c>
      <c r="E585" s="279">
        <v>9</v>
      </c>
      <c r="F585" s="55">
        <f t="shared" si="9"/>
        <v>101</v>
      </c>
    </row>
    <row r="586" spans="1:6" x14ac:dyDescent="0.25">
      <c r="A586" s="277" t="s">
        <v>295</v>
      </c>
      <c r="B586" s="278" t="s">
        <v>296</v>
      </c>
      <c r="C586" s="278" t="s">
        <v>202</v>
      </c>
      <c r="D586" s="315">
        <v>41518</v>
      </c>
      <c r="E586" s="279">
        <v>9</v>
      </c>
      <c r="F586" s="55">
        <f t="shared" ref="F586:F600" si="10">TRUNC((D586-start)/7,0)+1</f>
        <v>101</v>
      </c>
    </row>
    <row r="587" spans="1:6" x14ac:dyDescent="0.25">
      <c r="A587" s="277" t="s">
        <v>269</v>
      </c>
      <c r="B587" s="278" t="s">
        <v>270</v>
      </c>
      <c r="C587" s="278" t="s">
        <v>202</v>
      </c>
      <c r="D587" s="315">
        <v>41518</v>
      </c>
      <c r="E587" s="279">
        <v>3</v>
      </c>
      <c r="F587" s="55">
        <f t="shared" si="10"/>
        <v>101</v>
      </c>
    </row>
    <row r="588" spans="1:6" x14ac:dyDescent="0.25">
      <c r="A588" s="277" t="s">
        <v>269</v>
      </c>
      <c r="B588" s="278" t="s">
        <v>270</v>
      </c>
      <c r="C588" s="278" t="s">
        <v>197</v>
      </c>
      <c r="D588" s="315">
        <v>41518</v>
      </c>
      <c r="E588" s="279">
        <v>3</v>
      </c>
      <c r="F588" s="55">
        <f t="shared" si="10"/>
        <v>101</v>
      </c>
    </row>
    <row r="589" spans="1:6" x14ac:dyDescent="0.25">
      <c r="A589" s="277" t="s">
        <v>243</v>
      </c>
      <c r="B589" s="278" t="s">
        <v>248</v>
      </c>
      <c r="C589" s="278" t="s">
        <v>202</v>
      </c>
      <c r="D589" s="315">
        <v>41518</v>
      </c>
      <c r="E589" s="279">
        <v>8</v>
      </c>
      <c r="F589" s="55">
        <f t="shared" si="10"/>
        <v>101</v>
      </c>
    </row>
    <row r="590" spans="1:6" x14ac:dyDescent="0.25">
      <c r="A590" s="277" t="s">
        <v>243</v>
      </c>
      <c r="B590" s="278" t="s">
        <v>248</v>
      </c>
      <c r="C590" s="278" t="s">
        <v>197</v>
      </c>
      <c r="D590" s="315">
        <v>41518</v>
      </c>
      <c r="E590" s="279">
        <v>8</v>
      </c>
      <c r="F590" s="55">
        <f t="shared" si="10"/>
        <v>101</v>
      </c>
    </row>
    <row r="591" spans="1:6" x14ac:dyDescent="0.25">
      <c r="A591" s="277" t="s">
        <v>265</v>
      </c>
      <c r="B591" s="278" t="s">
        <v>266</v>
      </c>
      <c r="C591" s="278" t="s">
        <v>197</v>
      </c>
      <c r="D591" s="315">
        <v>41519</v>
      </c>
      <c r="E591" s="279">
        <v>2</v>
      </c>
      <c r="F591" s="55">
        <f t="shared" si="10"/>
        <v>101</v>
      </c>
    </row>
    <row r="592" spans="1:6" x14ac:dyDescent="0.25">
      <c r="A592" s="277" t="s">
        <v>265</v>
      </c>
      <c r="B592" s="278" t="s">
        <v>266</v>
      </c>
      <c r="C592" s="278" t="s">
        <v>202</v>
      </c>
      <c r="D592" s="315">
        <v>41519</v>
      </c>
      <c r="E592" s="279">
        <v>2</v>
      </c>
      <c r="F592" s="55">
        <f t="shared" si="10"/>
        <v>101</v>
      </c>
    </row>
    <row r="593" spans="1:6" x14ac:dyDescent="0.25">
      <c r="A593" s="277" t="s">
        <v>259</v>
      </c>
      <c r="B593" s="278" t="s">
        <v>260</v>
      </c>
      <c r="C593" s="278" t="s">
        <v>197</v>
      </c>
      <c r="D593" s="315">
        <v>41519</v>
      </c>
      <c r="E593" s="279">
        <v>4</v>
      </c>
      <c r="F593" s="55">
        <f t="shared" si="10"/>
        <v>101</v>
      </c>
    </row>
    <row r="594" spans="1:6" x14ac:dyDescent="0.25">
      <c r="A594" s="277" t="s">
        <v>259</v>
      </c>
      <c r="B594" s="278" t="s">
        <v>260</v>
      </c>
      <c r="C594" s="278" t="s">
        <v>202</v>
      </c>
      <c r="D594" s="315">
        <v>41519</v>
      </c>
      <c r="E594" s="279">
        <v>5</v>
      </c>
      <c r="F594" s="55">
        <f t="shared" si="10"/>
        <v>101</v>
      </c>
    </row>
    <row r="595" spans="1:6" x14ac:dyDescent="0.25">
      <c r="A595" s="277" t="s">
        <v>259</v>
      </c>
      <c r="B595" s="278" t="s">
        <v>260</v>
      </c>
      <c r="C595" s="278" t="s">
        <v>198</v>
      </c>
      <c r="D595" s="315">
        <v>41519</v>
      </c>
      <c r="E595" s="279">
        <v>1</v>
      </c>
      <c r="F595" s="55">
        <f t="shared" si="10"/>
        <v>101</v>
      </c>
    </row>
    <row r="596" spans="1:6" x14ac:dyDescent="0.25">
      <c r="A596" s="277" t="s">
        <v>285</v>
      </c>
      <c r="B596" s="278" t="s">
        <v>286</v>
      </c>
      <c r="C596" s="278" t="s">
        <v>197</v>
      </c>
      <c r="D596" s="315">
        <v>41519</v>
      </c>
      <c r="E596" s="279">
        <v>2</v>
      </c>
      <c r="F596" s="55">
        <f t="shared" si="10"/>
        <v>101</v>
      </c>
    </row>
    <row r="597" spans="1:6" x14ac:dyDescent="0.25">
      <c r="A597" s="277" t="s">
        <v>285</v>
      </c>
      <c r="B597" s="278" t="s">
        <v>286</v>
      </c>
      <c r="C597" s="278" t="s">
        <v>202</v>
      </c>
      <c r="D597" s="315">
        <v>41519</v>
      </c>
      <c r="E597" s="279">
        <v>3</v>
      </c>
      <c r="F597" s="55">
        <f t="shared" si="10"/>
        <v>101</v>
      </c>
    </row>
    <row r="598" spans="1:6" x14ac:dyDescent="0.25">
      <c r="A598" s="277" t="s">
        <v>285</v>
      </c>
      <c r="B598" s="278" t="s">
        <v>286</v>
      </c>
      <c r="C598" s="278" t="s">
        <v>198</v>
      </c>
      <c r="D598" s="315">
        <v>41519</v>
      </c>
      <c r="E598" s="279">
        <v>1</v>
      </c>
      <c r="F598" s="55">
        <f t="shared" si="10"/>
        <v>101</v>
      </c>
    </row>
    <row r="599" spans="1:6" x14ac:dyDescent="0.25">
      <c r="A599" s="277" t="s">
        <v>269</v>
      </c>
      <c r="B599" s="278" t="s">
        <v>270</v>
      </c>
      <c r="C599" s="278" t="s">
        <v>197</v>
      </c>
      <c r="D599" s="315">
        <v>41520</v>
      </c>
      <c r="E599" s="279">
        <v>19</v>
      </c>
      <c r="F599" s="55">
        <f t="shared" si="10"/>
        <v>101</v>
      </c>
    </row>
    <row r="600" spans="1:6" x14ac:dyDescent="0.25">
      <c r="A600" s="277" t="s">
        <v>269</v>
      </c>
      <c r="B600" s="278" t="s">
        <v>270</v>
      </c>
      <c r="C600" s="278" t="s">
        <v>202</v>
      </c>
      <c r="D600" s="315">
        <v>41520</v>
      </c>
      <c r="E600" s="279">
        <v>19</v>
      </c>
      <c r="F600" s="55">
        <f t="shared" si="10"/>
        <v>101</v>
      </c>
    </row>
    <row r="601" spans="1:6" ht="6.75" customHeight="1" x14ac:dyDescent="0.25">
      <c r="A601" s="4"/>
      <c r="B601" s="4"/>
      <c r="C601" s="38"/>
      <c r="D601" s="5"/>
      <c r="E601" s="38"/>
      <c r="F601" s="54"/>
    </row>
  </sheetData>
  <sortState ref="A9:E416">
    <sortCondition ref="D9:D416"/>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1"/>
  <sheetViews>
    <sheetView workbookViewId="0">
      <pane ySplit="7" topLeftCell="A11" activePane="bottomLeft" state="frozen"/>
      <selection pane="bottomLeft"/>
    </sheetView>
  </sheetViews>
  <sheetFormatPr defaultRowHeight="15" x14ac:dyDescent="0.25"/>
  <cols>
    <col min="1" max="1" width="24.28515625" customWidth="1"/>
    <col min="2" max="2" width="19.5703125" customWidth="1"/>
    <col min="3" max="3" width="27.28515625" style="6" customWidth="1"/>
    <col min="4" max="4" width="15.7109375" style="1" customWidth="1"/>
    <col min="5" max="6" width="9.140625" style="1"/>
  </cols>
  <sheetData>
    <row r="1" spans="1:11" ht="18.75" x14ac:dyDescent="0.3">
      <c r="A1" s="9" t="str">
        <f>CourseName</f>
        <v>Cs525 ASD - Fall 2012</v>
      </c>
      <c r="B1" s="180" t="s">
        <v>141</v>
      </c>
      <c r="D1" s="12"/>
      <c r="E1" s="12"/>
      <c r="F1" s="12"/>
      <c r="G1" s="10"/>
      <c r="H1" s="10"/>
      <c r="I1" s="10"/>
      <c r="J1" s="10"/>
      <c r="K1" s="10"/>
    </row>
    <row r="2" spans="1:11" ht="8.25" customHeight="1" x14ac:dyDescent="0.3">
      <c r="A2" s="9"/>
      <c r="B2" s="10"/>
      <c r="C2" s="215"/>
      <c r="D2" s="12"/>
      <c r="E2" s="12"/>
      <c r="F2" s="12"/>
      <c r="G2" s="10"/>
      <c r="H2" s="10"/>
      <c r="I2" s="10"/>
      <c r="J2" s="10"/>
      <c r="K2" s="10"/>
    </row>
    <row r="3" spans="1:11" x14ac:dyDescent="0.25">
      <c r="A3" s="22" t="s">
        <v>10</v>
      </c>
      <c r="B3" s="23">
        <f>start</f>
        <v>40817</v>
      </c>
      <c r="C3" s="27"/>
      <c r="D3" s="12"/>
      <c r="E3" s="12"/>
      <c r="F3" s="12"/>
      <c r="G3" s="10"/>
      <c r="H3" s="10"/>
      <c r="I3" s="10"/>
      <c r="J3" s="10"/>
      <c r="K3" s="10"/>
    </row>
    <row r="4" spans="1:11" x14ac:dyDescent="0.25">
      <c r="A4" s="22" t="s">
        <v>48</v>
      </c>
      <c r="B4" s="23">
        <v>41793.895300925928</v>
      </c>
      <c r="C4" s="12"/>
      <c r="D4" s="12"/>
      <c r="E4" s="12"/>
      <c r="F4" s="12"/>
    </row>
    <row r="5" spans="1:11" x14ac:dyDescent="0.25">
      <c r="A5" s="22" t="s">
        <v>52</v>
      </c>
      <c r="B5" s="37">
        <f>COUNTA(B:B facData)</f>
        <v>2</v>
      </c>
      <c r="C5" s="12"/>
      <c r="D5" s="22" t="s">
        <v>217</v>
      </c>
      <c r="E5" s="12">
        <f>SUM(E:E facData)</f>
        <v>9</v>
      </c>
      <c r="F5" s="12"/>
    </row>
    <row r="6" spans="1:11" ht="9.75" customHeight="1" x14ac:dyDescent="0.25">
      <c r="A6" s="10"/>
      <c r="B6" s="13"/>
      <c r="C6" s="27"/>
      <c r="D6" s="12"/>
      <c r="E6" s="12"/>
      <c r="F6" s="12"/>
      <c r="G6" s="10"/>
      <c r="H6" s="10"/>
      <c r="I6" s="10"/>
      <c r="J6" s="10"/>
      <c r="K6" s="10"/>
    </row>
    <row r="7" spans="1:11" ht="15.75" thickBot="1" x14ac:dyDescent="0.3">
      <c r="A7" s="24" t="s">
        <v>0</v>
      </c>
      <c r="B7" s="24" t="s">
        <v>1</v>
      </c>
      <c r="C7" s="28" t="s">
        <v>2</v>
      </c>
      <c r="D7" s="25" t="s">
        <v>3</v>
      </c>
      <c r="E7" s="25" t="s">
        <v>4</v>
      </c>
      <c r="F7" s="53" t="s">
        <v>9</v>
      </c>
      <c r="G7" s="10"/>
      <c r="H7" s="10"/>
      <c r="I7" s="10"/>
      <c r="J7" s="10"/>
      <c r="K7" s="10"/>
    </row>
    <row r="8" spans="1:11" ht="6" customHeight="1" thickTop="1" x14ac:dyDescent="0.25">
      <c r="A8" s="4"/>
      <c r="B8" s="4"/>
      <c r="C8" s="7"/>
      <c r="D8" s="5"/>
      <c r="E8" s="52"/>
      <c r="F8" s="54"/>
      <c r="G8" s="10"/>
      <c r="H8" s="10"/>
      <c r="I8" s="10"/>
      <c r="J8" s="10"/>
      <c r="K8" s="10"/>
    </row>
    <row r="9" spans="1:11" x14ac:dyDescent="0.25">
      <c r="A9" s="271" t="s">
        <v>26</v>
      </c>
      <c r="B9" s="272" t="s">
        <v>39</v>
      </c>
      <c r="C9" s="272" t="s">
        <v>207</v>
      </c>
      <c r="D9" s="275">
        <v>41229</v>
      </c>
      <c r="E9" s="276">
        <v>8</v>
      </c>
      <c r="F9" s="55">
        <f t="shared" ref="F9" si="0">TRUNC((D9-start)/7,0)+1</f>
        <v>59</v>
      </c>
      <c r="G9" s="10"/>
      <c r="H9" s="10"/>
      <c r="I9" s="10"/>
      <c r="J9" s="10"/>
      <c r="K9" s="13"/>
    </row>
    <row r="10" spans="1:11" x14ac:dyDescent="0.25">
      <c r="A10" s="271" t="s">
        <v>26</v>
      </c>
      <c r="B10" s="272" t="s">
        <v>39</v>
      </c>
      <c r="C10" s="272" t="s">
        <v>207</v>
      </c>
      <c r="D10" s="275">
        <v>41237</v>
      </c>
      <c r="E10" s="276">
        <v>1</v>
      </c>
      <c r="F10" s="55">
        <f t="shared" ref="F10" si="1">TRUNC((D10-start)/7,0)+1</f>
        <v>61</v>
      </c>
      <c r="G10" s="10"/>
      <c r="H10" s="10"/>
      <c r="I10" s="10"/>
      <c r="J10" s="10"/>
      <c r="K10" s="13"/>
    </row>
    <row r="11" spans="1:11" ht="6.75" customHeight="1" x14ac:dyDescent="0.25">
      <c r="A11" s="4"/>
      <c r="B11" s="4"/>
      <c r="C11" s="7"/>
      <c r="D11" s="5"/>
      <c r="E11" s="118"/>
      <c r="F11" s="119"/>
      <c r="G11" s="10"/>
      <c r="H11" s="10"/>
      <c r="I11" s="10"/>
      <c r="J11" s="10"/>
      <c r="K11" s="10"/>
    </row>
    <row r="12" spans="1:11" x14ac:dyDescent="0.25">
      <c r="D12" s="94"/>
    </row>
    <row r="13" spans="1:11" x14ac:dyDescent="0.25">
      <c r="D13" s="94"/>
    </row>
    <row r="14" spans="1:11" x14ac:dyDescent="0.25">
      <c r="D14" s="94"/>
    </row>
    <row r="15" spans="1:11" x14ac:dyDescent="0.25">
      <c r="D15" s="94"/>
    </row>
    <row r="16" spans="1:11" x14ac:dyDescent="0.25">
      <c r="D16" s="94"/>
    </row>
    <row r="17" spans="4:4" x14ac:dyDescent="0.25">
      <c r="D17" s="94"/>
    </row>
    <row r="18" spans="4:4" x14ac:dyDescent="0.25">
      <c r="D18" s="94"/>
    </row>
    <row r="19" spans="4:4" x14ac:dyDescent="0.25">
      <c r="D19" s="94"/>
    </row>
    <row r="20" spans="4:4" x14ac:dyDescent="0.25">
      <c r="D20" s="94"/>
    </row>
    <row r="21" spans="4:4" x14ac:dyDescent="0.25">
      <c r="D21" s="94"/>
    </row>
    <row r="22" spans="4:4" x14ac:dyDescent="0.25">
      <c r="D22" s="94"/>
    </row>
    <row r="23" spans="4:4" x14ac:dyDescent="0.25">
      <c r="D23" s="94"/>
    </row>
    <row r="24" spans="4:4" x14ac:dyDescent="0.25">
      <c r="D24" s="94"/>
    </row>
    <row r="25" spans="4:4" x14ac:dyDescent="0.25">
      <c r="D25" s="94"/>
    </row>
    <row r="26" spans="4:4" x14ac:dyDescent="0.25">
      <c r="D26" s="94"/>
    </row>
    <row r="27" spans="4:4" x14ac:dyDescent="0.25">
      <c r="D27" s="94"/>
    </row>
    <row r="28" spans="4:4" x14ac:dyDescent="0.25">
      <c r="D28" s="94"/>
    </row>
    <row r="29" spans="4:4" x14ac:dyDescent="0.25">
      <c r="D29" s="94"/>
    </row>
    <row r="30" spans="4:4" x14ac:dyDescent="0.25">
      <c r="D30" s="94"/>
    </row>
    <row r="31" spans="4:4" x14ac:dyDescent="0.25">
      <c r="D31" s="94"/>
    </row>
    <row r="32" spans="4:4" x14ac:dyDescent="0.25">
      <c r="D32" s="94"/>
    </row>
    <row r="33" spans="4:4" x14ac:dyDescent="0.25">
      <c r="D33" s="94"/>
    </row>
    <row r="34" spans="4:4" x14ac:dyDescent="0.25">
      <c r="D34" s="94"/>
    </row>
    <row r="35" spans="4:4" x14ac:dyDescent="0.25">
      <c r="D35" s="94"/>
    </row>
    <row r="36" spans="4:4" x14ac:dyDescent="0.25">
      <c r="D36" s="94"/>
    </row>
    <row r="37" spans="4:4" x14ac:dyDescent="0.25">
      <c r="D37" s="94"/>
    </row>
    <row r="38" spans="4:4" x14ac:dyDescent="0.25">
      <c r="D38" s="94"/>
    </row>
    <row r="39" spans="4:4" x14ac:dyDescent="0.25">
      <c r="D39" s="94"/>
    </row>
    <row r="40" spans="4:4" x14ac:dyDescent="0.25">
      <c r="D40" s="94"/>
    </row>
    <row r="41" spans="4:4" x14ac:dyDescent="0.25">
      <c r="D41" s="94"/>
    </row>
  </sheetData>
  <sortState ref="A8:E118">
    <sortCondition ref="D8:D118"/>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766"/>
  <sheetViews>
    <sheetView zoomScale="90" zoomScaleNormal="90" workbookViewId="0">
      <pane xSplit="1" ySplit="8" topLeftCell="B87" activePane="bottomRight" state="frozen"/>
      <selection pane="topRight" activeCell="B1" sqref="B1"/>
      <selection pane="bottomLeft" activeCell="A8" sqref="A8"/>
      <selection pane="bottomRight" activeCell="A9" sqref="A9:XFD3758"/>
    </sheetView>
  </sheetViews>
  <sheetFormatPr defaultRowHeight="12.75" x14ac:dyDescent="0.2"/>
  <cols>
    <col min="1" max="1" width="3.7109375" style="57" customWidth="1"/>
    <col min="2" max="2" width="33.42578125" style="57" customWidth="1"/>
    <col min="3" max="3" width="24.7109375" style="57" customWidth="1"/>
    <col min="4" max="4" width="14.28515625" style="58" customWidth="1"/>
    <col min="5" max="5" width="13" style="58" customWidth="1"/>
    <col min="6" max="7" width="9.140625" style="58"/>
    <col min="8" max="8" width="22.42578125" style="57" customWidth="1"/>
    <col min="9" max="9" width="17.42578125" style="58" hidden="1" customWidth="1"/>
    <col min="10" max="16384" width="9.140625" style="57"/>
  </cols>
  <sheetData>
    <row r="1" spans="1:9" ht="18" x14ac:dyDescent="0.25">
      <c r="A1" s="56"/>
      <c r="B1" s="56" t="str">
        <f>CourseName</f>
        <v>Cs525 ASD - Fall 2012</v>
      </c>
      <c r="C1" s="89" t="s">
        <v>63</v>
      </c>
    </row>
    <row r="2" spans="1:9" s="126" customFormat="1" ht="8.25" customHeight="1" x14ac:dyDescent="0.25">
      <c r="A2" s="56"/>
      <c r="C2" s="90"/>
      <c r="D2" s="58"/>
      <c r="E2" s="58"/>
      <c r="F2" s="58"/>
      <c r="G2" s="58"/>
      <c r="I2" s="58"/>
    </row>
    <row r="3" spans="1:9" ht="15" x14ac:dyDescent="0.25">
      <c r="B3" s="22" t="s">
        <v>10</v>
      </c>
      <c r="C3" s="125">
        <f>start</f>
        <v>40817</v>
      </c>
      <c r="E3" s="91" t="s">
        <v>218</v>
      </c>
      <c r="F3" s="58">
        <f t="array" ref="F3">SUM(1/COUNTIF(vdata vName,IF(ISBLANK(vdata vName),"",vdata vName)))-1</f>
        <v>25.000000000000266</v>
      </c>
    </row>
    <row r="4" spans="1:9" ht="15" x14ac:dyDescent="0.25">
      <c r="B4" s="22" t="s">
        <v>48</v>
      </c>
      <c r="C4" s="74">
        <v>41793.895555555559</v>
      </c>
      <c r="E4" s="182"/>
    </row>
    <row r="5" spans="1:9" ht="15" x14ac:dyDescent="0.25">
      <c r="B5" s="22" t="s">
        <v>52</v>
      </c>
      <c r="C5" s="75">
        <f>COUNTA((vdata C:C))</f>
        <v>3750</v>
      </c>
      <c r="E5" s="91" t="s">
        <v>217</v>
      </c>
      <c r="F5" s="58">
        <f>SUM(F:F vdata)</f>
        <v>7906</v>
      </c>
    </row>
    <row r="6" spans="1:9" x14ac:dyDescent="0.2">
      <c r="I6" s="60" t="e">
        <f>IF(I7&gt;0,"Name Errors?","")</f>
        <v>#NULL!</v>
      </c>
    </row>
    <row r="7" spans="1:9" x14ac:dyDescent="0.2">
      <c r="B7" s="61" t="s">
        <v>0</v>
      </c>
      <c r="C7" s="61" t="s">
        <v>1</v>
      </c>
      <c r="D7" s="62" t="s">
        <v>2</v>
      </c>
      <c r="E7" s="62" t="s">
        <v>3</v>
      </c>
      <c r="F7" s="62" t="s">
        <v>4</v>
      </c>
      <c r="G7" s="63" t="s">
        <v>9</v>
      </c>
      <c r="H7" s="64"/>
      <c r="I7" s="65" t="e">
        <f>COUNTIF((Data I:I),"=Name Error!")</f>
        <v>#NULL!</v>
      </c>
    </row>
    <row r="8" spans="1:9" s="126" customFormat="1" ht="6" customHeight="1" x14ac:dyDescent="0.2">
      <c r="B8" s="66"/>
      <c r="C8" s="66"/>
      <c r="D8" s="67"/>
      <c r="E8" s="68"/>
      <c r="F8" s="69"/>
      <c r="G8" s="70"/>
      <c r="H8" s="66"/>
      <c r="I8" s="71"/>
    </row>
    <row r="9" spans="1:9" s="126" customFormat="1" ht="15" customHeight="1" x14ac:dyDescent="0.25">
      <c r="B9" s="271" t="s">
        <v>320</v>
      </c>
      <c r="C9" s="272" t="s">
        <v>319</v>
      </c>
      <c r="D9" s="275" t="s">
        <v>216</v>
      </c>
      <c r="E9" s="275">
        <v>41015.4609375</v>
      </c>
      <c r="F9" s="276">
        <v>3</v>
      </c>
      <c r="G9" s="243">
        <f t="shared" ref="G9" si="0">TRUNC((E9-start)/7)+1</f>
        <v>29</v>
      </c>
      <c r="H9" s="244"/>
      <c r="I9" s="71" t="e">
        <f>IF(COUNTIF((rName rData),H9),"","Name Error!")</f>
        <v>#NAME?</v>
      </c>
    </row>
    <row r="10" spans="1:9" s="126" customFormat="1" ht="15" customHeight="1" x14ac:dyDescent="0.25">
      <c r="B10" s="271" t="s">
        <v>320</v>
      </c>
      <c r="C10" s="272" t="s">
        <v>319</v>
      </c>
      <c r="D10" s="275" t="s">
        <v>216</v>
      </c>
      <c r="E10" s="275">
        <v>41016.491319444445</v>
      </c>
      <c r="F10" s="276">
        <v>5</v>
      </c>
      <c r="G10" s="243">
        <f t="shared" ref="G10:G73" si="1">TRUNC((E10-start)/7)+1</f>
        <v>29</v>
      </c>
      <c r="H10" s="244"/>
      <c r="I10" s="71" t="e">
        <f>IF(COUNTIF((rName rData),H10),"","Name Error!")</f>
        <v>#NAME?</v>
      </c>
    </row>
    <row r="11" spans="1:9" s="126" customFormat="1" ht="15" customHeight="1" x14ac:dyDescent="0.25">
      <c r="B11" s="271" t="s">
        <v>320</v>
      </c>
      <c r="C11" s="272" t="s">
        <v>319</v>
      </c>
      <c r="D11" s="275" t="s">
        <v>216</v>
      </c>
      <c r="E11" s="275">
        <v>41017.468263888892</v>
      </c>
      <c r="F11" s="276">
        <v>3</v>
      </c>
      <c r="G11" s="243">
        <f t="shared" si="1"/>
        <v>29</v>
      </c>
      <c r="H11" s="244"/>
      <c r="I11" s="71" t="e">
        <f>IF(COUNTIF((rName rData),H11),"","Name Error!")</f>
        <v>#NAME?</v>
      </c>
    </row>
    <row r="12" spans="1:9" s="126" customFormat="1" ht="15" customHeight="1" x14ac:dyDescent="0.25">
      <c r="B12" s="271" t="s">
        <v>320</v>
      </c>
      <c r="C12" s="272" t="s">
        <v>319</v>
      </c>
      <c r="D12" s="275" t="s">
        <v>216</v>
      </c>
      <c r="E12" s="275">
        <v>41018.42050925926</v>
      </c>
      <c r="F12" s="276">
        <v>3</v>
      </c>
      <c r="G12" s="243">
        <f t="shared" si="1"/>
        <v>29</v>
      </c>
      <c r="H12" s="244"/>
      <c r="I12" s="71" t="e">
        <f>IF(COUNTIF((rName rData),H12),"","Name Error!")</f>
        <v>#NAME?</v>
      </c>
    </row>
    <row r="13" spans="1:9" s="126" customFormat="1" ht="15" customHeight="1" x14ac:dyDescent="0.25">
      <c r="B13" s="271" t="s">
        <v>320</v>
      </c>
      <c r="C13" s="272" t="s">
        <v>319</v>
      </c>
      <c r="D13" s="275" t="s">
        <v>216</v>
      </c>
      <c r="E13" s="275">
        <v>41019.445370370369</v>
      </c>
      <c r="F13" s="276">
        <v>3</v>
      </c>
      <c r="G13" s="243">
        <f t="shared" si="1"/>
        <v>29</v>
      </c>
      <c r="H13" s="244"/>
      <c r="I13" s="71" t="e">
        <f>IF(COUNTIF((rName rData),H13),"","Name Error!")</f>
        <v>#NAME?</v>
      </c>
    </row>
    <row r="14" spans="1:9" s="126" customFormat="1" ht="15" customHeight="1" x14ac:dyDescent="0.25">
      <c r="B14" s="271" t="s">
        <v>320</v>
      </c>
      <c r="C14" s="272" t="s">
        <v>319</v>
      </c>
      <c r="D14" s="275" t="s">
        <v>216</v>
      </c>
      <c r="E14" s="275">
        <v>41021.457708333335</v>
      </c>
      <c r="F14" s="276">
        <v>2</v>
      </c>
      <c r="G14" s="243">
        <f t="shared" si="1"/>
        <v>30</v>
      </c>
      <c r="H14" s="244"/>
      <c r="I14" s="71" t="e">
        <f>IF(COUNTIF((rName rData),H14),"","Name Error!")</f>
        <v>#NAME?</v>
      </c>
    </row>
    <row r="15" spans="1:9" s="126" customFormat="1" ht="15" customHeight="1" x14ac:dyDescent="0.25">
      <c r="B15" s="271" t="s">
        <v>320</v>
      </c>
      <c r="C15" s="272" t="s">
        <v>319</v>
      </c>
      <c r="D15" s="275" t="s">
        <v>216</v>
      </c>
      <c r="E15" s="275">
        <v>41023.843217592592</v>
      </c>
      <c r="F15" s="276">
        <v>1</v>
      </c>
      <c r="G15" s="243">
        <f t="shared" si="1"/>
        <v>30</v>
      </c>
      <c r="H15" s="244"/>
      <c r="I15" s="71" t="e">
        <f>IF(COUNTIF((rName rData),H15),"","Name Error!")</f>
        <v>#NAME?</v>
      </c>
    </row>
    <row r="16" spans="1:9" s="126" customFormat="1" ht="15" customHeight="1" x14ac:dyDescent="0.25">
      <c r="B16" s="271" t="s">
        <v>320</v>
      </c>
      <c r="C16" s="272" t="s">
        <v>319</v>
      </c>
      <c r="D16" s="275" t="s">
        <v>216</v>
      </c>
      <c r="E16" s="275">
        <v>41024.464594907404</v>
      </c>
      <c r="F16" s="276">
        <v>4</v>
      </c>
      <c r="G16" s="243">
        <f t="shared" si="1"/>
        <v>30</v>
      </c>
      <c r="H16" s="244"/>
      <c r="I16" s="71" t="e">
        <f>IF(COUNTIF((rName rData),H16),"","Name Error!")</f>
        <v>#NAME?</v>
      </c>
    </row>
    <row r="17" spans="2:9" s="126" customFormat="1" ht="15" customHeight="1" x14ac:dyDescent="0.25">
      <c r="B17" s="271" t="s">
        <v>320</v>
      </c>
      <c r="C17" s="272" t="s">
        <v>319</v>
      </c>
      <c r="D17" s="275" t="s">
        <v>216</v>
      </c>
      <c r="E17" s="275">
        <v>41026.433055555557</v>
      </c>
      <c r="F17" s="276">
        <v>4</v>
      </c>
      <c r="G17" s="243">
        <f t="shared" si="1"/>
        <v>30</v>
      </c>
      <c r="H17" s="244"/>
      <c r="I17" s="71" t="e">
        <f>IF(COUNTIF((rName rData),H17),"","Name Error!")</f>
        <v>#NAME?</v>
      </c>
    </row>
    <row r="18" spans="2:9" s="126" customFormat="1" ht="15" customHeight="1" x14ac:dyDescent="0.25">
      <c r="B18" s="271" t="s">
        <v>320</v>
      </c>
      <c r="C18" s="272" t="s">
        <v>319</v>
      </c>
      <c r="D18" s="275" t="s">
        <v>216</v>
      </c>
      <c r="E18" s="275">
        <v>41027.926516203705</v>
      </c>
      <c r="F18" s="276">
        <v>1</v>
      </c>
      <c r="G18" s="243">
        <f t="shared" si="1"/>
        <v>31</v>
      </c>
      <c r="H18" s="244"/>
      <c r="I18" s="71" t="e">
        <f>IF(COUNTIF((rName rData),H18),"","Name Error!")</f>
        <v>#NAME?</v>
      </c>
    </row>
    <row r="19" spans="2:9" s="126" customFormat="1" ht="15" customHeight="1" x14ac:dyDescent="0.25">
      <c r="B19" s="271" t="s">
        <v>320</v>
      </c>
      <c r="C19" s="272" t="s">
        <v>319</v>
      </c>
      <c r="D19" s="275" t="s">
        <v>216</v>
      </c>
      <c r="E19" s="275">
        <v>41028.475138888891</v>
      </c>
      <c r="F19" s="276">
        <v>1</v>
      </c>
      <c r="G19" s="243">
        <f t="shared" si="1"/>
        <v>31</v>
      </c>
      <c r="H19" s="244"/>
      <c r="I19" s="71" t="e">
        <f>IF(COUNTIF((rName rData),H19),"","Name Error!")</f>
        <v>#NAME?</v>
      </c>
    </row>
    <row r="20" spans="2:9" s="126" customFormat="1" ht="15" customHeight="1" x14ac:dyDescent="0.25">
      <c r="B20" s="271" t="s">
        <v>267</v>
      </c>
      <c r="C20" s="272" t="s">
        <v>268</v>
      </c>
      <c r="D20" s="275" t="s">
        <v>216</v>
      </c>
      <c r="E20" s="275">
        <v>41141.667129629626</v>
      </c>
      <c r="F20" s="276">
        <v>3</v>
      </c>
      <c r="G20" s="243">
        <f t="shared" si="1"/>
        <v>47</v>
      </c>
      <c r="H20" s="244"/>
      <c r="I20" s="71" t="e">
        <f>IF(COUNTIF((rName rData),H20),"","Name Error!")</f>
        <v>#NAME?</v>
      </c>
    </row>
    <row r="21" spans="2:9" s="126" customFormat="1" ht="15" customHeight="1" x14ac:dyDescent="0.25">
      <c r="B21" s="271" t="s">
        <v>328</v>
      </c>
      <c r="C21" s="272" t="s">
        <v>327</v>
      </c>
      <c r="D21" s="275" t="s">
        <v>216</v>
      </c>
      <c r="E21" s="275">
        <v>41141.670543981483</v>
      </c>
      <c r="F21" s="276">
        <v>2</v>
      </c>
      <c r="G21" s="243">
        <f t="shared" si="1"/>
        <v>47</v>
      </c>
      <c r="H21" s="244"/>
      <c r="I21" s="71" t="e">
        <f>IF(COUNTIF((rName rData),H21),"","Name Error!")</f>
        <v>#NAME?</v>
      </c>
    </row>
    <row r="22" spans="2:9" s="126" customFormat="1" ht="15" customHeight="1" x14ac:dyDescent="0.25">
      <c r="B22" s="271" t="s">
        <v>360</v>
      </c>
      <c r="C22" s="272" t="s">
        <v>359</v>
      </c>
      <c r="D22" s="275" t="s">
        <v>216</v>
      </c>
      <c r="E22" s="275">
        <v>41142.363576388889</v>
      </c>
      <c r="F22" s="276">
        <v>7</v>
      </c>
      <c r="G22" s="243">
        <f t="shared" si="1"/>
        <v>47</v>
      </c>
      <c r="H22" s="244"/>
      <c r="I22" s="71" t="e">
        <f>IF(COUNTIF((rName rData),H22),"","Name Error!")</f>
        <v>#NAME?</v>
      </c>
    </row>
    <row r="23" spans="2:9" s="126" customFormat="1" ht="15" customHeight="1" x14ac:dyDescent="0.25">
      <c r="B23" s="271" t="s">
        <v>328</v>
      </c>
      <c r="C23" s="272" t="s">
        <v>327</v>
      </c>
      <c r="D23" s="275" t="s">
        <v>216</v>
      </c>
      <c r="E23" s="275">
        <v>41142.661817129629</v>
      </c>
      <c r="F23" s="276">
        <v>2</v>
      </c>
      <c r="G23" s="243">
        <f t="shared" si="1"/>
        <v>47</v>
      </c>
      <c r="H23" s="244"/>
      <c r="I23" s="71" t="e">
        <f>IF(COUNTIF((rName rData),H23),"","Name Error!")</f>
        <v>#NAME?</v>
      </c>
    </row>
    <row r="24" spans="2:9" s="126" customFormat="1" ht="15" customHeight="1" x14ac:dyDescent="0.25">
      <c r="B24" s="271" t="s">
        <v>320</v>
      </c>
      <c r="C24" s="272" t="s">
        <v>319</v>
      </c>
      <c r="D24" s="275" t="s">
        <v>216</v>
      </c>
      <c r="E24" s="275">
        <v>41142.789780092593</v>
      </c>
      <c r="F24" s="276">
        <v>4</v>
      </c>
      <c r="G24" s="243">
        <f t="shared" si="1"/>
        <v>47</v>
      </c>
      <c r="H24" s="244"/>
      <c r="I24" s="71" t="e">
        <f>IF(COUNTIF((rName rData),H24),"","Name Error!")</f>
        <v>#NAME?</v>
      </c>
    </row>
    <row r="25" spans="2:9" s="126" customFormat="1" ht="15" customHeight="1" x14ac:dyDescent="0.25">
      <c r="B25" s="271" t="s">
        <v>267</v>
      </c>
      <c r="C25" s="272" t="s">
        <v>268</v>
      </c>
      <c r="D25" s="275" t="s">
        <v>216</v>
      </c>
      <c r="E25" s="275">
        <v>41142.848101851851</v>
      </c>
      <c r="F25" s="276">
        <v>2</v>
      </c>
      <c r="G25" s="243">
        <f t="shared" si="1"/>
        <v>47</v>
      </c>
      <c r="H25" s="244"/>
      <c r="I25" s="71" t="e">
        <f>IF(COUNTIF((rName rData),H25),"","Name Error!")</f>
        <v>#NAME?</v>
      </c>
    </row>
    <row r="26" spans="2:9" s="126" customFormat="1" ht="15" customHeight="1" x14ac:dyDescent="0.25">
      <c r="B26" s="271" t="s">
        <v>328</v>
      </c>
      <c r="C26" s="272" t="s">
        <v>327</v>
      </c>
      <c r="D26" s="275" t="s">
        <v>216</v>
      </c>
      <c r="E26" s="275">
        <v>41143.688472222224</v>
      </c>
      <c r="F26" s="276">
        <v>2</v>
      </c>
      <c r="G26" s="243">
        <f t="shared" si="1"/>
        <v>47</v>
      </c>
      <c r="H26" s="244"/>
      <c r="I26" s="71" t="e">
        <f>IF(COUNTIF((rName rData),H26),"","Name Error!")</f>
        <v>#NAME?</v>
      </c>
    </row>
    <row r="27" spans="2:9" s="126" customFormat="1" ht="15" customHeight="1" x14ac:dyDescent="0.25">
      <c r="B27" s="271" t="s">
        <v>267</v>
      </c>
      <c r="C27" s="272" t="s">
        <v>268</v>
      </c>
      <c r="D27" s="275" t="s">
        <v>216</v>
      </c>
      <c r="E27" s="275">
        <v>41143.755428240744</v>
      </c>
      <c r="F27" s="276">
        <v>4</v>
      </c>
      <c r="G27" s="243">
        <f t="shared" si="1"/>
        <v>47</v>
      </c>
      <c r="H27" s="244"/>
      <c r="I27" s="71" t="e">
        <f>IF(COUNTIF((rName rData),H27),"","Name Error!")</f>
        <v>#NAME?</v>
      </c>
    </row>
    <row r="28" spans="2:9" s="126" customFormat="1" ht="15" customHeight="1" x14ac:dyDescent="0.25">
      <c r="B28" s="271" t="s">
        <v>360</v>
      </c>
      <c r="C28" s="272" t="s">
        <v>359</v>
      </c>
      <c r="D28" s="275" t="s">
        <v>216</v>
      </c>
      <c r="E28" s="275">
        <v>41143.791875000003</v>
      </c>
      <c r="F28" s="276">
        <v>1</v>
      </c>
      <c r="G28" s="243">
        <f t="shared" si="1"/>
        <v>47</v>
      </c>
      <c r="H28" s="244"/>
      <c r="I28" s="71" t="e">
        <f>IF(COUNTIF((rName rData),H28),"","Name Error!")</f>
        <v>#NAME?</v>
      </c>
    </row>
    <row r="29" spans="2:9" s="126" customFormat="1" ht="15" customHeight="1" x14ac:dyDescent="0.25">
      <c r="B29" s="271" t="s">
        <v>320</v>
      </c>
      <c r="C29" s="272" t="s">
        <v>319</v>
      </c>
      <c r="D29" s="275" t="s">
        <v>216</v>
      </c>
      <c r="E29" s="275">
        <v>41143.986215277779</v>
      </c>
      <c r="F29" s="276">
        <v>1</v>
      </c>
      <c r="G29" s="243">
        <f t="shared" si="1"/>
        <v>47</v>
      </c>
      <c r="H29" s="244"/>
      <c r="I29" s="71" t="e">
        <f>IF(COUNTIF((rName rData),H29),"","Name Error!")</f>
        <v>#NAME?</v>
      </c>
    </row>
    <row r="30" spans="2:9" s="126" customFormat="1" ht="15" customHeight="1" x14ac:dyDescent="0.25">
      <c r="B30" s="271" t="s">
        <v>328</v>
      </c>
      <c r="C30" s="272" t="s">
        <v>327</v>
      </c>
      <c r="D30" s="275" t="s">
        <v>216</v>
      </c>
      <c r="E30" s="275">
        <v>41144.664189814815</v>
      </c>
      <c r="F30" s="276">
        <v>2</v>
      </c>
      <c r="G30" s="243">
        <f t="shared" si="1"/>
        <v>47</v>
      </c>
      <c r="H30" s="244"/>
      <c r="I30" s="71" t="e">
        <f>IF(COUNTIF((rName rData),H30),"","Name Error!")</f>
        <v>#NAME?</v>
      </c>
    </row>
    <row r="31" spans="2:9" s="126" customFormat="1" ht="15" customHeight="1" x14ac:dyDescent="0.25">
      <c r="B31" s="271" t="s">
        <v>360</v>
      </c>
      <c r="C31" s="272" t="s">
        <v>359</v>
      </c>
      <c r="D31" s="275" t="s">
        <v>216</v>
      </c>
      <c r="E31" s="275">
        <v>41144.781076388892</v>
      </c>
      <c r="F31" s="276">
        <v>2</v>
      </c>
      <c r="G31" s="243">
        <f t="shared" si="1"/>
        <v>47</v>
      </c>
      <c r="H31" s="244"/>
      <c r="I31" s="71" t="e">
        <f>IF(COUNTIF((rName rData),H31),"","Name Error!")</f>
        <v>#NAME?</v>
      </c>
    </row>
    <row r="32" spans="2:9" s="126" customFormat="1" ht="15" customHeight="1" x14ac:dyDescent="0.25">
      <c r="B32" s="271" t="s">
        <v>267</v>
      </c>
      <c r="C32" s="272" t="s">
        <v>268</v>
      </c>
      <c r="D32" s="275" t="s">
        <v>216</v>
      </c>
      <c r="E32" s="275">
        <v>41144.870300925926</v>
      </c>
      <c r="F32" s="276">
        <v>3</v>
      </c>
      <c r="G32" s="243">
        <f t="shared" si="1"/>
        <v>47</v>
      </c>
      <c r="H32" s="244"/>
      <c r="I32" s="71" t="e">
        <f>IF(COUNTIF((rName rData),H32),"","Name Error!")</f>
        <v>#NAME?</v>
      </c>
    </row>
    <row r="33" spans="2:9" s="126" customFormat="1" ht="15" customHeight="1" x14ac:dyDescent="0.25">
      <c r="B33" s="271" t="s">
        <v>267</v>
      </c>
      <c r="C33" s="272" t="s">
        <v>268</v>
      </c>
      <c r="D33" s="275" t="s">
        <v>216</v>
      </c>
      <c r="E33" s="275">
        <v>41145.363298611112</v>
      </c>
      <c r="F33" s="276">
        <v>2</v>
      </c>
      <c r="G33" s="243">
        <f t="shared" si="1"/>
        <v>47</v>
      </c>
      <c r="H33" s="244"/>
      <c r="I33" s="71" t="e">
        <f>IF(COUNTIF((rName rData),H33),"","Name Error!")</f>
        <v>#NAME?</v>
      </c>
    </row>
    <row r="34" spans="2:9" s="126" customFormat="1" ht="15" customHeight="1" x14ac:dyDescent="0.25">
      <c r="B34" s="271" t="s">
        <v>360</v>
      </c>
      <c r="C34" s="272" t="s">
        <v>359</v>
      </c>
      <c r="D34" s="275" t="s">
        <v>216</v>
      </c>
      <c r="E34" s="275">
        <v>41145.653611111113</v>
      </c>
      <c r="F34" s="276">
        <v>4</v>
      </c>
      <c r="G34" s="243">
        <f t="shared" si="1"/>
        <v>47</v>
      </c>
      <c r="H34" s="244"/>
      <c r="I34" s="71" t="e">
        <f>IF(COUNTIF((rName rData),H34),"","Name Error!")</f>
        <v>#NAME?</v>
      </c>
    </row>
    <row r="35" spans="2:9" s="126" customFormat="1" ht="15" customHeight="1" x14ac:dyDescent="0.25">
      <c r="B35" s="271" t="s">
        <v>328</v>
      </c>
      <c r="C35" s="272" t="s">
        <v>327</v>
      </c>
      <c r="D35" s="275" t="s">
        <v>216</v>
      </c>
      <c r="E35" s="275">
        <v>41145.704618055555</v>
      </c>
      <c r="F35" s="276">
        <v>2</v>
      </c>
      <c r="G35" s="243">
        <f t="shared" si="1"/>
        <v>47</v>
      </c>
      <c r="H35" s="244"/>
      <c r="I35" s="71" t="e">
        <f>IF(COUNTIF((rName rData),H35),"","Name Error!")</f>
        <v>#NAME?</v>
      </c>
    </row>
    <row r="36" spans="2:9" s="126" customFormat="1" ht="15" customHeight="1" x14ac:dyDescent="0.25">
      <c r="B36" s="271" t="s">
        <v>267</v>
      </c>
      <c r="C36" s="272" t="s">
        <v>268</v>
      </c>
      <c r="D36" s="275" t="s">
        <v>216</v>
      </c>
      <c r="E36" s="275">
        <v>41147.904305555552</v>
      </c>
      <c r="F36" s="276">
        <v>1</v>
      </c>
      <c r="G36" s="243">
        <f t="shared" si="1"/>
        <v>48</v>
      </c>
      <c r="H36" s="244"/>
      <c r="I36" s="71" t="e">
        <f>IF(COUNTIF((rName rData),H36),"","Name Error!")</f>
        <v>#NAME?</v>
      </c>
    </row>
    <row r="37" spans="2:9" s="126" customFormat="1" ht="15" customHeight="1" x14ac:dyDescent="0.25">
      <c r="B37" s="271" t="s">
        <v>320</v>
      </c>
      <c r="C37" s="272" t="s">
        <v>319</v>
      </c>
      <c r="D37" s="275" t="s">
        <v>216</v>
      </c>
      <c r="E37" s="275">
        <v>41147.98574074074</v>
      </c>
      <c r="F37" s="276">
        <v>1</v>
      </c>
      <c r="G37" s="243">
        <f t="shared" si="1"/>
        <v>48</v>
      </c>
      <c r="H37" s="244"/>
      <c r="I37" s="71" t="e">
        <f>IF(COUNTIF((rName rData),H37),"","Name Error!")</f>
        <v>#NAME?</v>
      </c>
    </row>
    <row r="38" spans="2:9" s="126" customFormat="1" ht="15" customHeight="1" x14ac:dyDescent="0.25">
      <c r="B38" s="271" t="s">
        <v>360</v>
      </c>
      <c r="C38" s="272" t="s">
        <v>359</v>
      </c>
      <c r="D38" s="275" t="s">
        <v>216</v>
      </c>
      <c r="E38" s="275">
        <v>41148.402349537035</v>
      </c>
      <c r="F38" s="276">
        <v>1</v>
      </c>
      <c r="G38" s="243">
        <f t="shared" si="1"/>
        <v>48</v>
      </c>
      <c r="H38" s="244"/>
      <c r="I38" s="71" t="e">
        <f>IF(COUNTIF((rName rData),H38),"","Name Error!")</f>
        <v>#NAME?</v>
      </c>
    </row>
    <row r="39" spans="2:9" s="126" customFormat="1" ht="15" customHeight="1" x14ac:dyDescent="0.25">
      <c r="B39" s="271" t="s">
        <v>320</v>
      </c>
      <c r="C39" s="272" t="s">
        <v>319</v>
      </c>
      <c r="D39" s="275" t="s">
        <v>216</v>
      </c>
      <c r="E39" s="275">
        <v>41148.637071759258</v>
      </c>
      <c r="F39" s="276">
        <v>2</v>
      </c>
      <c r="G39" s="243">
        <f t="shared" si="1"/>
        <v>48</v>
      </c>
      <c r="H39" s="244"/>
      <c r="I39" s="71" t="e">
        <f>IF(COUNTIF((rName rData),H39),"","Name Error!")</f>
        <v>#NAME?</v>
      </c>
    </row>
    <row r="40" spans="2:9" s="126" customFormat="1" ht="15" customHeight="1" x14ac:dyDescent="0.25">
      <c r="B40" s="271" t="s">
        <v>328</v>
      </c>
      <c r="C40" s="272" t="s">
        <v>327</v>
      </c>
      <c r="D40" s="275" t="s">
        <v>216</v>
      </c>
      <c r="E40" s="275">
        <v>41148.649583333332</v>
      </c>
      <c r="F40" s="276">
        <v>3</v>
      </c>
      <c r="G40" s="243">
        <f t="shared" si="1"/>
        <v>48</v>
      </c>
      <c r="H40" s="244"/>
      <c r="I40" s="71" t="e">
        <f>IF(COUNTIF((rName rData),H40),"","Name Error!")</f>
        <v>#NAME?</v>
      </c>
    </row>
    <row r="41" spans="2:9" s="126" customFormat="1" ht="15" customHeight="1" x14ac:dyDescent="0.25">
      <c r="B41" s="271" t="s">
        <v>267</v>
      </c>
      <c r="C41" s="272" t="s">
        <v>268</v>
      </c>
      <c r="D41" s="275" t="s">
        <v>216</v>
      </c>
      <c r="E41" s="275">
        <v>41148.77847222222</v>
      </c>
      <c r="F41" s="276">
        <v>1</v>
      </c>
      <c r="G41" s="243">
        <f t="shared" si="1"/>
        <v>48</v>
      </c>
      <c r="H41" s="244"/>
      <c r="I41" s="71" t="e">
        <f>IF(COUNTIF((rName rData),H41),"","Name Error!")</f>
        <v>#NAME?</v>
      </c>
    </row>
    <row r="42" spans="2:9" s="126" customFormat="1" ht="15" customHeight="1" x14ac:dyDescent="0.25">
      <c r="B42" s="271" t="s">
        <v>328</v>
      </c>
      <c r="C42" s="272" t="s">
        <v>327</v>
      </c>
      <c r="D42" s="275" t="s">
        <v>216</v>
      </c>
      <c r="E42" s="275">
        <v>41149.390856481485</v>
      </c>
      <c r="F42" s="276">
        <v>1</v>
      </c>
      <c r="G42" s="243">
        <f t="shared" si="1"/>
        <v>48</v>
      </c>
      <c r="H42" s="244"/>
      <c r="I42" s="71" t="e">
        <f>IF(COUNTIF((rName rData),H42),"","Name Error!")</f>
        <v>#NAME?</v>
      </c>
    </row>
    <row r="43" spans="2:9" s="126" customFormat="1" ht="15" customHeight="1" x14ac:dyDescent="0.25">
      <c r="B43" s="271" t="s">
        <v>267</v>
      </c>
      <c r="C43" s="272" t="s">
        <v>268</v>
      </c>
      <c r="D43" s="275" t="s">
        <v>216</v>
      </c>
      <c r="E43" s="275">
        <v>41150.936493055553</v>
      </c>
      <c r="F43" s="276">
        <v>1</v>
      </c>
      <c r="G43" s="243">
        <f t="shared" si="1"/>
        <v>48</v>
      </c>
      <c r="H43" s="244"/>
      <c r="I43" s="71" t="e">
        <f>IF(COUNTIF((rName rData),H43),"","Name Error!")</f>
        <v>#NAME?</v>
      </c>
    </row>
    <row r="44" spans="2:9" s="126" customFormat="1" ht="15" customHeight="1" x14ac:dyDescent="0.25">
      <c r="B44" s="271" t="s">
        <v>360</v>
      </c>
      <c r="C44" s="272" t="s">
        <v>359</v>
      </c>
      <c r="D44" s="275" t="s">
        <v>216</v>
      </c>
      <c r="E44" s="275">
        <v>41155.62667824074</v>
      </c>
      <c r="F44" s="276">
        <v>1</v>
      </c>
      <c r="G44" s="243">
        <f t="shared" si="1"/>
        <v>49</v>
      </c>
      <c r="H44" s="244"/>
      <c r="I44" s="71" t="e">
        <f>IF(COUNTIF((rName rData),H44),"","Name Error!")</f>
        <v>#NAME?</v>
      </c>
    </row>
    <row r="45" spans="2:9" s="126" customFormat="1" ht="15" customHeight="1" x14ac:dyDescent="0.25">
      <c r="B45" s="271" t="s">
        <v>328</v>
      </c>
      <c r="C45" s="272" t="s">
        <v>327</v>
      </c>
      <c r="D45" s="275" t="s">
        <v>216</v>
      </c>
      <c r="E45" s="275">
        <v>41155.686909722222</v>
      </c>
      <c r="F45" s="276">
        <v>2</v>
      </c>
      <c r="G45" s="243">
        <f t="shared" si="1"/>
        <v>49</v>
      </c>
      <c r="H45" s="244"/>
      <c r="I45" s="71" t="e">
        <f>IF(COUNTIF((rName rData),H45),"","Name Error!")</f>
        <v>#NAME?</v>
      </c>
    </row>
    <row r="46" spans="2:9" s="126" customFormat="1" ht="15" customHeight="1" x14ac:dyDescent="0.25">
      <c r="B46" s="271" t="s">
        <v>328</v>
      </c>
      <c r="C46" s="272" t="s">
        <v>327</v>
      </c>
      <c r="D46" s="275" t="s">
        <v>216</v>
      </c>
      <c r="E46" s="275">
        <v>41156.50409722222</v>
      </c>
      <c r="F46" s="276">
        <v>5</v>
      </c>
      <c r="G46" s="243">
        <f t="shared" si="1"/>
        <v>49</v>
      </c>
      <c r="H46" s="244"/>
      <c r="I46" s="71" t="e">
        <f>IF(COUNTIF((rName rData),H46),"","Name Error!")</f>
        <v>#NAME?</v>
      </c>
    </row>
    <row r="47" spans="2:9" s="126" customFormat="1" ht="15" customHeight="1" x14ac:dyDescent="0.25">
      <c r="B47" s="271" t="s">
        <v>328</v>
      </c>
      <c r="C47" s="272" t="s">
        <v>327</v>
      </c>
      <c r="D47" s="275" t="s">
        <v>216</v>
      </c>
      <c r="E47" s="275">
        <v>41157.64571759259</v>
      </c>
      <c r="F47" s="276">
        <v>1</v>
      </c>
      <c r="G47" s="243">
        <f t="shared" si="1"/>
        <v>49</v>
      </c>
      <c r="H47" s="244"/>
      <c r="I47" s="71" t="e">
        <f>IF(COUNTIF((rName rData),H47),"","Name Error!")</f>
        <v>#NAME?</v>
      </c>
    </row>
    <row r="48" spans="2:9" s="126" customFormat="1" ht="15" customHeight="1" x14ac:dyDescent="0.25">
      <c r="B48" s="271" t="s">
        <v>328</v>
      </c>
      <c r="C48" s="272" t="s">
        <v>327</v>
      </c>
      <c r="D48" s="275" t="s">
        <v>216</v>
      </c>
      <c r="E48" s="275">
        <v>41158.628541666665</v>
      </c>
      <c r="F48" s="276">
        <v>2</v>
      </c>
      <c r="G48" s="243">
        <f t="shared" si="1"/>
        <v>49</v>
      </c>
      <c r="H48" s="244"/>
      <c r="I48" s="71" t="e">
        <f>IF(COUNTIF((rName rData),H48),"","Name Error!")</f>
        <v>#NAME?</v>
      </c>
    </row>
    <row r="49" spans="2:9" s="126" customFormat="1" ht="15" customHeight="1" x14ac:dyDescent="0.25">
      <c r="B49" s="271" t="s">
        <v>328</v>
      </c>
      <c r="C49" s="272" t="s">
        <v>327</v>
      </c>
      <c r="D49" s="275" t="s">
        <v>216</v>
      </c>
      <c r="E49" s="275">
        <v>41159.679988425924</v>
      </c>
      <c r="F49" s="276">
        <v>1</v>
      </c>
      <c r="G49" s="243">
        <f t="shared" si="1"/>
        <v>49</v>
      </c>
      <c r="H49" s="244"/>
      <c r="I49" s="71" t="e">
        <f>IF(COUNTIF((rName rData),H49),"","Name Error!")</f>
        <v>#NAME?</v>
      </c>
    </row>
    <row r="50" spans="2:9" s="126" customFormat="1" ht="15" customHeight="1" x14ac:dyDescent="0.25">
      <c r="B50" s="271" t="s">
        <v>328</v>
      </c>
      <c r="C50" s="272" t="s">
        <v>327</v>
      </c>
      <c r="D50" s="275" t="s">
        <v>216</v>
      </c>
      <c r="E50" s="275">
        <v>41161.735312500001</v>
      </c>
      <c r="F50" s="276">
        <v>2</v>
      </c>
      <c r="G50" s="243">
        <f t="shared" si="1"/>
        <v>50</v>
      </c>
      <c r="H50" s="244"/>
      <c r="I50" s="71" t="e">
        <f>IF(COUNTIF((rName rData),H50),"","Name Error!")</f>
        <v>#NAME?</v>
      </c>
    </row>
    <row r="51" spans="2:9" s="126" customFormat="1" ht="15" customHeight="1" x14ac:dyDescent="0.25">
      <c r="B51" s="271" t="s">
        <v>328</v>
      </c>
      <c r="C51" s="272" t="s">
        <v>327</v>
      </c>
      <c r="D51" s="275" t="s">
        <v>216</v>
      </c>
      <c r="E51" s="275">
        <v>41162.569803240738</v>
      </c>
      <c r="F51" s="276">
        <v>3</v>
      </c>
      <c r="G51" s="243">
        <f t="shared" si="1"/>
        <v>50</v>
      </c>
      <c r="H51" s="244"/>
      <c r="I51" s="71" t="e">
        <f>IF(COUNTIF((rName rData),H51),"","Name Error!")</f>
        <v>#NAME?</v>
      </c>
    </row>
    <row r="52" spans="2:9" s="126" customFormat="1" ht="15" customHeight="1" x14ac:dyDescent="0.25">
      <c r="B52" s="271" t="s">
        <v>328</v>
      </c>
      <c r="C52" s="272" t="s">
        <v>327</v>
      </c>
      <c r="D52" s="275" t="s">
        <v>216</v>
      </c>
      <c r="E52" s="275">
        <v>41163.84851851852</v>
      </c>
      <c r="F52" s="276">
        <v>2</v>
      </c>
      <c r="G52" s="243">
        <f t="shared" si="1"/>
        <v>50</v>
      </c>
      <c r="H52" s="244"/>
      <c r="I52" s="71" t="e">
        <f>IF(COUNTIF((rName rData),H52),"","Name Error!")</f>
        <v>#NAME?</v>
      </c>
    </row>
    <row r="53" spans="2:9" s="126" customFormat="1" ht="15" customHeight="1" x14ac:dyDescent="0.25">
      <c r="B53" s="271" t="s">
        <v>328</v>
      </c>
      <c r="C53" s="272" t="s">
        <v>327</v>
      </c>
      <c r="D53" s="275" t="s">
        <v>216</v>
      </c>
      <c r="E53" s="275">
        <v>41165.586053240739</v>
      </c>
      <c r="F53" s="276">
        <v>3</v>
      </c>
      <c r="G53" s="243">
        <f t="shared" si="1"/>
        <v>50</v>
      </c>
      <c r="H53" s="244"/>
      <c r="I53" s="71" t="e">
        <f>IF(COUNTIF((rName rData),H53),"","Name Error!")</f>
        <v>#NAME?</v>
      </c>
    </row>
    <row r="54" spans="2:9" s="126" customFormat="1" ht="15" customHeight="1" x14ac:dyDescent="0.25">
      <c r="B54" s="271" t="s">
        <v>360</v>
      </c>
      <c r="C54" s="272" t="s">
        <v>359</v>
      </c>
      <c r="D54" s="275" t="s">
        <v>216</v>
      </c>
      <c r="E54" s="275">
        <v>41165.74895833333</v>
      </c>
      <c r="F54" s="276">
        <v>1</v>
      </c>
      <c r="G54" s="243">
        <f t="shared" si="1"/>
        <v>50</v>
      </c>
      <c r="H54" s="244"/>
      <c r="I54" s="71" t="e">
        <f>IF(COUNTIF((rName rData),H54),"","Name Error!")</f>
        <v>#NAME?</v>
      </c>
    </row>
    <row r="55" spans="2:9" s="126" customFormat="1" ht="15" customHeight="1" x14ac:dyDescent="0.25">
      <c r="B55" s="271" t="s">
        <v>328</v>
      </c>
      <c r="C55" s="272" t="s">
        <v>327</v>
      </c>
      <c r="D55" s="275" t="s">
        <v>216</v>
      </c>
      <c r="E55" s="275">
        <v>41169.893657407411</v>
      </c>
      <c r="F55" s="276">
        <v>1</v>
      </c>
      <c r="G55" s="243">
        <f t="shared" si="1"/>
        <v>51</v>
      </c>
      <c r="H55" s="244"/>
      <c r="I55" s="71" t="e">
        <f>IF(COUNTIF((rName rData),H55),"","Name Error!")</f>
        <v>#NAME?</v>
      </c>
    </row>
    <row r="56" spans="2:9" s="126" customFormat="1" ht="15" customHeight="1" x14ac:dyDescent="0.25">
      <c r="B56" s="271" t="s">
        <v>328</v>
      </c>
      <c r="C56" s="272" t="s">
        <v>327</v>
      </c>
      <c r="D56" s="275" t="s">
        <v>216</v>
      </c>
      <c r="E56" s="275">
        <v>41173.047905092593</v>
      </c>
      <c r="F56" s="276">
        <v>1</v>
      </c>
      <c r="G56" s="243">
        <f t="shared" si="1"/>
        <v>51</v>
      </c>
      <c r="H56" s="244"/>
      <c r="I56" s="71" t="e">
        <f>IF(COUNTIF((rName rData),H56),"","Name Error!")</f>
        <v>#NAME?</v>
      </c>
    </row>
    <row r="57" spans="2:9" s="126" customFormat="1" ht="15" customHeight="1" x14ac:dyDescent="0.25">
      <c r="B57" s="271" t="s">
        <v>328</v>
      </c>
      <c r="C57" s="272" t="s">
        <v>327</v>
      </c>
      <c r="D57" s="275" t="s">
        <v>216</v>
      </c>
      <c r="E57" s="275">
        <v>41174.885451388887</v>
      </c>
      <c r="F57" s="276">
        <v>1</v>
      </c>
      <c r="G57" s="243">
        <f t="shared" si="1"/>
        <v>52</v>
      </c>
      <c r="H57" s="244"/>
      <c r="I57" s="71" t="e">
        <f>IF(COUNTIF((rName rData),H57),"","Name Error!")</f>
        <v>#NAME?</v>
      </c>
    </row>
    <row r="58" spans="2:9" s="126" customFormat="1" ht="15" customHeight="1" x14ac:dyDescent="0.25">
      <c r="B58" s="271" t="s">
        <v>328</v>
      </c>
      <c r="C58" s="272" t="s">
        <v>327</v>
      </c>
      <c r="D58" s="275" t="s">
        <v>216</v>
      </c>
      <c r="E58" s="275">
        <v>41176.6094212963</v>
      </c>
      <c r="F58" s="276">
        <v>3</v>
      </c>
      <c r="G58" s="243">
        <f t="shared" si="1"/>
        <v>52</v>
      </c>
      <c r="H58" s="244"/>
      <c r="I58" s="71" t="e">
        <f>IF(COUNTIF((rName rData),H58),"","Name Error!")</f>
        <v>#NAME?</v>
      </c>
    </row>
    <row r="59" spans="2:9" s="126" customFormat="1" ht="15" customHeight="1" x14ac:dyDescent="0.25">
      <c r="B59" s="271" t="s">
        <v>328</v>
      </c>
      <c r="C59" s="272" t="s">
        <v>327</v>
      </c>
      <c r="D59" s="275" t="s">
        <v>216</v>
      </c>
      <c r="E59" s="275">
        <v>41178.849699074075</v>
      </c>
      <c r="F59" s="276">
        <v>1</v>
      </c>
      <c r="G59" s="243">
        <f t="shared" si="1"/>
        <v>52</v>
      </c>
      <c r="H59" s="244"/>
      <c r="I59" s="71" t="e">
        <f>IF(COUNTIF((rName rData),H59),"","Name Error!")</f>
        <v>#NAME?</v>
      </c>
    </row>
    <row r="60" spans="2:9" s="126" customFormat="1" ht="15" customHeight="1" x14ac:dyDescent="0.25">
      <c r="B60" s="271" t="s">
        <v>328</v>
      </c>
      <c r="C60" s="272" t="s">
        <v>327</v>
      </c>
      <c r="D60" s="275" t="s">
        <v>216</v>
      </c>
      <c r="E60" s="275">
        <v>41179.656655092593</v>
      </c>
      <c r="F60" s="276">
        <v>1</v>
      </c>
      <c r="G60" s="243">
        <f t="shared" si="1"/>
        <v>52</v>
      </c>
      <c r="H60" s="244"/>
      <c r="I60" s="71" t="e">
        <f>IF(COUNTIF((rName rData),H60),"","Name Error!")</f>
        <v>#NAME?</v>
      </c>
    </row>
    <row r="61" spans="2:9" s="126" customFormat="1" ht="15" customHeight="1" x14ac:dyDescent="0.25">
      <c r="B61" s="271" t="s">
        <v>354</v>
      </c>
      <c r="C61" s="272" t="s">
        <v>353</v>
      </c>
      <c r="D61" s="275" t="s">
        <v>216</v>
      </c>
      <c r="E61" s="275">
        <v>41229.62972222222</v>
      </c>
      <c r="F61" s="276">
        <v>1</v>
      </c>
      <c r="G61" s="243">
        <f t="shared" si="1"/>
        <v>59</v>
      </c>
      <c r="H61" s="244"/>
      <c r="I61" s="71" t="e">
        <f>IF(COUNTIF((rName rData),H61),"","Name Error!")</f>
        <v>#NAME?</v>
      </c>
    </row>
    <row r="62" spans="2:9" s="126" customFormat="1" ht="15" customHeight="1" x14ac:dyDescent="0.25">
      <c r="B62" s="271" t="s">
        <v>337</v>
      </c>
      <c r="C62" s="272" t="s">
        <v>336</v>
      </c>
      <c r="D62" s="275" t="s">
        <v>216</v>
      </c>
      <c r="E62" s="275">
        <v>41229.630023148151</v>
      </c>
      <c r="F62" s="276">
        <v>1</v>
      </c>
      <c r="G62" s="243">
        <f t="shared" si="1"/>
        <v>59</v>
      </c>
      <c r="H62" s="244"/>
      <c r="I62" s="71" t="e">
        <f>IF(COUNTIF((rName rData),H62),"","Name Error!")</f>
        <v>#NAME?</v>
      </c>
    </row>
    <row r="63" spans="2:9" s="126" customFormat="1" ht="15" customHeight="1" x14ac:dyDescent="0.25">
      <c r="B63" s="271" t="s">
        <v>362</v>
      </c>
      <c r="C63" s="272" t="s">
        <v>361</v>
      </c>
      <c r="D63" s="275" t="s">
        <v>216</v>
      </c>
      <c r="E63" s="275">
        <v>41229.638391203705</v>
      </c>
      <c r="F63" s="276">
        <v>1</v>
      </c>
      <c r="G63" s="243">
        <f t="shared" si="1"/>
        <v>59</v>
      </c>
      <c r="H63" s="244"/>
      <c r="I63" s="71" t="e">
        <f>IF(COUNTIF((rName rData),H63),"","Name Error!")</f>
        <v>#NAME?</v>
      </c>
    </row>
    <row r="64" spans="2:9" s="126" customFormat="1" ht="15" customHeight="1" x14ac:dyDescent="0.25">
      <c r="B64" s="271" t="s">
        <v>335</v>
      </c>
      <c r="C64" s="272" t="s">
        <v>334</v>
      </c>
      <c r="D64" s="275" t="s">
        <v>216</v>
      </c>
      <c r="E64" s="275">
        <v>41229.673252314817</v>
      </c>
      <c r="F64" s="276">
        <v>1</v>
      </c>
      <c r="G64" s="243">
        <f t="shared" si="1"/>
        <v>59</v>
      </c>
      <c r="H64" s="244"/>
      <c r="I64" s="71" t="e">
        <f>IF(COUNTIF((rName rData),H64),"","Name Error!")</f>
        <v>#NAME?</v>
      </c>
    </row>
    <row r="65" spans="2:9" s="126" customFormat="1" ht="15" customHeight="1" x14ac:dyDescent="0.25">
      <c r="B65" s="271" t="s">
        <v>326</v>
      </c>
      <c r="C65" s="272" t="s">
        <v>325</v>
      </c>
      <c r="D65" s="275" t="s">
        <v>216</v>
      </c>
      <c r="E65" s="275">
        <v>41229.690011574072</v>
      </c>
      <c r="F65" s="276">
        <v>1</v>
      </c>
      <c r="G65" s="243">
        <f t="shared" si="1"/>
        <v>59</v>
      </c>
      <c r="H65" s="244"/>
      <c r="I65" s="71" t="e">
        <f>IF(COUNTIF((rName rData),H65),"","Name Error!")</f>
        <v>#NAME?</v>
      </c>
    </row>
    <row r="66" spans="2:9" s="126" customFormat="1" ht="15" customHeight="1" x14ac:dyDescent="0.25">
      <c r="B66" s="271" t="s">
        <v>371</v>
      </c>
      <c r="C66" s="272" t="s">
        <v>370</v>
      </c>
      <c r="D66" s="275" t="s">
        <v>216</v>
      </c>
      <c r="E66" s="275">
        <v>41229.691481481481</v>
      </c>
      <c r="F66" s="276">
        <v>1</v>
      </c>
      <c r="G66" s="243">
        <f t="shared" si="1"/>
        <v>59</v>
      </c>
      <c r="H66" s="244"/>
      <c r="I66" s="71" t="e">
        <f>IF(COUNTIF((rName rData),H66),"","Name Error!")</f>
        <v>#NAME?</v>
      </c>
    </row>
    <row r="67" spans="2:9" s="126" customFormat="1" ht="15" customHeight="1" x14ac:dyDescent="0.25">
      <c r="B67" s="271" t="s">
        <v>356</v>
      </c>
      <c r="C67" s="272" t="s">
        <v>355</v>
      </c>
      <c r="D67" s="275" t="s">
        <v>216</v>
      </c>
      <c r="E67" s="275">
        <v>41229.839178240742</v>
      </c>
      <c r="F67" s="276">
        <v>1</v>
      </c>
      <c r="G67" s="243">
        <f t="shared" si="1"/>
        <v>59</v>
      </c>
      <c r="H67" s="244"/>
      <c r="I67" s="71" t="e">
        <f>IF(COUNTIF((rName rData),H67),"","Name Error!")</f>
        <v>#NAME?</v>
      </c>
    </row>
    <row r="68" spans="2:9" s="126" customFormat="1" ht="15" customHeight="1" x14ac:dyDescent="0.25">
      <c r="B68" s="271" t="s">
        <v>369</v>
      </c>
      <c r="C68" s="272" t="s">
        <v>368</v>
      </c>
      <c r="D68" s="275" t="s">
        <v>216</v>
      </c>
      <c r="E68" s="275">
        <v>41230.336597222224</v>
      </c>
      <c r="F68" s="276">
        <v>1</v>
      </c>
      <c r="G68" s="243">
        <f t="shared" si="1"/>
        <v>60</v>
      </c>
      <c r="H68" s="244"/>
      <c r="I68" s="71" t="e">
        <f>IF(COUNTIF((rName rData),H68),"","Name Error!")</f>
        <v>#NAME?</v>
      </c>
    </row>
    <row r="69" spans="2:9" s="126" customFormat="1" ht="15" customHeight="1" x14ac:dyDescent="0.25">
      <c r="B69" s="271" t="s">
        <v>322</v>
      </c>
      <c r="C69" s="272" t="s">
        <v>321</v>
      </c>
      <c r="D69" s="275" t="s">
        <v>216</v>
      </c>
      <c r="E69" s="275">
        <v>41231.955381944441</v>
      </c>
      <c r="F69" s="276">
        <v>1</v>
      </c>
      <c r="G69" s="243">
        <f t="shared" si="1"/>
        <v>60</v>
      </c>
      <c r="H69" s="244"/>
      <c r="I69" s="71" t="e">
        <f>IF(COUNTIF((rName rData),H69),"","Name Error!")</f>
        <v>#NAME?</v>
      </c>
    </row>
    <row r="70" spans="2:9" s="126" customFormat="1" ht="15" customHeight="1" x14ac:dyDescent="0.25">
      <c r="B70" s="271" t="s">
        <v>369</v>
      </c>
      <c r="C70" s="272" t="s">
        <v>368</v>
      </c>
      <c r="D70" s="275" t="s">
        <v>216</v>
      </c>
      <c r="E70" s="275">
        <v>41232.371874999997</v>
      </c>
      <c r="F70" s="276">
        <v>1</v>
      </c>
      <c r="G70" s="243">
        <f t="shared" si="1"/>
        <v>60</v>
      </c>
      <c r="H70" s="244"/>
      <c r="I70" s="71" t="e">
        <f>IF(COUNTIF((rName rData),H70),"","Name Error!")</f>
        <v>#NAME?</v>
      </c>
    </row>
    <row r="71" spans="2:9" s="126" customFormat="1" ht="15" customHeight="1" x14ac:dyDescent="0.25">
      <c r="B71" s="271" t="s">
        <v>352</v>
      </c>
      <c r="C71" s="272" t="s">
        <v>351</v>
      </c>
      <c r="D71" s="275" t="s">
        <v>216</v>
      </c>
      <c r="E71" s="275">
        <v>41232.557326388887</v>
      </c>
      <c r="F71" s="276">
        <v>2</v>
      </c>
      <c r="G71" s="243">
        <f t="shared" si="1"/>
        <v>60</v>
      </c>
      <c r="H71" s="244"/>
      <c r="I71" s="71" t="e">
        <f>IF(COUNTIF((rName rData),H71),"","Name Error!")</f>
        <v>#NAME?</v>
      </c>
    </row>
    <row r="72" spans="2:9" s="126" customFormat="1" ht="15" customHeight="1" x14ac:dyDescent="0.25">
      <c r="B72" s="271" t="s">
        <v>356</v>
      </c>
      <c r="C72" s="272" t="s">
        <v>355</v>
      </c>
      <c r="D72" s="275" t="s">
        <v>216</v>
      </c>
      <c r="E72" s="275">
        <v>41232.717870370368</v>
      </c>
      <c r="F72" s="276">
        <v>1</v>
      </c>
      <c r="G72" s="243">
        <f t="shared" si="1"/>
        <v>60</v>
      </c>
      <c r="H72" s="244"/>
      <c r="I72" s="71" t="e">
        <f>IF(COUNTIF((rName rData),H72),"","Name Error!")</f>
        <v>#NAME?</v>
      </c>
    </row>
    <row r="73" spans="2:9" s="126" customFormat="1" ht="15" customHeight="1" x14ac:dyDescent="0.25">
      <c r="B73" s="271" t="s">
        <v>333</v>
      </c>
      <c r="C73" s="272" t="s">
        <v>332</v>
      </c>
      <c r="D73" s="275" t="s">
        <v>216</v>
      </c>
      <c r="E73" s="275">
        <v>41233.114652777775</v>
      </c>
      <c r="F73" s="276">
        <v>2</v>
      </c>
      <c r="G73" s="243">
        <f t="shared" si="1"/>
        <v>60</v>
      </c>
      <c r="H73" s="244"/>
      <c r="I73" s="71" t="e">
        <f>IF(COUNTIF((rName rData),H73),"","Name Error!")</f>
        <v>#NAME?</v>
      </c>
    </row>
    <row r="74" spans="2:9" s="126" customFormat="1" ht="15" customHeight="1" x14ac:dyDescent="0.25">
      <c r="B74" s="271" t="s">
        <v>367</v>
      </c>
      <c r="C74" s="272" t="s">
        <v>366</v>
      </c>
      <c r="D74" s="275" t="s">
        <v>216</v>
      </c>
      <c r="E74" s="275">
        <v>41234.547314814816</v>
      </c>
      <c r="F74" s="276">
        <v>1</v>
      </c>
      <c r="G74" s="243">
        <f t="shared" ref="G74:G137" si="2">TRUNC((E74-start)/7)+1</f>
        <v>60</v>
      </c>
      <c r="H74" s="244"/>
      <c r="I74" s="71" t="e">
        <f>IF(COUNTIF((rName rData),H74),"","Name Error!")</f>
        <v>#NAME?</v>
      </c>
    </row>
    <row r="75" spans="2:9" s="126" customFormat="1" ht="15" customHeight="1" x14ac:dyDescent="0.25">
      <c r="B75" s="271" t="s">
        <v>331</v>
      </c>
      <c r="C75" s="272" t="s">
        <v>330</v>
      </c>
      <c r="D75" s="275" t="s">
        <v>216</v>
      </c>
      <c r="E75" s="275">
        <v>41234.890960648147</v>
      </c>
      <c r="F75" s="276">
        <v>2</v>
      </c>
      <c r="G75" s="243">
        <f t="shared" si="2"/>
        <v>60</v>
      </c>
      <c r="H75" s="244"/>
      <c r="I75" s="71" t="e">
        <f>IF(COUNTIF((rName rData),H75),"","Name Error!")</f>
        <v>#NAME?</v>
      </c>
    </row>
    <row r="76" spans="2:9" s="126" customFormat="1" ht="15" customHeight="1" x14ac:dyDescent="0.25">
      <c r="B76" s="271" t="s">
        <v>328</v>
      </c>
      <c r="C76" s="272" t="s">
        <v>327</v>
      </c>
      <c r="D76" s="275" t="s">
        <v>216</v>
      </c>
      <c r="E76" s="275">
        <v>41237.524062500001</v>
      </c>
      <c r="F76" s="276">
        <v>1</v>
      </c>
      <c r="G76" s="243">
        <f t="shared" si="2"/>
        <v>61</v>
      </c>
      <c r="H76" s="244"/>
      <c r="I76" s="71" t="e">
        <f>IF(COUNTIF((rName rData),H76),"","Name Error!")</f>
        <v>#NAME?</v>
      </c>
    </row>
    <row r="77" spans="2:9" s="126" customFormat="1" ht="15" customHeight="1" x14ac:dyDescent="0.25">
      <c r="B77" s="271" t="s">
        <v>356</v>
      </c>
      <c r="C77" s="272" t="s">
        <v>355</v>
      </c>
      <c r="D77" s="275" t="s">
        <v>216</v>
      </c>
      <c r="E77" s="275">
        <v>41237.53533564815</v>
      </c>
      <c r="F77" s="276">
        <v>1</v>
      </c>
      <c r="G77" s="243">
        <f t="shared" si="2"/>
        <v>61</v>
      </c>
      <c r="H77" s="244"/>
      <c r="I77" s="71" t="e">
        <f>IF(COUNTIF((rName rData),H77),"","Name Error!")</f>
        <v>#NAME?</v>
      </c>
    </row>
    <row r="78" spans="2:9" s="126" customFormat="1" ht="15" customHeight="1" x14ac:dyDescent="0.25">
      <c r="B78" s="271" t="s">
        <v>371</v>
      </c>
      <c r="C78" s="272" t="s">
        <v>370</v>
      </c>
      <c r="D78" s="275" t="s">
        <v>216</v>
      </c>
      <c r="E78" s="275">
        <v>41237.55027777778</v>
      </c>
      <c r="F78" s="276">
        <v>2</v>
      </c>
      <c r="G78" s="243">
        <f t="shared" si="2"/>
        <v>61</v>
      </c>
      <c r="H78" s="244"/>
      <c r="I78" s="71" t="e">
        <f>IF(COUNTIF((rName rData),H78),"","Name Error!")</f>
        <v>#NAME?</v>
      </c>
    </row>
    <row r="79" spans="2:9" s="126" customFormat="1" ht="15" customHeight="1" x14ac:dyDescent="0.25">
      <c r="B79" s="271" t="s">
        <v>331</v>
      </c>
      <c r="C79" s="272" t="s">
        <v>330</v>
      </c>
      <c r="D79" s="275" t="s">
        <v>216</v>
      </c>
      <c r="E79" s="275">
        <v>41237.558958333335</v>
      </c>
      <c r="F79" s="276">
        <v>1</v>
      </c>
      <c r="G79" s="243">
        <f t="shared" si="2"/>
        <v>61</v>
      </c>
      <c r="H79" s="244"/>
      <c r="I79" s="71" t="e">
        <f>IF(COUNTIF((rName rData),H79),"","Name Error!")</f>
        <v>#NAME?</v>
      </c>
    </row>
    <row r="80" spans="2:9" s="126" customFormat="1" ht="15" customHeight="1" x14ac:dyDescent="0.25">
      <c r="B80" s="271" t="s">
        <v>326</v>
      </c>
      <c r="C80" s="272" t="s">
        <v>325</v>
      </c>
      <c r="D80" s="275" t="s">
        <v>216</v>
      </c>
      <c r="E80" s="275">
        <v>41237.575509259259</v>
      </c>
      <c r="F80" s="276">
        <v>1</v>
      </c>
      <c r="G80" s="243">
        <f t="shared" si="2"/>
        <v>61</v>
      </c>
      <c r="H80" s="244"/>
      <c r="I80" s="71" t="e">
        <f>IF(COUNTIF((rName rData),H80),"","Name Error!")</f>
        <v>#NAME?</v>
      </c>
    </row>
    <row r="81" spans="2:9" s="126" customFormat="1" ht="15" customHeight="1" x14ac:dyDescent="0.25">
      <c r="B81" s="271" t="s">
        <v>354</v>
      </c>
      <c r="C81" s="272" t="s">
        <v>353</v>
      </c>
      <c r="D81" s="275" t="s">
        <v>216</v>
      </c>
      <c r="E81" s="275">
        <v>41237.620474537034</v>
      </c>
      <c r="F81" s="276">
        <v>1</v>
      </c>
      <c r="G81" s="243">
        <f t="shared" si="2"/>
        <v>61</v>
      </c>
      <c r="H81" s="244"/>
      <c r="I81" s="71" t="e">
        <f>IF(COUNTIF((rName rData),H81),"","Name Error!")</f>
        <v>#NAME?</v>
      </c>
    </row>
    <row r="82" spans="2:9" s="126" customFormat="1" ht="15" customHeight="1" x14ac:dyDescent="0.25">
      <c r="B82" s="271" t="s">
        <v>365</v>
      </c>
      <c r="C82" s="272" t="s">
        <v>364</v>
      </c>
      <c r="D82" s="275" t="s">
        <v>216</v>
      </c>
      <c r="E82" s="275">
        <v>41237.630601851852</v>
      </c>
      <c r="F82" s="276">
        <v>1</v>
      </c>
      <c r="G82" s="243">
        <f t="shared" si="2"/>
        <v>61</v>
      </c>
      <c r="H82" s="244"/>
      <c r="I82" s="71" t="e">
        <f>IF(COUNTIF((rName rData),H82),"","Name Error!")</f>
        <v>#NAME?</v>
      </c>
    </row>
    <row r="83" spans="2:9" s="126" customFormat="1" ht="15" customHeight="1" x14ac:dyDescent="0.25">
      <c r="B83" s="271" t="s">
        <v>369</v>
      </c>
      <c r="C83" s="272" t="s">
        <v>368</v>
      </c>
      <c r="D83" s="275" t="s">
        <v>216</v>
      </c>
      <c r="E83" s="275">
        <v>41237.83079861111</v>
      </c>
      <c r="F83" s="276">
        <v>1</v>
      </c>
      <c r="G83" s="243">
        <f t="shared" si="2"/>
        <v>61</v>
      </c>
      <c r="H83" s="244"/>
      <c r="I83" s="71" t="e">
        <f>IF(COUNTIF((rName rData),H83),"","Name Error!")</f>
        <v>#NAME?</v>
      </c>
    </row>
    <row r="84" spans="2:9" s="126" customFormat="1" ht="15" customHeight="1" x14ac:dyDescent="0.25">
      <c r="B84" s="271" t="s">
        <v>320</v>
      </c>
      <c r="C84" s="272" t="s">
        <v>319</v>
      </c>
      <c r="D84" s="275" t="s">
        <v>216</v>
      </c>
      <c r="E84" s="275">
        <v>41237.869733796295</v>
      </c>
      <c r="F84" s="276">
        <v>1</v>
      </c>
      <c r="G84" s="243">
        <f t="shared" si="2"/>
        <v>61</v>
      </c>
      <c r="H84" s="244"/>
      <c r="I84" s="71" t="e">
        <f>IF(COUNTIF((rName rData),H84),"","Name Error!")</f>
        <v>#NAME?</v>
      </c>
    </row>
    <row r="85" spans="2:9" s="126" customFormat="1" ht="15" customHeight="1" x14ac:dyDescent="0.25">
      <c r="B85" s="271" t="s">
        <v>369</v>
      </c>
      <c r="C85" s="272" t="s">
        <v>368</v>
      </c>
      <c r="D85" s="275" t="s">
        <v>216</v>
      </c>
      <c r="E85" s="275">
        <v>41238.422048611108</v>
      </c>
      <c r="F85" s="276">
        <v>1</v>
      </c>
      <c r="G85" s="243">
        <f t="shared" si="2"/>
        <v>61</v>
      </c>
      <c r="H85" s="244"/>
      <c r="I85" s="71" t="e">
        <f>IF(COUNTIF((rName rData),H85),"","Name Error!")</f>
        <v>#NAME?</v>
      </c>
    </row>
    <row r="86" spans="2:9" s="126" customFormat="1" ht="15" customHeight="1" x14ac:dyDescent="0.25">
      <c r="B86" s="271" t="s">
        <v>367</v>
      </c>
      <c r="C86" s="272" t="s">
        <v>366</v>
      </c>
      <c r="D86" s="275" t="s">
        <v>216</v>
      </c>
      <c r="E86" s="275">
        <v>41238.436793981484</v>
      </c>
      <c r="F86" s="276">
        <v>2</v>
      </c>
      <c r="G86" s="243">
        <f t="shared" si="2"/>
        <v>61</v>
      </c>
      <c r="H86" s="244"/>
      <c r="I86" s="71" t="e">
        <f>IF(COUNTIF((rName rData),H86),"","Name Error!")</f>
        <v>#NAME?</v>
      </c>
    </row>
    <row r="87" spans="2:9" s="126" customFormat="1" ht="15" customHeight="1" x14ac:dyDescent="0.25">
      <c r="B87" s="271" t="s">
        <v>341</v>
      </c>
      <c r="C87" s="272" t="s">
        <v>340</v>
      </c>
      <c r="D87" s="275" t="s">
        <v>216</v>
      </c>
      <c r="E87" s="275">
        <v>41238.592280092591</v>
      </c>
      <c r="F87" s="276">
        <v>2</v>
      </c>
      <c r="G87" s="243">
        <f t="shared" si="2"/>
        <v>61</v>
      </c>
      <c r="H87" s="244"/>
      <c r="I87" s="71" t="e">
        <f>IF(COUNTIF((rName rData),H87),"","Name Error!")</f>
        <v>#NAME?</v>
      </c>
    </row>
    <row r="88" spans="2:9" s="126" customFormat="1" ht="15" customHeight="1" x14ac:dyDescent="0.25">
      <c r="B88" s="271" t="s">
        <v>333</v>
      </c>
      <c r="C88" s="272" t="s">
        <v>332</v>
      </c>
      <c r="D88" s="275" t="s">
        <v>216</v>
      </c>
      <c r="E88" s="275">
        <v>41238.62572916667</v>
      </c>
      <c r="F88" s="276">
        <v>1</v>
      </c>
      <c r="G88" s="243">
        <f t="shared" si="2"/>
        <v>61</v>
      </c>
      <c r="H88" s="244"/>
      <c r="I88" s="71" t="e">
        <f>IF(COUNTIF((rName rData),H88),"","Name Error!")</f>
        <v>#NAME?</v>
      </c>
    </row>
    <row r="89" spans="2:9" s="126" customFormat="1" ht="15" customHeight="1" x14ac:dyDescent="0.25">
      <c r="B89" s="271" t="s">
        <v>324</v>
      </c>
      <c r="C89" s="272" t="s">
        <v>323</v>
      </c>
      <c r="D89" s="275" t="s">
        <v>216</v>
      </c>
      <c r="E89" s="275">
        <v>41238.633958333332</v>
      </c>
      <c r="F89" s="276">
        <v>3</v>
      </c>
      <c r="G89" s="243">
        <f t="shared" si="2"/>
        <v>61</v>
      </c>
      <c r="H89" s="244"/>
      <c r="I89" s="71" t="e">
        <f>IF(COUNTIF((rName rData),H89),"","Name Error!")</f>
        <v>#NAME?</v>
      </c>
    </row>
    <row r="90" spans="2:9" s="126" customFormat="1" ht="15" customHeight="1" x14ac:dyDescent="0.25">
      <c r="B90" s="271" t="s">
        <v>362</v>
      </c>
      <c r="C90" s="272" t="s">
        <v>361</v>
      </c>
      <c r="D90" s="275" t="s">
        <v>216</v>
      </c>
      <c r="E90" s="275">
        <v>41238.638506944444</v>
      </c>
      <c r="F90" s="276">
        <v>1</v>
      </c>
      <c r="G90" s="243">
        <f t="shared" si="2"/>
        <v>61</v>
      </c>
      <c r="H90" s="244"/>
      <c r="I90" s="71" t="e">
        <f>IF(COUNTIF((rName rData),H90),"","Name Error!")</f>
        <v>#NAME?</v>
      </c>
    </row>
    <row r="91" spans="2:9" s="126" customFormat="1" ht="15" customHeight="1" x14ac:dyDescent="0.25">
      <c r="B91" s="271" t="s">
        <v>352</v>
      </c>
      <c r="C91" s="272" t="s">
        <v>351</v>
      </c>
      <c r="D91" s="275" t="s">
        <v>216</v>
      </c>
      <c r="E91" s="275">
        <v>41238.709282407406</v>
      </c>
      <c r="F91" s="276">
        <v>2</v>
      </c>
      <c r="G91" s="243">
        <f t="shared" si="2"/>
        <v>61</v>
      </c>
      <c r="H91" s="244"/>
      <c r="I91" s="71" t="e">
        <f>IF(COUNTIF((rName rData),H91),"","Name Error!")</f>
        <v>#NAME?</v>
      </c>
    </row>
    <row r="92" spans="2:9" s="126" customFormat="1" ht="15" customHeight="1" x14ac:dyDescent="0.25">
      <c r="B92" s="271" t="s">
        <v>360</v>
      </c>
      <c r="C92" s="272" t="s">
        <v>359</v>
      </c>
      <c r="D92" s="275" t="s">
        <v>216</v>
      </c>
      <c r="E92" s="275">
        <v>41238.881168981483</v>
      </c>
      <c r="F92" s="276">
        <v>3</v>
      </c>
      <c r="G92" s="243">
        <f t="shared" si="2"/>
        <v>61</v>
      </c>
      <c r="H92" s="244"/>
      <c r="I92" s="71" t="e">
        <f>IF(COUNTIF((rName rData),H92),"","Name Error!")</f>
        <v>#NAME?</v>
      </c>
    </row>
    <row r="93" spans="2:9" s="126" customFormat="1" ht="15" customHeight="1" x14ac:dyDescent="0.25">
      <c r="B93" s="271" t="s">
        <v>279</v>
      </c>
      <c r="C93" s="272" t="s">
        <v>280</v>
      </c>
      <c r="D93" s="275" t="s">
        <v>216</v>
      </c>
      <c r="E93" s="275">
        <v>41238.889837962961</v>
      </c>
      <c r="F93" s="276">
        <v>1</v>
      </c>
      <c r="G93" s="243">
        <f t="shared" si="2"/>
        <v>61</v>
      </c>
      <c r="H93" s="244"/>
      <c r="I93" s="71" t="e">
        <f>IF(COUNTIF((rName rData),H93),"","Name Error!")</f>
        <v>#NAME?</v>
      </c>
    </row>
    <row r="94" spans="2:9" s="126" customFormat="1" ht="15" customHeight="1" x14ac:dyDescent="0.25">
      <c r="B94" s="271" t="s">
        <v>354</v>
      </c>
      <c r="C94" s="272" t="s">
        <v>353</v>
      </c>
      <c r="D94" s="275" t="s">
        <v>216</v>
      </c>
      <c r="E94" s="275">
        <v>41238.894201388888</v>
      </c>
      <c r="F94" s="276">
        <v>1</v>
      </c>
      <c r="G94" s="243">
        <f t="shared" si="2"/>
        <v>61</v>
      </c>
      <c r="H94" s="244"/>
      <c r="I94" s="71" t="e">
        <f>IF(COUNTIF((rName rData),H94),"","Name Error!")</f>
        <v>#NAME?</v>
      </c>
    </row>
    <row r="95" spans="2:9" s="126" customFormat="1" ht="15" customHeight="1" x14ac:dyDescent="0.25">
      <c r="B95" s="271" t="s">
        <v>279</v>
      </c>
      <c r="C95" s="272" t="s">
        <v>280</v>
      </c>
      <c r="D95" s="275" t="s">
        <v>216</v>
      </c>
      <c r="E95" s="275">
        <v>41239.012337962966</v>
      </c>
      <c r="F95" s="276">
        <v>2</v>
      </c>
      <c r="G95" s="243">
        <f t="shared" si="2"/>
        <v>61</v>
      </c>
      <c r="H95" s="244"/>
      <c r="I95" s="71" t="e">
        <f>IF(COUNTIF((rName rData),H95),"","Name Error!")</f>
        <v>#NAME?</v>
      </c>
    </row>
    <row r="96" spans="2:9" s="126" customFormat="1" ht="15" customHeight="1" x14ac:dyDescent="0.25">
      <c r="B96" s="271" t="s">
        <v>367</v>
      </c>
      <c r="C96" s="272" t="s">
        <v>366</v>
      </c>
      <c r="D96" s="275" t="s">
        <v>216</v>
      </c>
      <c r="E96" s="275">
        <v>41239.379652777781</v>
      </c>
      <c r="F96" s="276">
        <v>6</v>
      </c>
      <c r="G96" s="243">
        <f t="shared" si="2"/>
        <v>61</v>
      </c>
      <c r="H96" s="244"/>
      <c r="I96" s="71" t="e">
        <f>IF(COUNTIF((rName rData),H96),"","Name Error!")</f>
        <v>#NAME?</v>
      </c>
    </row>
    <row r="97" spans="2:9" s="126" customFormat="1" ht="15" customHeight="1" x14ac:dyDescent="0.25">
      <c r="B97" s="271" t="s">
        <v>371</v>
      </c>
      <c r="C97" s="272" t="s">
        <v>370</v>
      </c>
      <c r="D97" s="275" t="s">
        <v>216</v>
      </c>
      <c r="E97" s="275">
        <v>41239.473252314812</v>
      </c>
      <c r="F97" s="276">
        <v>4</v>
      </c>
      <c r="G97" s="243">
        <f t="shared" si="2"/>
        <v>61</v>
      </c>
      <c r="H97" s="244"/>
      <c r="I97" s="71" t="e">
        <f>IF(COUNTIF((rName rData),H97),"","Name Error!")</f>
        <v>#NAME?</v>
      </c>
    </row>
    <row r="98" spans="2:9" s="126" customFormat="1" ht="15" customHeight="1" x14ac:dyDescent="0.25">
      <c r="B98" s="271" t="s">
        <v>360</v>
      </c>
      <c r="C98" s="272" t="s">
        <v>359</v>
      </c>
      <c r="D98" s="275" t="s">
        <v>216</v>
      </c>
      <c r="E98" s="275">
        <v>41239.562581018516</v>
      </c>
      <c r="F98" s="276">
        <v>3</v>
      </c>
      <c r="G98" s="243">
        <f t="shared" si="2"/>
        <v>61</v>
      </c>
      <c r="H98" s="244"/>
      <c r="I98" s="71" t="e">
        <f>IF(COUNTIF((rName rData),H98),"","Name Error!")</f>
        <v>#NAME?</v>
      </c>
    </row>
    <row r="99" spans="2:9" s="126" customFormat="1" ht="15" customHeight="1" x14ac:dyDescent="0.25">
      <c r="B99" s="271" t="s">
        <v>328</v>
      </c>
      <c r="C99" s="272" t="s">
        <v>327</v>
      </c>
      <c r="D99" s="275" t="s">
        <v>216</v>
      </c>
      <c r="E99" s="275">
        <v>41239.56355324074</v>
      </c>
      <c r="F99" s="276">
        <v>4</v>
      </c>
      <c r="G99" s="243">
        <f t="shared" si="2"/>
        <v>61</v>
      </c>
      <c r="H99" s="244"/>
      <c r="I99" s="71" t="e">
        <f>IF(COUNTIF((rName rData),H99),"","Name Error!")</f>
        <v>#NAME?</v>
      </c>
    </row>
    <row r="100" spans="2:9" s="126" customFormat="1" ht="15" customHeight="1" x14ac:dyDescent="0.25">
      <c r="B100" s="271" t="s">
        <v>352</v>
      </c>
      <c r="C100" s="272" t="s">
        <v>351</v>
      </c>
      <c r="D100" s="275" t="s">
        <v>216</v>
      </c>
      <c r="E100" s="275">
        <v>41239.564317129632</v>
      </c>
      <c r="F100" s="276">
        <v>3</v>
      </c>
      <c r="G100" s="243">
        <f t="shared" si="2"/>
        <v>61</v>
      </c>
      <c r="H100" s="244"/>
      <c r="I100" s="71" t="e">
        <f>IF(COUNTIF((rName rData),H100),"","Name Error!")</f>
        <v>#NAME?</v>
      </c>
    </row>
    <row r="101" spans="2:9" s="126" customFormat="1" ht="15" customHeight="1" x14ac:dyDescent="0.25">
      <c r="B101" s="271" t="s">
        <v>320</v>
      </c>
      <c r="C101" s="272" t="s">
        <v>319</v>
      </c>
      <c r="D101" s="275" t="s">
        <v>216</v>
      </c>
      <c r="E101" s="275">
        <v>41239.565601851849</v>
      </c>
      <c r="F101" s="276">
        <v>3</v>
      </c>
      <c r="G101" s="243">
        <f t="shared" si="2"/>
        <v>61</v>
      </c>
      <c r="H101" s="244"/>
      <c r="I101" s="71" t="e">
        <f>IF(COUNTIF((rName rData),H101),"","Name Error!")</f>
        <v>#NAME?</v>
      </c>
    </row>
    <row r="102" spans="2:9" s="126" customFormat="1" ht="15" customHeight="1" x14ac:dyDescent="0.25">
      <c r="B102" s="271" t="s">
        <v>331</v>
      </c>
      <c r="C102" s="272" t="s">
        <v>330</v>
      </c>
      <c r="D102" s="275" t="s">
        <v>216</v>
      </c>
      <c r="E102" s="275">
        <v>41239.565868055557</v>
      </c>
      <c r="F102" s="276">
        <v>3</v>
      </c>
      <c r="G102" s="243">
        <f t="shared" si="2"/>
        <v>61</v>
      </c>
      <c r="H102" s="244"/>
      <c r="I102" s="71" t="e">
        <f>IF(COUNTIF((rName rData),H102),"","Name Error!")</f>
        <v>#NAME?</v>
      </c>
    </row>
    <row r="103" spans="2:9" s="126" customFormat="1" ht="15" customHeight="1" x14ac:dyDescent="0.25">
      <c r="B103" s="271" t="s">
        <v>350</v>
      </c>
      <c r="C103" s="272" t="s">
        <v>349</v>
      </c>
      <c r="D103" s="275" t="s">
        <v>216</v>
      </c>
      <c r="E103" s="275">
        <v>41239.566134259258</v>
      </c>
      <c r="F103" s="276">
        <v>8</v>
      </c>
      <c r="G103" s="243">
        <f t="shared" si="2"/>
        <v>61</v>
      </c>
      <c r="H103" s="244"/>
      <c r="I103" s="71" t="e">
        <f>IF(COUNTIF((rName rData),H103),"","Name Error!")</f>
        <v>#NAME?</v>
      </c>
    </row>
    <row r="104" spans="2:9" s="126" customFormat="1" ht="15" customHeight="1" x14ac:dyDescent="0.25">
      <c r="B104" s="271" t="s">
        <v>358</v>
      </c>
      <c r="C104" s="272" t="s">
        <v>357</v>
      </c>
      <c r="D104" s="275" t="s">
        <v>216</v>
      </c>
      <c r="E104" s="275">
        <v>41239.566631944443</v>
      </c>
      <c r="F104" s="276">
        <v>4</v>
      </c>
      <c r="G104" s="243">
        <f t="shared" si="2"/>
        <v>61</v>
      </c>
      <c r="H104" s="244"/>
      <c r="I104" s="71" t="e">
        <f>IF(COUNTIF((rName rData),H104),"","Name Error!")</f>
        <v>#NAME?</v>
      </c>
    </row>
    <row r="105" spans="2:9" s="126" customFormat="1" ht="15" customHeight="1" x14ac:dyDescent="0.25">
      <c r="B105" s="271" t="s">
        <v>322</v>
      </c>
      <c r="C105" s="272" t="s">
        <v>321</v>
      </c>
      <c r="D105" s="275" t="s">
        <v>216</v>
      </c>
      <c r="E105" s="275">
        <v>41239.568078703705</v>
      </c>
      <c r="F105" s="276">
        <v>3</v>
      </c>
      <c r="G105" s="243">
        <f t="shared" si="2"/>
        <v>61</v>
      </c>
      <c r="H105" s="244"/>
      <c r="I105" s="71" t="e">
        <f>IF(COUNTIF((rName rData),H105),"","Name Error!")</f>
        <v>#NAME?</v>
      </c>
    </row>
    <row r="106" spans="2:9" s="126" customFormat="1" ht="15" customHeight="1" x14ac:dyDescent="0.25">
      <c r="B106" s="271" t="s">
        <v>343</v>
      </c>
      <c r="C106" s="272" t="s">
        <v>342</v>
      </c>
      <c r="D106" s="275" t="s">
        <v>216</v>
      </c>
      <c r="E106" s="275">
        <v>41239.568379629629</v>
      </c>
      <c r="F106" s="276">
        <v>7</v>
      </c>
      <c r="G106" s="243">
        <f t="shared" si="2"/>
        <v>61</v>
      </c>
      <c r="H106" s="244"/>
      <c r="I106" s="71" t="e">
        <f>IF(COUNTIF((rName rData),H106),"","Name Error!")</f>
        <v>#NAME?</v>
      </c>
    </row>
    <row r="107" spans="2:9" s="126" customFormat="1" ht="15" customHeight="1" x14ac:dyDescent="0.25">
      <c r="B107" s="271" t="s">
        <v>362</v>
      </c>
      <c r="C107" s="272" t="s">
        <v>361</v>
      </c>
      <c r="D107" s="275" t="s">
        <v>216</v>
      </c>
      <c r="E107" s="275">
        <v>41239.604930555557</v>
      </c>
      <c r="F107" s="276">
        <v>3</v>
      </c>
      <c r="G107" s="243">
        <f t="shared" si="2"/>
        <v>61</v>
      </c>
      <c r="H107" s="244"/>
      <c r="I107" s="71" t="e">
        <f>IF(COUNTIF((rName rData),H107),"","Name Error!")</f>
        <v>#NAME?</v>
      </c>
    </row>
    <row r="108" spans="2:9" s="126" customFormat="1" ht="15" customHeight="1" x14ac:dyDescent="0.25">
      <c r="B108" s="271" t="s">
        <v>341</v>
      </c>
      <c r="C108" s="272" t="s">
        <v>340</v>
      </c>
      <c r="D108" s="275" t="s">
        <v>216</v>
      </c>
      <c r="E108" s="275">
        <v>41239.60533564815</v>
      </c>
      <c r="F108" s="276">
        <v>2</v>
      </c>
      <c r="G108" s="243">
        <f t="shared" si="2"/>
        <v>61</v>
      </c>
      <c r="H108" s="244"/>
      <c r="I108" s="71" t="e">
        <f>IF(COUNTIF((rName rData),H108),"","Name Error!")</f>
        <v>#NAME?</v>
      </c>
    </row>
    <row r="109" spans="2:9" s="126" customFormat="1" ht="15" customHeight="1" x14ac:dyDescent="0.25">
      <c r="B109" s="271" t="s">
        <v>324</v>
      </c>
      <c r="C109" s="272" t="s">
        <v>323</v>
      </c>
      <c r="D109" s="275" t="s">
        <v>216</v>
      </c>
      <c r="E109" s="275">
        <v>41239.607175925928</v>
      </c>
      <c r="F109" s="276">
        <v>5</v>
      </c>
      <c r="G109" s="243">
        <f t="shared" si="2"/>
        <v>61</v>
      </c>
      <c r="H109" s="244"/>
      <c r="I109" s="71" t="e">
        <f>IF(COUNTIF((rName rData),H109),"","Name Error!")</f>
        <v>#NAME?</v>
      </c>
    </row>
    <row r="110" spans="2:9" s="126" customFormat="1" ht="15" customHeight="1" x14ac:dyDescent="0.25">
      <c r="B110" s="271" t="s">
        <v>326</v>
      </c>
      <c r="C110" s="272" t="s">
        <v>325</v>
      </c>
      <c r="D110" s="275" t="s">
        <v>216</v>
      </c>
      <c r="E110" s="275">
        <v>41239.608634259261</v>
      </c>
      <c r="F110" s="276">
        <v>3</v>
      </c>
      <c r="G110" s="243">
        <f t="shared" si="2"/>
        <v>61</v>
      </c>
      <c r="H110" s="244"/>
      <c r="I110" s="71" t="e">
        <f>IF(COUNTIF((rName rData),H110),"","Name Error!")</f>
        <v>#NAME?</v>
      </c>
    </row>
    <row r="111" spans="2:9" s="126" customFormat="1" ht="15" customHeight="1" x14ac:dyDescent="0.25">
      <c r="B111" s="271" t="s">
        <v>339</v>
      </c>
      <c r="C111" s="272" t="s">
        <v>338</v>
      </c>
      <c r="D111" s="275" t="s">
        <v>216</v>
      </c>
      <c r="E111" s="275">
        <v>41239.611805555556</v>
      </c>
      <c r="F111" s="276">
        <v>2</v>
      </c>
      <c r="G111" s="243">
        <f t="shared" si="2"/>
        <v>61</v>
      </c>
      <c r="H111" s="244"/>
      <c r="I111" s="71" t="e">
        <f>IF(COUNTIF((rName rData),H111),"","Name Error!")</f>
        <v>#NAME?</v>
      </c>
    </row>
    <row r="112" spans="2:9" s="126" customFormat="1" ht="15" customHeight="1" x14ac:dyDescent="0.25">
      <c r="B112" s="271" t="s">
        <v>335</v>
      </c>
      <c r="C112" s="272" t="s">
        <v>334</v>
      </c>
      <c r="D112" s="275" t="s">
        <v>216</v>
      </c>
      <c r="E112" s="275">
        <v>41239.611956018518</v>
      </c>
      <c r="F112" s="276">
        <v>2</v>
      </c>
      <c r="G112" s="243">
        <f t="shared" si="2"/>
        <v>61</v>
      </c>
      <c r="H112" s="244"/>
      <c r="I112" s="71" t="e">
        <f>IF(COUNTIF((rName rData),H112),"","Name Error!")</f>
        <v>#NAME?</v>
      </c>
    </row>
    <row r="113" spans="2:9" s="126" customFormat="1" ht="15" customHeight="1" x14ac:dyDescent="0.25">
      <c r="B113" s="271" t="s">
        <v>337</v>
      </c>
      <c r="C113" s="272" t="s">
        <v>336</v>
      </c>
      <c r="D113" s="275" t="s">
        <v>216</v>
      </c>
      <c r="E113" s="275">
        <v>41239.611967592595</v>
      </c>
      <c r="F113" s="276">
        <v>3</v>
      </c>
      <c r="G113" s="243">
        <f t="shared" si="2"/>
        <v>61</v>
      </c>
      <c r="H113" s="244"/>
      <c r="I113" s="71" t="e">
        <f>IF(COUNTIF((rName rData),H113),"","Name Error!")</f>
        <v>#NAME?</v>
      </c>
    </row>
    <row r="114" spans="2:9" s="126" customFormat="1" ht="15" customHeight="1" x14ac:dyDescent="0.25">
      <c r="B114" s="271" t="s">
        <v>345</v>
      </c>
      <c r="C114" s="272" t="s">
        <v>344</v>
      </c>
      <c r="D114" s="275" t="s">
        <v>216</v>
      </c>
      <c r="E114" s="275">
        <v>41239.612962962965</v>
      </c>
      <c r="F114" s="276">
        <v>2</v>
      </c>
      <c r="G114" s="243">
        <f t="shared" si="2"/>
        <v>61</v>
      </c>
      <c r="H114" s="244"/>
      <c r="I114" s="71" t="e">
        <f>IF(COUNTIF((rName rData),H114),"","Name Error!")</f>
        <v>#NAME?</v>
      </c>
    </row>
    <row r="115" spans="2:9" s="126" customFormat="1" ht="15" customHeight="1" x14ac:dyDescent="0.25">
      <c r="B115" s="271" t="s">
        <v>267</v>
      </c>
      <c r="C115" s="272" t="s">
        <v>268</v>
      </c>
      <c r="D115" s="275" t="s">
        <v>216</v>
      </c>
      <c r="E115" s="275">
        <v>41239.614942129629</v>
      </c>
      <c r="F115" s="276">
        <v>2</v>
      </c>
      <c r="G115" s="243">
        <f t="shared" si="2"/>
        <v>61</v>
      </c>
      <c r="H115" s="244"/>
      <c r="I115" s="71" t="e">
        <f>IF(COUNTIF((rName rData),H115),"","Name Error!")</f>
        <v>#NAME?</v>
      </c>
    </row>
    <row r="116" spans="2:9" s="126" customFormat="1" ht="15" customHeight="1" x14ac:dyDescent="0.25">
      <c r="B116" s="271" t="s">
        <v>354</v>
      </c>
      <c r="C116" s="272" t="s">
        <v>353</v>
      </c>
      <c r="D116" s="275" t="s">
        <v>216</v>
      </c>
      <c r="E116" s="275">
        <v>41239.63857638889</v>
      </c>
      <c r="F116" s="276">
        <v>3</v>
      </c>
      <c r="G116" s="243">
        <f t="shared" si="2"/>
        <v>61</v>
      </c>
      <c r="H116" s="244"/>
      <c r="I116" s="71" t="e">
        <f>IF(COUNTIF((rName rData),H116),"","Name Error!")</f>
        <v>#NAME?</v>
      </c>
    </row>
    <row r="117" spans="2:9" s="126" customFormat="1" ht="15" customHeight="1" x14ac:dyDescent="0.25">
      <c r="B117" s="271" t="s">
        <v>356</v>
      </c>
      <c r="C117" s="272" t="s">
        <v>355</v>
      </c>
      <c r="D117" s="275" t="s">
        <v>216</v>
      </c>
      <c r="E117" s="275">
        <v>41239.695798611108</v>
      </c>
      <c r="F117" s="276">
        <v>2</v>
      </c>
      <c r="G117" s="243">
        <f t="shared" si="2"/>
        <v>61</v>
      </c>
      <c r="H117" s="244"/>
      <c r="I117" s="71" t="e">
        <f>IF(COUNTIF((rName rData),H117),"","Name Error!")</f>
        <v>#NAME?</v>
      </c>
    </row>
    <row r="118" spans="2:9" s="126" customFormat="1" ht="15" customHeight="1" x14ac:dyDescent="0.25">
      <c r="B118" s="271" t="s">
        <v>333</v>
      </c>
      <c r="C118" s="272" t="s">
        <v>332</v>
      </c>
      <c r="D118" s="275" t="s">
        <v>216</v>
      </c>
      <c r="E118" s="275">
        <v>41239.838078703702</v>
      </c>
      <c r="F118" s="276">
        <v>2</v>
      </c>
      <c r="G118" s="243">
        <f t="shared" si="2"/>
        <v>61</v>
      </c>
      <c r="H118" s="244"/>
      <c r="I118" s="71" t="e">
        <f>IF(COUNTIF((rName rData),H118),"","Name Error!")</f>
        <v>#NAME?</v>
      </c>
    </row>
    <row r="119" spans="2:9" s="126" customFormat="1" ht="15" customHeight="1" x14ac:dyDescent="0.25">
      <c r="B119" s="271" t="s">
        <v>365</v>
      </c>
      <c r="C119" s="272" t="s">
        <v>364</v>
      </c>
      <c r="D119" s="275" t="s">
        <v>216</v>
      </c>
      <c r="E119" s="275">
        <v>41239.873483796298</v>
      </c>
      <c r="F119" s="276">
        <v>1</v>
      </c>
      <c r="G119" s="243">
        <f t="shared" si="2"/>
        <v>61</v>
      </c>
      <c r="H119" s="244"/>
      <c r="I119" s="71" t="e">
        <f>IF(COUNTIF((rName rData),H119),"","Name Error!")</f>
        <v>#NAME?</v>
      </c>
    </row>
    <row r="120" spans="2:9" s="126" customFormat="1" ht="15" customHeight="1" x14ac:dyDescent="0.25">
      <c r="B120" s="271" t="s">
        <v>331</v>
      </c>
      <c r="C120" s="272" t="s">
        <v>330</v>
      </c>
      <c r="D120" s="275" t="s">
        <v>216</v>
      </c>
      <c r="E120" s="275">
        <v>41240.003078703703</v>
      </c>
      <c r="F120" s="276">
        <v>4</v>
      </c>
      <c r="G120" s="243">
        <f t="shared" si="2"/>
        <v>61</v>
      </c>
      <c r="H120" s="244"/>
      <c r="I120" s="71" t="e">
        <f>IF(COUNTIF((rName rData),H120),"","Name Error!")</f>
        <v>#NAME?</v>
      </c>
    </row>
    <row r="121" spans="2:9" s="126" customFormat="1" ht="15" customHeight="1" x14ac:dyDescent="0.25">
      <c r="B121" s="271" t="s">
        <v>322</v>
      </c>
      <c r="C121" s="272" t="s">
        <v>321</v>
      </c>
      <c r="D121" s="275" t="s">
        <v>216</v>
      </c>
      <c r="E121" s="275">
        <v>41240.015879629631</v>
      </c>
      <c r="F121" s="276">
        <v>9</v>
      </c>
      <c r="G121" s="243">
        <f t="shared" si="2"/>
        <v>61</v>
      </c>
      <c r="H121" s="244"/>
      <c r="I121" s="71" t="e">
        <f>IF(COUNTIF((rName rData),H121),"","Name Error!")</f>
        <v>#NAME?</v>
      </c>
    </row>
    <row r="122" spans="2:9" s="126" customFormat="1" ht="15" customHeight="1" x14ac:dyDescent="0.25">
      <c r="B122" s="271" t="s">
        <v>324</v>
      </c>
      <c r="C122" s="272" t="s">
        <v>323</v>
      </c>
      <c r="D122" s="275" t="s">
        <v>216</v>
      </c>
      <c r="E122" s="275">
        <v>41240.025578703702</v>
      </c>
      <c r="F122" s="276">
        <v>6</v>
      </c>
      <c r="G122" s="243">
        <f t="shared" si="2"/>
        <v>61</v>
      </c>
      <c r="H122" s="244"/>
      <c r="I122" s="71" t="e">
        <f>IF(COUNTIF((rName rData),H122),"","Name Error!")</f>
        <v>#NAME?</v>
      </c>
    </row>
    <row r="123" spans="2:9" s="126" customFormat="1" ht="15" customHeight="1" x14ac:dyDescent="0.25">
      <c r="B123" s="271" t="s">
        <v>343</v>
      </c>
      <c r="C123" s="272" t="s">
        <v>342</v>
      </c>
      <c r="D123" s="275" t="s">
        <v>216</v>
      </c>
      <c r="E123" s="275">
        <v>41240.313796296294</v>
      </c>
      <c r="F123" s="276">
        <v>6</v>
      </c>
      <c r="G123" s="243">
        <f t="shared" si="2"/>
        <v>61</v>
      </c>
      <c r="H123" s="244"/>
      <c r="I123" s="71" t="e">
        <f>IF(COUNTIF((rName rData),H123),"","Name Error!")</f>
        <v>#NAME?</v>
      </c>
    </row>
    <row r="124" spans="2:9" s="126" customFormat="1" ht="15" customHeight="1" x14ac:dyDescent="0.25">
      <c r="B124" s="271" t="s">
        <v>367</v>
      </c>
      <c r="C124" s="272" t="s">
        <v>366</v>
      </c>
      <c r="D124" s="275" t="s">
        <v>216</v>
      </c>
      <c r="E124" s="275">
        <v>41240.324120370373</v>
      </c>
      <c r="F124" s="276">
        <v>6</v>
      </c>
      <c r="G124" s="243">
        <f t="shared" si="2"/>
        <v>61</v>
      </c>
      <c r="H124" s="244"/>
      <c r="I124" s="71" t="e">
        <f>IF(COUNTIF((rName rData),H124),"","Name Error!")</f>
        <v>#NAME?</v>
      </c>
    </row>
    <row r="125" spans="2:9" s="126" customFormat="1" ht="15" customHeight="1" x14ac:dyDescent="0.25">
      <c r="B125" s="271" t="s">
        <v>350</v>
      </c>
      <c r="C125" s="272" t="s">
        <v>349</v>
      </c>
      <c r="D125" s="275" t="s">
        <v>216</v>
      </c>
      <c r="E125" s="275">
        <v>41240.32675925926</v>
      </c>
      <c r="F125" s="276">
        <v>6</v>
      </c>
      <c r="G125" s="243">
        <f t="shared" si="2"/>
        <v>61</v>
      </c>
      <c r="H125" s="244"/>
      <c r="I125" s="71" t="e">
        <f>IF(COUNTIF((rName rData),H125),"","Name Error!")</f>
        <v>#NAME?</v>
      </c>
    </row>
    <row r="126" spans="2:9" s="126" customFormat="1" ht="15" customHeight="1" x14ac:dyDescent="0.25">
      <c r="B126" s="271" t="s">
        <v>352</v>
      </c>
      <c r="C126" s="272" t="s">
        <v>351</v>
      </c>
      <c r="D126" s="275" t="s">
        <v>216</v>
      </c>
      <c r="E126" s="275">
        <v>41240.378935185188</v>
      </c>
      <c r="F126" s="276">
        <v>4</v>
      </c>
      <c r="G126" s="243">
        <f t="shared" si="2"/>
        <v>61</v>
      </c>
      <c r="H126" s="244"/>
      <c r="I126" s="71" t="e">
        <f>IF(COUNTIF((rName rData),H126),"","Name Error!")</f>
        <v>#NAME?</v>
      </c>
    </row>
    <row r="127" spans="2:9" s="126" customFormat="1" ht="15" customHeight="1" x14ac:dyDescent="0.25">
      <c r="B127" s="271" t="s">
        <v>320</v>
      </c>
      <c r="C127" s="272" t="s">
        <v>319</v>
      </c>
      <c r="D127" s="275" t="s">
        <v>216</v>
      </c>
      <c r="E127" s="275">
        <v>41240.401990740742</v>
      </c>
      <c r="F127" s="276">
        <v>3</v>
      </c>
      <c r="G127" s="243">
        <f t="shared" si="2"/>
        <v>61</v>
      </c>
      <c r="H127" s="244"/>
      <c r="I127" s="71" t="e">
        <f>IF(COUNTIF((rName rData),H127),"","Name Error!")</f>
        <v>#NAME?</v>
      </c>
    </row>
    <row r="128" spans="2:9" s="126" customFormat="1" ht="15" customHeight="1" x14ac:dyDescent="0.25">
      <c r="B128" s="271" t="s">
        <v>371</v>
      </c>
      <c r="C128" s="272" t="s">
        <v>370</v>
      </c>
      <c r="D128" s="275" t="s">
        <v>216</v>
      </c>
      <c r="E128" s="275">
        <v>41240.404930555553</v>
      </c>
      <c r="F128" s="276">
        <v>7</v>
      </c>
      <c r="G128" s="243">
        <f t="shared" si="2"/>
        <v>61</v>
      </c>
      <c r="H128" s="244"/>
      <c r="I128" s="71" t="e">
        <f>IF(COUNTIF((rName rData),H128),"","Name Error!")</f>
        <v>#NAME?</v>
      </c>
    </row>
    <row r="129" spans="2:9" s="126" customFormat="1" ht="15" customHeight="1" x14ac:dyDescent="0.25">
      <c r="B129" s="271" t="s">
        <v>328</v>
      </c>
      <c r="C129" s="272" t="s">
        <v>327</v>
      </c>
      <c r="D129" s="275" t="s">
        <v>216</v>
      </c>
      <c r="E129" s="275">
        <v>41240.409409722219</v>
      </c>
      <c r="F129" s="276">
        <v>4</v>
      </c>
      <c r="G129" s="243">
        <f t="shared" si="2"/>
        <v>61</v>
      </c>
      <c r="H129" s="244"/>
      <c r="I129" s="71" t="e">
        <f>IF(COUNTIF((rName rData),H129),"","Name Error!")</f>
        <v>#NAME?</v>
      </c>
    </row>
    <row r="130" spans="2:9" s="126" customFormat="1" ht="15" customHeight="1" x14ac:dyDescent="0.25">
      <c r="B130" s="271" t="s">
        <v>358</v>
      </c>
      <c r="C130" s="272" t="s">
        <v>357</v>
      </c>
      <c r="D130" s="275" t="s">
        <v>216</v>
      </c>
      <c r="E130" s="275">
        <v>41240.409953703704</v>
      </c>
      <c r="F130" s="276">
        <v>3</v>
      </c>
      <c r="G130" s="243">
        <f t="shared" si="2"/>
        <v>61</v>
      </c>
      <c r="H130" s="244"/>
      <c r="I130" s="71" t="e">
        <f>IF(COUNTIF((rName rData),H130),"","Name Error!")</f>
        <v>#NAME?</v>
      </c>
    </row>
    <row r="131" spans="2:9" s="126" customFormat="1" ht="15" customHeight="1" x14ac:dyDescent="0.25">
      <c r="B131" s="271" t="s">
        <v>356</v>
      </c>
      <c r="C131" s="272" t="s">
        <v>355</v>
      </c>
      <c r="D131" s="275" t="s">
        <v>216</v>
      </c>
      <c r="E131" s="275">
        <v>41240.410590277781</v>
      </c>
      <c r="F131" s="276">
        <v>3</v>
      </c>
      <c r="G131" s="243">
        <f t="shared" si="2"/>
        <v>61</v>
      </c>
      <c r="H131" s="244"/>
      <c r="I131" s="71" t="e">
        <f>IF(COUNTIF((rName rData),H131),"","Name Error!")</f>
        <v>#NAME?</v>
      </c>
    </row>
    <row r="132" spans="2:9" s="126" customFormat="1" ht="15" customHeight="1" x14ac:dyDescent="0.25">
      <c r="B132" s="271" t="s">
        <v>362</v>
      </c>
      <c r="C132" s="272" t="s">
        <v>361</v>
      </c>
      <c r="D132" s="275" t="s">
        <v>216</v>
      </c>
      <c r="E132" s="275">
        <v>41240.410729166666</v>
      </c>
      <c r="F132" s="276">
        <v>5</v>
      </c>
      <c r="G132" s="243">
        <f t="shared" si="2"/>
        <v>61</v>
      </c>
      <c r="H132" s="244"/>
      <c r="I132" s="71" t="e">
        <f>IF(COUNTIF((rName rData),H132),"","Name Error!")</f>
        <v>#NAME?</v>
      </c>
    </row>
    <row r="133" spans="2:9" s="126" customFormat="1" ht="15" customHeight="1" x14ac:dyDescent="0.25">
      <c r="B133" s="271" t="s">
        <v>354</v>
      </c>
      <c r="C133" s="272" t="s">
        <v>353</v>
      </c>
      <c r="D133" s="275" t="s">
        <v>216</v>
      </c>
      <c r="E133" s="275">
        <v>41240.411446759259</v>
      </c>
      <c r="F133" s="276">
        <v>5</v>
      </c>
      <c r="G133" s="243">
        <f t="shared" si="2"/>
        <v>61</v>
      </c>
      <c r="H133" s="244"/>
      <c r="I133" s="71" t="e">
        <f>IF(COUNTIF((rName rData),H133),"","Name Error!")</f>
        <v>#NAME?</v>
      </c>
    </row>
    <row r="134" spans="2:9" s="126" customFormat="1" ht="15" customHeight="1" x14ac:dyDescent="0.25">
      <c r="B134" s="271" t="s">
        <v>333</v>
      </c>
      <c r="C134" s="272" t="s">
        <v>332</v>
      </c>
      <c r="D134" s="275" t="s">
        <v>216</v>
      </c>
      <c r="E134" s="275">
        <v>41240.413657407407</v>
      </c>
      <c r="F134" s="276">
        <v>5</v>
      </c>
      <c r="G134" s="243">
        <f t="shared" si="2"/>
        <v>61</v>
      </c>
      <c r="H134" s="244"/>
      <c r="I134" s="71" t="e">
        <f>IF(COUNTIF((rName rData),H134),"","Name Error!")</f>
        <v>#NAME?</v>
      </c>
    </row>
    <row r="135" spans="2:9" s="126" customFormat="1" ht="15" customHeight="1" x14ac:dyDescent="0.25">
      <c r="B135" s="271" t="s">
        <v>360</v>
      </c>
      <c r="C135" s="272" t="s">
        <v>359</v>
      </c>
      <c r="D135" s="275" t="s">
        <v>216</v>
      </c>
      <c r="E135" s="275">
        <v>41240.4140625</v>
      </c>
      <c r="F135" s="276">
        <v>4</v>
      </c>
      <c r="G135" s="243">
        <f t="shared" si="2"/>
        <v>61</v>
      </c>
      <c r="H135" s="244"/>
      <c r="I135" s="71" t="e">
        <f>IF(COUNTIF((rName rData),H135),"","Name Error!")</f>
        <v>#NAME?</v>
      </c>
    </row>
    <row r="136" spans="2:9" s="126" customFormat="1" ht="15" customHeight="1" x14ac:dyDescent="0.25">
      <c r="B136" s="271" t="s">
        <v>267</v>
      </c>
      <c r="C136" s="272" t="s">
        <v>268</v>
      </c>
      <c r="D136" s="275" t="s">
        <v>216</v>
      </c>
      <c r="E136" s="275">
        <v>41240.414479166669</v>
      </c>
      <c r="F136" s="276">
        <v>4</v>
      </c>
      <c r="G136" s="243">
        <f t="shared" si="2"/>
        <v>61</v>
      </c>
      <c r="H136" s="244"/>
      <c r="I136" s="71" t="e">
        <f>IF(COUNTIF((rName rData),H136),"","Name Error!")</f>
        <v>#NAME?</v>
      </c>
    </row>
    <row r="137" spans="2:9" s="126" customFormat="1" ht="15" customHeight="1" x14ac:dyDescent="0.25">
      <c r="B137" s="271" t="s">
        <v>337</v>
      </c>
      <c r="C137" s="272" t="s">
        <v>336</v>
      </c>
      <c r="D137" s="275" t="s">
        <v>216</v>
      </c>
      <c r="E137" s="275">
        <v>41240.414641203701</v>
      </c>
      <c r="F137" s="276">
        <v>2</v>
      </c>
      <c r="G137" s="243">
        <f t="shared" si="2"/>
        <v>61</v>
      </c>
      <c r="H137" s="244"/>
      <c r="I137" s="71" t="e">
        <f>IF(COUNTIF((rName rData),H137),"","Name Error!")</f>
        <v>#NAME?</v>
      </c>
    </row>
    <row r="138" spans="2:9" s="126" customFormat="1" ht="15" customHeight="1" x14ac:dyDescent="0.25">
      <c r="B138" s="271" t="s">
        <v>326</v>
      </c>
      <c r="C138" s="272" t="s">
        <v>325</v>
      </c>
      <c r="D138" s="275" t="s">
        <v>216</v>
      </c>
      <c r="E138" s="275">
        <v>41240.414675925924</v>
      </c>
      <c r="F138" s="276">
        <v>4</v>
      </c>
      <c r="G138" s="243">
        <f t="shared" ref="G138:G201" si="3">TRUNC((E138-start)/7)+1</f>
        <v>61</v>
      </c>
      <c r="H138" s="244"/>
      <c r="I138" s="71" t="e">
        <f>IF(COUNTIF((rName rData),H138),"","Name Error!")</f>
        <v>#NAME?</v>
      </c>
    </row>
    <row r="139" spans="2:9" s="126" customFormat="1" ht="15" customHeight="1" x14ac:dyDescent="0.25">
      <c r="B139" s="271" t="s">
        <v>341</v>
      </c>
      <c r="C139" s="272" t="s">
        <v>340</v>
      </c>
      <c r="D139" s="275" t="s">
        <v>216</v>
      </c>
      <c r="E139" s="275">
        <v>41240.605520833335</v>
      </c>
      <c r="F139" s="276">
        <v>2</v>
      </c>
      <c r="G139" s="243">
        <f t="shared" si="3"/>
        <v>61</v>
      </c>
      <c r="H139" s="244"/>
      <c r="I139" s="71" t="e">
        <f>IF(COUNTIF((rName rData),H139),"","Name Error!")</f>
        <v>#NAME?</v>
      </c>
    </row>
    <row r="140" spans="2:9" s="126" customFormat="1" ht="15" customHeight="1" x14ac:dyDescent="0.25">
      <c r="B140" s="271" t="s">
        <v>335</v>
      </c>
      <c r="C140" s="272" t="s">
        <v>334</v>
      </c>
      <c r="D140" s="275" t="s">
        <v>216</v>
      </c>
      <c r="E140" s="275">
        <v>41240.607349537036</v>
      </c>
      <c r="F140" s="276">
        <v>3</v>
      </c>
      <c r="G140" s="243">
        <f t="shared" si="3"/>
        <v>61</v>
      </c>
      <c r="H140" s="244"/>
      <c r="I140" s="71" t="e">
        <f>IF(COUNTIF((rName rData),H140),"","Name Error!")</f>
        <v>#NAME?</v>
      </c>
    </row>
    <row r="141" spans="2:9" s="126" customFormat="1" ht="15" customHeight="1" x14ac:dyDescent="0.25">
      <c r="B141" s="271" t="s">
        <v>339</v>
      </c>
      <c r="C141" s="272" t="s">
        <v>338</v>
      </c>
      <c r="D141" s="275" t="s">
        <v>216</v>
      </c>
      <c r="E141" s="275">
        <v>41240.644131944442</v>
      </c>
      <c r="F141" s="276">
        <v>2</v>
      </c>
      <c r="G141" s="243">
        <f t="shared" si="3"/>
        <v>61</v>
      </c>
      <c r="H141" s="244"/>
      <c r="I141" s="71" t="e">
        <f>IF(COUNTIF((rName rData),H141),"","Name Error!")</f>
        <v>#NAME?</v>
      </c>
    </row>
    <row r="142" spans="2:9" s="126" customFormat="1" ht="15" customHeight="1" x14ac:dyDescent="0.25">
      <c r="B142" s="271" t="s">
        <v>279</v>
      </c>
      <c r="C142" s="272" t="s">
        <v>280</v>
      </c>
      <c r="D142" s="275" t="s">
        <v>216</v>
      </c>
      <c r="E142" s="275">
        <v>41240.674293981479</v>
      </c>
      <c r="F142" s="276">
        <v>1</v>
      </c>
      <c r="G142" s="243">
        <f t="shared" si="3"/>
        <v>61</v>
      </c>
      <c r="H142" s="244"/>
      <c r="I142" s="71" t="e">
        <f>IF(COUNTIF((rName rData),H142),"","Name Error!")</f>
        <v>#NAME?</v>
      </c>
    </row>
    <row r="143" spans="2:9" s="126" customFormat="1" ht="15" customHeight="1" x14ac:dyDescent="0.25">
      <c r="B143" s="271" t="s">
        <v>365</v>
      </c>
      <c r="C143" s="272" t="s">
        <v>364</v>
      </c>
      <c r="D143" s="275" t="s">
        <v>216</v>
      </c>
      <c r="E143" s="275">
        <v>41240.867245370369</v>
      </c>
      <c r="F143" s="276">
        <v>1</v>
      </c>
      <c r="G143" s="243">
        <f t="shared" si="3"/>
        <v>61</v>
      </c>
      <c r="H143" s="244"/>
      <c r="I143" s="71" t="e">
        <f>IF(COUNTIF((rName rData),H143),"","Name Error!")</f>
        <v>#NAME?</v>
      </c>
    </row>
    <row r="144" spans="2:9" s="126" customFormat="1" ht="15" customHeight="1" x14ac:dyDescent="0.25">
      <c r="B144" s="271" t="s">
        <v>345</v>
      </c>
      <c r="C144" s="272" t="s">
        <v>344</v>
      </c>
      <c r="D144" s="275" t="s">
        <v>216</v>
      </c>
      <c r="E144" s="275">
        <v>41240.883275462962</v>
      </c>
      <c r="F144" s="276">
        <v>1</v>
      </c>
      <c r="G144" s="243">
        <f t="shared" si="3"/>
        <v>61</v>
      </c>
      <c r="H144" s="244"/>
      <c r="I144" s="71" t="e">
        <f>IF(COUNTIF((rName rData),H144),"","Name Error!")</f>
        <v>#NAME?</v>
      </c>
    </row>
    <row r="145" spans="2:9" s="126" customFormat="1" ht="15" customHeight="1" x14ac:dyDescent="0.25">
      <c r="B145" s="271" t="s">
        <v>343</v>
      </c>
      <c r="C145" s="272" t="s">
        <v>342</v>
      </c>
      <c r="D145" s="275" t="s">
        <v>216</v>
      </c>
      <c r="E145" s="275">
        <v>41241.295740740738</v>
      </c>
      <c r="F145" s="276">
        <v>6</v>
      </c>
      <c r="G145" s="243">
        <f t="shared" si="3"/>
        <v>61</v>
      </c>
      <c r="H145" s="244"/>
      <c r="I145" s="71" t="e">
        <f>IF(COUNTIF((rName rData),H145),"","Name Error!")</f>
        <v>#NAME?</v>
      </c>
    </row>
    <row r="146" spans="2:9" s="126" customFormat="1" ht="15" customHeight="1" x14ac:dyDescent="0.25">
      <c r="B146" s="271" t="s">
        <v>341</v>
      </c>
      <c r="C146" s="272" t="s">
        <v>340</v>
      </c>
      <c r="D146" s="275" t="s">
        <v>216</v>
      </c>
      <c r="E146" s="275">
        <v>41241.339618055557</v>
      </c>
      <c r="F146" s="276">
        <v>3</v>
      </c>
      <c r="G146" s="243">
        <f t="shared" si="3"/>
        <v>61</v>
      </c>
      <c r="H146" s="244"/>
      <c r="I146" s="71" t="e">
        <f>IF(COUNTIF((rName rData),H146),"","Name Error!")</f>
        <v>#NAME?</v>
      </c>
    </row>
    <row r="147" spans="2:9" s="126" customFormat="1" ht="15" customHeight="1" x14ac:dyDescent="0.25">
      <c r="B147" s="271" t="s">
        <v>367</v>
      </c>
      <c r="C147" s="272" t="s">
        <v>366</v>
      </c>
      <c r="D147" s="275" t="s">
        <v>216</v>
      </c>
      <c r="E147" s="275">
        <v>41241.344907407409</v>
      </c>
      <c r="F147" s="276">
        <v>4</v>
      </c>
      <c r="G147" s="243">
        <f t="shared" si="3"/>
        <v>61</v>
      </c>
      <c r="H147" s="244"/>
      <c r="I147" s="71" t="e">
        <f>IF(COUNTIF((rName rData),H147),"","Name Error!")</f>
        <v>#NAME?</v>
      </c>
    </row>
    <row r="148" spans="2:9" s="126" customFormat="1" ht="15" customHeight="1" x14ac:dyDescent="0.25">
      <c r="B148" s="271" t="s">
        <v>350</v>
      </c>
      <c r="C148" s="272" t="s">
        <v>349</v>
      </c>
      <c r="D148" s="275" t="s">
        <v>216</v>
      </c>
      <c r="E148" s="275">
        <v>41241.346817129626</v>
      </c>
      <c r="F148" s="276">
        <v>7</v>
      </c>
      <c r="G148" s="243">
        <f t="shared" si="3"/>
        <v>61</v>
      </c>
      <c r="H148" s="244"/>
      <c r="I148" s="71" t="e">
        <f>IF(COUNTIF((rName rData),H148),"","Name Error!")</f>
        <v>#NAME?</v>
      </c>
    </row>
    <row r="149" spans="2:9" s="126" customFormat="1" ht="15" customHeight="1" x14ac:dyDescent="0.25">
      <c r="B149" s="271" t="s">
        <v>324</v>
      </c>
      <c r="C149" s="272" t="s">
        <v>323</v>
      </c>
      <c r="D149" s="275" t="s">
        <v>216</v>
      </c>
      <c r="E149" s="275">
        <v>41241.36928240741</v>
      </c>
      <c r="F149" s="276">
        <v>4</v>
      </c>
      <c r="G149" s="243">
        <f t="shared" si="3"/>
        <v>61</v>
      </c>
      <c r="H149" s="244"/>
      <c r="I149" s="71" t="e">
        <f>IF(COUNTIF((rName rData),H149),"","Name Error!")</f>
        <v>#NAME?</v>
      </c>
    </row>
    <row r="150" spans="2:9" s="126" customFormat="1" ht="15" customHeight="1" x14ac:dyDescent="0.25">
      <c r="B150" s="271" t="s">
        <v>335</v>
      </c>
      <c r="C150" s="272" t="s">
        <v>334</v>
      </c>
      <c r="D150" s="275" t="s">
        <v>216</v>
      </c>
      <c r="E150" s="275">
        <v>41241.373437499999</v>
      </c>
      <c r="F150" s="276">
        <v>3</v>
      </c>
      <c r="G150" s="243">
        <f t="shared" si="3"/>
        <v>61</v>
      </c>
      <c r="H150" s="244"/>
      <c r="I150" s="71" t="e">
        <f>IF(COUNTIF((rName rData),H150),"","Name Error!")</f>
        <v>#NAME?</v>
      </c>
    </row>
    <row r="151" spans="2:9" s="126" customFormat="1" ht="15" customHeight="1" x14ac:dyDescent="0.25">
      <c r="B151" s="271" t="s">
        <v>371</v>
      </c>
      <c r="C151" s="272" t="s">
        <v>370</v>
      </c>
      <c r="D151" s="275" t="s">
        <v>216</v>
      </c>
      <c r="E151" s="275">
        <v>41241.3828587963</v>
      </c>
      <c r="F151" s="276">
        <v>6</v>
      </c>
      <c r="G151" s="243">
        <f t="shared" si="3"/>
        <v>61</v>
      </c>
      <c r="H151" s="244"/>
      <c r="I151" s="71" t="e">
        <f>IF(COUNTIF((rName rData),H151),"","Name Error!")</f>
        <v>#NAME?</v>
      </c>
    </row>
    <row r="152" spans="2:9" s="126" customFormat="1" ht="15" customHeight="1" x14ac:dyDescent="0.25">
      <c r="B152" s="271" t="s">
        <v>356</v>
      </c>
      <c r="C152" s="272" t="s">
        <v>355</v>
      </c>
      <c r="D152" s="275" t="s">
        <v>216</v>
      </c>
      <c r="E152" s="275">
        <v>41241.399861111109</v>
      </c>
      <c r="F152" s="276">
        <v>4</v>
      </c>
      <c r="G152" s="243">
        <f t="shared" si="3"/>
        <v>61</v>
      </c>
      <c r="H152" s="244"/>
      <c r="I152" s="71" t="e">
        <f>IF(COUNTIF((rName rData),H152),"","Name Error!")</f>
        <v>#NAME?</v>
      </c>
    </row>
    <row r="153" spans="2:9" s="126" customFormat="1" ht="15" customHeight="1" x14ac:dyDescent="0.25">
      <c r="B153" s="271" t="s">
        <v>362</v>
      </c>
      <c r="C153" s="272" t="s">
        <v>361</v>
      </c>
      <c r="D153" s="275" t="s">
        <v>216</v>
      </c>
      <c r="E153" s="275">
        <v>41241.407118055555</v>
      </c>
      <c r="F153" s="276">
        <v>4</v>
      </c>
      <c r="G153" s="243">
        <f t="shared" si="3"/>
        <v>61</v>
      </c>
      <c r="H153" s="244"/>
      <c r="I153" s="71" t="e">
        <f>IF(COUNTIF((rName rData),H153),"","Name Error!")</f>
        <v>#NAME?</v>
      </c>
    </row>
    <row r="154" spans="2:9" s="126" customFormat="1" ht="15" customHeight="1" x14ac:dyDescent="0.25">
      <c r="B154" s="271" t="s">
        <v>339</v>
      </c>
      <c r="C154" s="272" t="s">
        <v>338</v>
      </c>
      <c r="D154" s="275" t="s">
        <v>216</v>
      </c>
      <c r="E154" s="275">
        <v>41241.410034722219</v>
      </c>
      <c r="F154" s="276">
        <v>5</v>
      </c>
      <c r="G154" s="243">
        <f t="shared" si="3"/>
        <v>61</v>
      </c>
      <c r="H154" s="244"/>
      <c r="I154" s="71" t="e">
        <f>IF(COUNTIF((rName rData),H154),"","Name Error!")</f>
        <v>#NAME?</v>
      </c>
    </row>
    <row r="155" spans="2:9" s="126" customFormat="1" ht="15" customHeight="1" x14ac:dyDescent="0.25">
      <c r="B155" s="271" t="s">
        <v>352</v>
      </c>
      <c r="C155" s="272" t="s">
        <v>351</v>
      </c>
      <c r="D155" s="275" t="s">
        <v>216</v>
      </c>
      <c r="E155" s="275">
        <v>41241.413148148145</v>
      </c>
      <c r="F155" s="276">
        <v>5</v>
      </c>
      <c r="G155" s="243">
        <f t="shared" si="3"/>
        <v>61</v>
      </c>
      <c r="H155" s="244"/>
      <c r="I155" s="71" t="e">
        <f>IF(COUNTIF((rName rData),H155),"","Name Error!")</f>
        <v>#NAME?</v>
      </c>
    </row>
    <row r="156" spans="2:9" s="126" customFormat="1" ht="15" customHeight="1" x14ac:dyDescent="0.25">
      <c r="B156" s="271" t="s">
        <v>354</v>
      </c>
      <c r="C156" s="272" t="s">
        <v>353</v>
      </c>
      <c r="D156" s="275" t="s">
        <v>216</v>
      </c>
      <c r="E156" s="275">
        <v>41241.413275462961</v>
      </c>
      <c r="F156" s="276">
        <v>4</v>
      </c>
      <c r="G156" s="243">
        <f t="shared" si="3"/>
        <v>61</v>
      </c>
      <c r="H156" s="244"/>
      <c r="I156" s="71" t="e">
        <f>IF(COUNTIF((rName rData),H156),"","Name Error!")</f>
        <v>#NAME?</v>
      </c>
    </row>
    <row r="157" spans="2:9" s="126" customFormat="1" ht="15" customHeight="1" x14ac:dyDescent="0.25">
      <c r="B157" s="271" t="s">
        <v>360</v>
      </c>
      <c r="C157" s="272" t="s">
        <v>359</v>
      </c>
      <c r="D157" s="275" t="s">
        <v>216</v>
      </c>
      <c r="E157" s="275">
        <v>41241.413831018515</v>
      </c>
      <c r="F157" s="276">
        <v>3</v>
      </c>
      <c r="G157" s="243">
        <f t="shared" si="3"/>
        <v>61</v>
      </c>
      <c r="H157" s="244"/>
      <c r="I157" s="71" t="e">
        <f>IF(COUNTIF((rName rData),H157),"","Name Error!")</f>
        <v>#NAME?</v>
      </c>
    </row>
    <row r="158" spans="2:9" s="126" customFormat="1" ht="15" customHeight="1" x14ac:dyDescent="0.25">
      <c r="B158" s="271" t="s">
        <v>358</v>
      </c>
      <c r="C158" s="272" t="s">
        <v>357</v>
      </c>
      <c r="D158" s="275" t="s">
        <v>216</v>
      </c>
      <c r="E158" s="275">
        <v>41241.470972222225</v>
      </c>
      <c r="F158" s="276">
        <v>5</v>
      </c>
      <c r="G158" s="243">
        <f t="shared" si="3"/>
        <v>61</v>
      </c>
      <c r="H158" s="244"/>
      <c r="I158" s="71" t="e">
        <f>IF(COUNTIF((rName rData),H158),"","Name Error!")</f>
        <v>#NAME?</v>
      </c>
    </row>
    <row r="159" spans="2:9" s="126" customFormat="1" ht="15" customHeight="1" x14ac:dyDescent="0.25">
      <c r="B159" s="271" t="s">
        <v>333</v>
      </c>
      <c r="C159" s="272" t="s">
        <v>332</v>
      </c>
      <c r="D159" s="275" t="s">
        <v>216</v>
      </c>
      <c r="E159" s="275">
        <v>41241.473680555559</v>
      </c>
      <c r="F159" s="276">
        <v>6</v>
      </c>
      <c r="G159" s="243">
        <f t="shared" si="3"/>
        <v>61</v>
      </c>
      <c r="H159" s="244"/>
      <c r="I159" s="71" t="e">
        <f>IF(COUNTIF((rName rData),H159),"","Name Error!")</f>
        <v>#NAME?</v>
      </c>
    </row>
    <row r="160" spans="2:9" s="126" customFormat="1" ht="15" customHeight="1" x14ac:dyDescent="0.25">
      <c r="B160" s="271" t="s">
        <v>331</v>
      </c>
      <c r="C160" s="272" t="s">
        <v>330</v>
      </c>
      <c r="D160" s="275" t="s">
        <v>216</v>
      </c>
      <c r="E160" s="275">
        <v>41241.475231481483</v>
      </c>
      <c r="F160" s="276">
        <v>6</v>
      </c>
      <c r="G160" s="243">
        <f t="shared" si="3"/>
        <v>61</v>
      </c>
      <c r="H160" s="244"/>
      <c r="I160" s="71" t="e">
        <f>IF(COUNTIF((rName rData),H160),"","Name Error!")</f>
        <v>#NAME?</v>
      </c>
    </row>
    <row r="161" spans="2:9" s="126" customFormat="1" ht="15" customHeight="1" x14ac:dyDescent="0.25">
      <c r="B161" s="271" t="s">
        <v>320</v>
      </c>
      <c r="C161" s="272" t="s">
        <v>319</v>
      </c>
      <c r="D161" s="275" t="s">
        <v>216</v>
      </c>
      <c r="E161" s="275">
        <v>41241.476712962962</v>
      </c>
      <c r="F161" s="276">
        <v>2</v>
      </c>
      <c r="G161" s="243">
        <f t="shared" si="3"/>
        <v>61</v>
      </c>
      <c r="H161" s="244"/>
      <c r="I161" s="71" t="e">
        <f>IF(COUNTIF((rName rData),H161),"","Name Error!")</f>
        <v>#NAME?</v>
      </c>
    </row>
    <row r="162" spans="2:9" s="126" customFormat="1" ht="15" customHeight="1" x14ac:dyDescent="0.25">
      <c r="B162" s="271" t="s">
        <v>345</v>
      </c>
      <c r="C162" s="272" t="s">
        <v>344</v>
      </c>
      <c r="D162" s="275" t="s">
        <v>216</v>
      </c>
      <c r="E162" s="275">
        <v>41241.563634259262</v>
      </c>
      <c r="F162" s="276">
        <v>3</v>
      </c>
      <c r="G162" s="243">
        <f t="shared" si="3"/>
        <v>61</v>
      </c>
      <c r="H162" s="244"/>
      <c r="I162" s="71" t="e">
        <f>IF(COUNTIF((rName rData),H162),"","Name Error!")</f>
        <v>#NAME?</v>
      </c>
    </row>
    <row r="163" spans="2:9" s="126" customFormat="1" ht="15" customHeight="1" x14ac:dyDescent="0.25">
      <c r="B163" s="271" t="s">
        <v>328</v>
      </c>
      <c r="C163" s="272" t="s">
        <v>327</v>
      </c>
      <c r="D163" s="275" t="s">
        <v>216</v>
      </c>
      <c r="E163" s="275">
        <v>41241.611863425926</v>
      </c>
      <c r="F163" s="276">
        <v>4</v>
      </c>
      <c r="G163" s="243">
        <f t="shared" si="3"/>
        <v>61</v>
      </c>
      <c r="H163" s="244"/>
      <c r="I163" s="71" t="e">
        <f>IF(COUNTIF((rName rData),H163),"","Name Error!")</f>
        <v>#NAME?</v>
      </c>
    </row>
    <row r="164" spans="2:9" s="126" customFormat="1" ht="15" customHeight="1" x14ac:dyDescent="0.25">
      <c r="B164" s="271" t="s">
        <v>337</v>
      </c>
      <c r="C164" s="272" t="s">
        <v>336</v>
      </c>
      <c r="D164" s="275" t="s">
        <v>216</v>
      </c>
      <c r="E164" s="275">
        <v>41241.613287037035</v>
      </c>
      <c r="F164" s="276">
        <v>3</v>
      </c>
      <c r="G164" s="243">
        <f t="shared" si="3"/>
        <v>61</v>
      </c>
      <c r="H164" s="244"/>
      <c r="I164" s="71" t="e">
        <f>IF(COUNTIF((rName rData),H164),"","Name Error!")</f>
        <v>#NAME?</v>
      </c>
    </row>
    <row r="165" spans="2:9" s="126" customFormat="1" ht="15" customHeight="1" x14ac:dyDescent="0.25">
      <c r="B165" s="271" t="s">
        <v>322</v>
      </c>
      <c r="C165" s="272" t="s">
        <v>321</v>
      </c>
      <c r="D165" s="275" t="s">
        <v>216</v>
      </c>
      <c r="E165" s="275">
        <v>41241.614282407405</v>
      </c>
      <c r="F165" s="276">
        <v>4</v>
      </c>
      <c r="G165" s="243">
        <f t="shared" si="3"/>
        <v>61</v>
      </c>
      <c r="H165" s="244"/>
      <c r="I165" s="71" t="e">
        <f>IF(COUNTIF((rName rData),H165),"","Name Error!")</f>
        <v>#NAME?</v>
      </c>
    </row>
    <row r="166" spans="2:9" s="126" customFormat="1" ht="15" customHeight="1" x14ac:dyDescent="0.25">
      <c r="B166" s="271" t="s">
        <v>279</v>
      </c>
      <c r="C166" s="272" t="s">
        <v>280</v>
      </c>
      <c r="D166" s="275" t="s">
        <v>216</v>
      </c>
      <c r="E166" s="275">
        <v>41241.615057870367</v>
      </c>
      <c r="F166" s="276">
        <v>4</v>
      </c>
      <c r="G166" s="243">
        <f t="shared" si="3"/>
        <v>61</v>
      </c>
      <c r="H166" s="244"/>
      <c r="I166" s="71" t="e">
        <f>IF(COUNTIF((rName rData),H166),"","Name Error!")</f>
        <v>#NAME?</v>
      </c>
    </row>
    <row r="167" spans="2:9" s="126" customFormat="1" ht="15" customHeight="1" x14ac:dyDescent="0.25">
      <c r="B167" s="271" t="s">
        <v>267</v>
      </c>
      <c r="C167" s="272" t="s">
        <v>268</v>
      </c>
      <c r="D167" s="275" t="s">
        <v>216</v>
      </c>
      <c r="E167" s="275">
        <v>41241.651597222219</v>
      </c>
      <c r="F167" s="276">
        <v>3</v>
      </c>
      <c r="G167" s="243">
        <f t="shared" si="3"/>
        <v>61</v>
      </c>
      <c r="H167" s="244"/>
      <c r="I167" s="71" t="e">
        <f>IF(COUNTIF((rName rData),H167),"","Name Error!")</f>
        <v>#NAME?</v>
      </c>
    </row>
    <row r="168" spans="2:9" s="126" customFormat="1" ht="15" customHeight="1" x14ac:dyDescent="0.25">
      <c r="B168" s="271" t="s">
        <v>326</v>
      </c>
      <c r="C168" s="272" t="s">
        <v>325</v>
      </c>
      <c r="D168" s="275" t="s">
        <v>216</v>
      </c>
      <c r="E168" s="275">
        <v>41241.757118055553</v>
      </c>
      <c r="F168" s="276">
        <v>4</v>
      </c>
      <c r="G168" s="243">
        <f t="shared" si="3"/>
        <v>61</v>
      </c>
      <c r="H168" s="244"/>
      <c r="I168" s="71" t="e">
        <f>IF(COUNTIF((rName rData),H168),"","Name Error!")</f>
        <v>#NAME?</v>
      </c>
    </row>
    <row r="169" spans="2:9" s="126" customFormat="1" ht="15" customHeight="1" x14ac:dyDescent="0.25">
      <c r="B169" s="271" t="s">
        <v>279</v>
      </c>
      <c r="C169" s="272" t="s">
        <v>280</v>
      </c>
      <c r="D169" s="275" t="s">
        <v>216</v>
      </c>
      <c r="E169" s="275">
        <v>41242.012719907405</v>
      </c>
      <c r="F169" s="276">
        <v>5</v>
      </c>
      <c r="G169" s="243">
        <f t="shared" si="3"/>
        <v>61</v>
      </c>
      <c r="H169" s="244"/>
      <c r="I169" s="71" t="e">
        <f>IF(COUNTIF((rName rData),H169),"","Name Error!")</f>
        <v>#NAME?</v>
      </c>
    </row>
    <row r="170" spans="2:9" s="126" customFormat="1" ht="15" customHeight="1" x14ac:dyDescent="0.25">
      <c r="B170" s="271" t="s">
        <v>326</v>
      </c>
      <c r="C170" s="272" t="s">
        <v>325</v>
      </c>
      <c r="D170" s="275" t="s">
        <v>216</v>
      </c>
      <c r="E170" s="275">
        <v>41242.279895833337</v>
      </c>
      <c r="F170" s="276">
        <v>7</v>
      </c>
      <c r="G170" s="243">
        <f t="shared" si="3"/>
        <v>61</v>
      </c>
      <c r="H170" s="244"/>
      <c r="I170" s="71" t="e">
        <f>IF(COUNTIF((rName rData),H170),"","Name Error!")</f>
        <v>#NAME?</v>
      </c>
    </row>
    <row r="171" spans="2:9" s="126" customFormat="1" ht="15" customHeight="1" x14ac:dyDescent="0.25">
      <c r="B171" s="271" t="s">
        <v>343</v>
      </c>
      <c r="C171" s="272" t="s">
        <v>342</v>
      </c>
      <c r="D171" s="275" t="s">
        <v>216</v>
      </c>
      <c r="E171" s="275">
        <v>41242.287141203706</v>
      </c>
      <c r="F171" s="276">
        <v>6</v>
      </c>
      <c r="G171" s="243">
        <f t="shared" si="3"/>
        <v>61</v>
      </c>
      <c r="H171" s="244"/>
      <c r="I171" s="71" t="e">
        <f>IF(COUNTIF((rName rData),H171),"","Name Error!")</f>
        <v>#NAME?</v>
      </c>
    </row>
    <row r="172" spans="2:9" s="126" customFormat="1" ht="15" customHeight="1" x14ac:dyDescent="0.25">
      <c r="B172" s="271" t="s">
        <v>337</v>
      </c>
      <c r="C172" s="272" t="s">
        <v>336</v>
      </c>
      <c r="D172" s="275" t="s">
        <v>216</v>
      </c>
      <c r="E172" s="275">
        <v>41242.315011574072</v>
      </c>
      <c r="F172" s="276">
        <v>3</v>
      </c>
      <c r="G172" s="243">
        <f t="shared" si="3"/>
        <v>61</v>
      </c>
      <c r="H172" s="244"/>
      <c r="I172" s="71" t="e">
        <f>IF(COUNTIF((rName rData),H172),"","Name Error!")</f>
        <v>#NAME?</v>
      </c>
    </row>
    <row r="173" spans="2:9" s="126" customFormat="1" ht="15" customHeight="1" x14ac:dyDescent="0.25">
      <c r="B173" s="271" t="s">
        <v>360</v>
      </c>
      <c r="C173" s="272" t="s">
        <v>359</v>
      </c>
      <c r="D173" s="275" t="s">
        <v>216</v>
      </c>
      <c r="E173" s="275">
        <v>41242.355138888888</v>
      </c>
      <c r="F173" s="276">
        <v>7</v>
      </c>
      <c r="G173" s="243">
        <f t="shared" si="3"/>
        <v>61</v>
      </c>
      <c r="H173" s="244"/>
      <c r="I173" s="71" t="e">
        <f>IF(COUNTIF((rName rData),H173),"","Name Error!")</f>
        <v>#NAME?</v>
      </c>
    </row>
    <row r="174" spans="2:9" s="126" customFormat="1" ht="15" customHeight="1" x14ac:dyDescent="0.25">
      <c r="B174" s="271" t="s">
        <v>371</v>
      </c>
      <c r="C174" s="272" t="s">
        <v>370</v>
      </c>
      <c r="D174" s="275" t="s">
        <v>216</v>
      </c>
      <c r="E174" s="275">
        <v>41242.369502314818</v>
      </c>
      <c r="F174" s="276">
        <v>3</v>
      </c>
      <c r="G174" s="243">
        <f t="shared" si="3"/>
        <v>61</v>
      </c>
      <c r="H174" s="244"/>
      <c r="I174" s="71" t="e">
        <f>IF(COUNTIF((rName rData),H174),"","Name Error!")</f>
        <v>#NAME?</v>
      </c>
    </row>
    <row r="175" spans="2:9" s="126" customFormat="1" ht="15" customHeight="1" x14ac:dyDescent="0.25">
      <c r="B175" s="271" t="s">
        <v>333</v>
      </c>
      <c r="C175" s="272" t="s">
        <v>332</v>
      </c>
      <c r="D175" s="275" t="s">
        <v>216</v>
      </c>
      <c r="E175" s="275">
        <v>41242.401956018519</v>
      </c>
      <c r="F175" s="276">
        <v>4</v>
      </c>
      <c r="G175" s="243">
        <f t="shared" si="3"/>
        <v>61</v>
      </c>
      <c r="H175" s="244"/>
      <c r="I175" s="71" t="e">
        <f>IF(COUNTIF((rName rData),H175),"","Name Error!")</f>
        <v>#NAME?</v>
      </c>
    </row>
    <row r="176" spans="2:9" s="126" customFormat="1" ht="15" customHeight="1" x14ac:dyDescent="0.25">
      <c r="B176" s="271" t="s">
        <v>345</v>
      </c>
      <c r="C176" s="272" t="s">
        <v>344</v>
      </c>
      <c r="D176" s="275" t="s">
        <v>216</v>
      </c>
      <c r="E176" s="275">
        <v>41242.413726851853</v>
      </c>
      <c r="F176" s="276">
        <v>4</v>
      </c>
      <c r="G176" s="243">
        <f t="shared" si="3"/>
        <v>61</v>
      </c>
      <c r="H176" s="244"/>
      <c r="I176" s="71" t="e">
        <f>IF(COUNTIF((rName rData),H176),"","Name Error!")</f>
        <v>#NAME?</v>
      </c>
    </row>
    <row r="177" spans="2:9" s="126" customFormat="1" ht="15" customHeight="1" x14ac:dyDescent="0.25">
      <c r="B177" s="271" t="s">
        <v>328</v>
      </c>
      <c r="C177" s="272" t="s">
        <v>327</v>
      </c>
      <c r="D177" s="275" t="s">
        <v>216</v>
      </c>
      <c r="E177" s="275">
        <v>41242.413877314815</v>
      </c>
      <c r="F177" s="276">
        <v>3</v>
      </c>
      <c r="G177" s="243">
        <f t="shared" si="3"/>
        <v>61</v>
      </c>
      <c r="H177" s="244"/>
      <c r="I177" s="71" t="e">
        <f>IF(COUNTIF((rName rData),H177),"","Name Error!")</f>
        <v>#NAME?</v>
      </c>
    </row>
    <row r="178" spans="2:9" s="126" customFormat="1" ht="15" customHeight="1" x14ac:dyDescent="0.25">
      <c r="B178" s="271" t="s">
        <v>339</v>
      </c>
      <c r="C178" s="272" t="s">
        <v>338</v>
      </c>
      <c r="D178" s="275" t="s">
        <v>216</v>
      </c>
      <c r="E178" s="275">
        <v>41242.481747685182</v>
      </c>
      <c r="F178" s="276">
        <v>4</v>
      </c>
      <c r="G178" s="243">
        <f t="shared" si="3"/>
        <v>61</v>
      </c>
      <c r="H178" s="244"/>
      <c r="I178" s="71" t="e">
        <f>IF(COUNTIF((rName rData),H178),"","Name Error!")</f>
        <v>#NAME?</v>
      </c>
    </row>
    <row r="179" spans="2:9" s="126" customFormat="1" ht="15" customHeight="1" x14ac:dyDescent="0.25">
      <c r="B179" s="271" t="s">
        <v>352</v>
      </c>
      <c r="C179" s="272" t="s">
        <v>351</v>
      </c>
      <c r="D179" s="275" t="s">
        <v>216</v>
      </c>
      <c r="E179" s="275">
        <v>41242.557442129626</v>
      </c>
      <c r="F179" s="276">
        <v>2</v>
      </c>
      <c r="G179" s="243">
        <f t="shared" si="3"/>
        <v>61</v>
      </c>
      <c r="H179" s="244"/>
      <c r="I179" s="71" t="e">
        <f>IF(COUNTIF((rName rData),H179),"","Name Error!")</f>
        <v>#NAME?</v>
      </c>
    </row>
    <row r="180" spans="2:9" s="126" customFormat="1" ht="15" customHeight="1" x14ac:dyDescent="0.25">
      <c r="B180" s="271" t="s">
        <v>369</v>
      </c>
      <c r="C180" s="272" t="s">
        <v>368</v>
      </c>
      <c r="D180" s="275" t="s">
        <v>216</v>
      </c>
      <c r="E180" s="275">
        <v>41242.560219907406</v>
      </c>
      <c r="F180" s="276">
        <v>2</v>
      </c>
      <c r="G180" s="243">
        <f t="shared" si="3"/>
        <v>61</v>
      </c>
      <c r="H180" s="244"/>
      <c r="I180" s="71" t="e">
        <f>IF(COUNTIF((rName rData),H180),"","Name Error!")</f>
        <v>#NAME?</v>
      </c>
    </row>
    <row r="181" spans="2:9" s="126" customFormat="1" ht="15" customHeight="1" x14ac:dyDescent="0.25">
      <c r="B181" s="271" t="s">
        <v>322</v>
      </c>
      <c r="C181" s="272" t="s">
        <v>321</v>
      </c>
      <c r="D181" s="275" t="s">
        <v>216</v>
      </c>
      <c r="E181" s="275">
        <v>41242.563217592593</v>
      </c>
      <c r="F181" s="276">
        <v>4</v>
      </c>
      <c r="G181" s="243">
        <f t="shared" si="3"/>
        <v>61</v>
      </c>
      <c r="H181" s="244"/>
      <c r="I181" s="71" t="e">
        <f>IF(COUNTIF((rName rData),H181),"","Name Error!")</f>
        <v>#NAME?</v>
      </c>
    </row>
    <row r="182" spans="2:9" s="126" customFormat="1" ht="15" customHeight="1" x14ac:dyDescent="0.25">
      <c r="B182" s="271" t="s">
        <v>354</v>
      </c>
      <c r="C182" s="272" t="s">
        <v>353</v>
      </c>
      <c r="D182" s="275" t="s">
        <v>216</v>
      </c>
      <c r="E182" s="275">
        <v>41242.569386574076</v>
      </c>
      <c r="F182" s="276">
        <v>3</v>
      </c>
      <c r="G182" s="243">
        <f t="shared" si="3"/>
        <v>61</v>
      </c>
      <c r="H182" s="244"/>
      <c r="I182" s="71" t="e">
        <f>IF(COUNTIF((rName rData),H182),"","Name Error!")</f>
        <v>#NAME?</v>
      </c>
    </row>
    <row r="183" spans="2:9" s="126" customFormat="1" ht="15" customHeight="1" x14ac:dyDescent="0.25">
      <c r="B183" s="271" t="s">
        <v>362</v>
      </c>
      <c r="C183" s="272" t="s">
        <v>361</v>
      </c>
      <c r="D183" s="275" t="s">
        <v>216</v>
      </c>
      <c r="E183" s="275">
        <v>41242.569745370369</v>
      </c>
      <c r="F183" s="276">
        <v>3</v>
      </c>
      <c r="G183" s="243">
        <f t="shared" si="3"/>
        <v>61</v>
      </c>
      <c r="H183" s="244"/>
      <c r="I183" s="71" t="e">
        <f>IF(COUNTIF((rName rData),H183),"","Name Error!")</f>
        <v>#NAME?</v>
      </c>
    </row>
    <row r="184" spans="2:9" s="126" customFormat="1" ht="15" customHeight="1" x14ac:dyDescent="0.25">
      <c r="B184" s="271" t="s">
        <v>324</v>
      </c>
      <c r="C184" s="272" t="s">
        <v>323</v>
      </c>
      <c r="D184" s="275" t="s">
        <v>216</v>
      </c>
      <c r="E184" s="275">
        <v>41242.570555555554</v>
      </c>
      <c r="F184" s="276">
        <v>6</v>
      </c>
      <c r="G184" s="243">
        <f t="shared" si="3"/>
        <v>61</v>
      </c>
      <c r="H184" s="244"/>
      <c r="I184" s="71" t="e">
        <f>IF(COUNTIF((rName rData),H184),"","Name Error!")</f>
        <v>#NAME?</v>
      </c>
    </row>
    <row r="185" spans="2:9" s="126" customFormat="1" ht="15" customHeight="1" x14ac:dyDescent="0.25">
      <c r="B185" s="271" t="s">
        <v>367</v>
      </c>
      <c r="C185" s="272" t="s">
        <v>366</v>
      </c>
      <c r="D185" s="275" t="s">
        <v>216</v>
      </c>
      <c r="E185" s="275">
        <v>41242.570775462962</v>
      </c>
      <c r="F185" s="276">
        <v>2</v>
      </c>
      <c r="G185" s="243">
        <f t="shared" si="3"/>
        <v>61</v>
      </c>
      <c r="H185" s="244"/>
      <c r="I185" s="71" t="e">
        <f>IF(COUNTIF((rName rData),H185),"","Name Error!")</f>
        <v>#NAME?</v>
      </c>
    </row>
    <row r="186" spans="2:9" s="126" customFormat="1" ht="15" customHeight="1" x14ac:dyDescent="0.25">
      <c r="B186" s="271" t="s">
        <v>341</v>
      </c>
      <c r="C186" s="272" t="s">
        <v>340</v>
      </c>
      <c r="D186" s="275" t="s">
        <v>216</v>
      </c>
      <c r="E186" s="275">
        <v>41242.571064814816</v>
      </c>
      <c r="F186" s="276">
        <v>2</v>
      </c>
      <c r="G186" s="243">
        <f t="shared" si="3"/>
        <v>61</v>
      </c>
      <c r="H186" s="244"/>
      <c r="I186" s="71" t="e">
        <f>IF(COUNTIF((rName rData),H186),"","Name Error!")</f>
        <v>#NAME?</v>
      </c>
    </row>
    <row r="187" spans="2:9" s="126" customFormat="1" ht="15" customHeight="1" x14ac:dyDescent="0.25">
      <c r="B187" s="271" t="s">
        <v>358</v>
      </c>
      <c r="C187" s="272" t="s">
        <v>357</v>
      </c>
      <c r="D187" s="275" t="s">
        <v>216</v>
      </c>
      <c r="E187" s="275">
        <v>41242.571458333332</v>
      </c>
      <c r="F187" s="276">
        <v>3</v>
      </c>
      <c r="G187" s="243">
        <f t="shared" si="3"/>
        <v>61</v>
      </c>
      <c r="H187" s="244"/>
      <c r="I187" s="71" t="e">
        <f>IF(COUNTIF((rName rData),H187),"","Name Error!")</f>
        <v>#NAME?</v>
      </c>
    </row>
    <row r="188" spans="2:9" s="126" customFormat="1" ht="15" customHeight="1" x14ac:dyDescent="0.25">
      <c r="B188" s="271" t="s">
        <v>267</v>
      </c>
      <c r="C188" s="272" t="s">
        <v>268</v>
      </c>
      <c r="D188" s="275" t="s">
        <v>216</v>
      </c>
      <c r="E188" s="275">
        <v>41242.571967592594</v>
      </c>
      <c r="F188" s="276">
        <v>3</v>
      </c>
      <c r="G188" s="243">
        <f t="shared" si="3"/>
        <v>61</v>
      </c>
      <c r="H188" s="244"/>
      <c r="I188" s="71" t="e">
        <f>IF(COUNTIF((rName rData),H188),"","Name Error!")</f>
        <v>#NAME?</v>
      </c>
    </row>
    <row r="189" spans="2:9" s="126" customFormat="1" ht="15" customHeight="1" x14ac:dyDescent="0.25">
      <c r="B189" s="271" t="s">
        <v>335</v>
      </c>
      <c r="C189" s="272" t="s">
        <v>334</v>
      </c>
      <c r="D189" s="275" t="s">
        <v>216</v>
      </c>
      <c r="E189" s="275">
        <v>41242.57271990741</v>
      </c>
      <c r="F189" s="276">
        <v>3</v>
      </c>
      <c r="G189" s="243">
        <f t="shared" si="3"/>
        <v>61</v>
      </c>
      <c r="H189" s="244"/>
      <c r="I189" s="71" t="e">
        <f>IF(COUNTIF((rName rData),H189),"","Name Error!")</f>
        <v>#NAME?</v>
      </c>
    </row>
    <row r="190" spans="2:9" s="126" customFormat="1" ht="15" customHeight="1" x14ac:dyDescent="0.25">
      <c r="B190" s="271" t="s">
        <v>320</v>
      </c>
      <c r="C190" s="272" t="s">
        <v>319</v>
      </c>
      <c r="D190" s="275" t="s">
        <v>216</v>
      </c>
      <c r="E190" s="275">
        <v>41242.574131944442</v>
      </c>
      <c r="F190" s="276">
        <v>4</v>
      </c>
      <c r="G190" s="243">
        <f t="shared" si="3"/>
        <v>61</v>
      </c>
      <c r="H190" s="244"/>
      <c r="I190" s="71" t="e">
        <f>IF(COUNTIF((rName rData),H190),"","Name Error!")</f>
        <v>#NAME?</v>
      </c>
    </row>
    <row r="191" spans="2:9" s="126" customFormat="1" ht="15" customHeight="1" x14ac:dyDescent="0.25">
      <c r="B191" s="271" t="s">
        <v>356</v>
      </c>
      <c r="C191" s="272" t="s">
        <v>355</v>
      </c>
      <c r="D191" s="275" t="s">
        <v>216</v>
      </c>
      <c r="E191" s="275">
        <v>41242.574849537035</v>
      </c>
      <c r="F191" s="276">
        <v>4</v>
      </c>
      <c r="G191" s="243">
        <f t="shared" si="3"/>
        <v>61</v>
      </c>
      <c r="H191" s="244"/>
      <c r="I191" s="71" t="e">
        <f>IF(COUNTIF((rName rData),H191),"","Name Error!")</f>
        <v>#NAME?</v>
      </c>
    </row>
    <row r="192" spans="2:9" s="126" customFormat="1" ht="15" customHeight="1" x14ac:dyDescent="0.25">
      <c r="B192" s="271" t="s">
        <v>331</v>
      </c>
      <c r="C192" s="272" t="s">
        <v>330</v>
      </c>
      <c r="D192" s="275" t="s">
        <v>216</v>
      </c>
      <c r="E192" s="275">
        <v>41242.575046296297</v>
      </c>
      <c r="F192" s="276">
        <v>4</v>
      </c>
      <c r="G192" s="243">
        <f t="shared" si="3"/>
        <v>61</v>
      </c>
      <c r="H192" s="244"/>
      <c r="I192" s="71" t="e">
        <f>IF(COUNTIF((rName rData),H192),"","Name Error!")</f>
        <v>#NAME?</v>
      </c>
    </row>
    <row r="193" spans="2:9" s="126" customFormat="1" ht="15" customHeight="1" x14ac:dyDescent="0.25">
      <c r="B193" s="271" t="s">
        <v>350</v>
      </c>
      <c r="C193" s="272" t="s">
        <v>349</v>
      </c>
      <c r="D193" s="275" t="s">
        <v>216</v>
      </c>
      <c r="E193" s="275">
        <v>41242.578622685185</v>
      </c>
      <c r="F193" s="276">
        <v>4</v>
      </c>
      <c r="G193" s="243">
        <f t="shared" si="3"/>
        <v>61</v>
      </c>
      <c r="H193" s="244"/>
      <c r="I193" s="71" t="e">
        <f>IF(COUNTIF((rName rData),H193),"","Name Error!")</f>
        <v>#NAME?</v>
      </c>
    </row>
    <row r="194" spans="2:9" s="126" customFormat="1" ht="15" customHeight="1" x14ac:dyDescent="0.25">
      <c r="B194" s="271" t="s">
        <v>365</v>
      </c>
      <c r="C194" s="272" t="s">
        <v>364</v>
      </c>
      <c r="D194" s="275" t="s">
        <v>216</v>
      </c>
      <c r="E194" s="275">
        <v>41242.867777777778</v>
      </c>
      <c r="F194" s="276">
        <v>1</v>
      </c>
      <c r="G194" s="243">
        <f t="shared" si="3"/>
        <v>61</v>
      </c>
      <c r="H194" s="244"/>
      <c r="I194" s="71" t="e">
        <f>IF(COUNTIF((rName rData),H194),"","Name Error!")</f>
        <v>#NAME?</v>
      </c>
    </row>
    <row r="195" spans="2:9" s="126" customFormat="1" ht="15" customHeight="1" x14ac:dyDescent="0.25">
      <c r="B195" s="271" t="s">
        <v>335</v>
      </c>
      <c r="C195" s="272" t="s">
        <v>334</v>
      </c>
      <c r="D195" s="275" t="s">
        <v>216</v>
      </c>
      <c r="E195" s="275">
        <v>41243.000567129631</v>
      </c>
      <c r="F195" s="276">
        <v>6</v>
      </c>
      <c r="G195" s="243">
        <f t="shared" si="3"/>
        <v>61</v>
      </c>
      <c r="H195" s="244"/>
      <c r="I195" s="71" t="e">
        <f>IF(COUNTIF((rName rData),H195),"","Name Error!")</f>
        <v>#NAME?</v>
      </c>
    </row>
    <row r="196" spans="2:9" s="126" customFormat="1" ht="15" customHeight="1" x14ac:dyDescent="0.25">
      <c r="B196" s="271" t="s">
        <v>339</v>
      </c>
      <c r="C196" s="272" t="s">
        <v>338</v>
      </c>
      <c r="D196" s="275" t="s">
        <v>216</v>
      </c>
      <c r="E196" s="275">
        <v>41243.024907407409</v>
      </c>
      <c r="F196" s="276">
        <v>5</v>
      </c>
      <c r="G196" s="243">
        <f t="shared" si="3"/>
        <v>61</v>
      </c>
      <c r="H196" s="244"/>
      <c r="I196" s="71" t="e">
        <f>IF(COUNTIF((rName rData),H196),"","Name Error!")</f>
        <v>#NAME?</v>
      </c>
    </row>
    <row r="197" spans="2:9" s="126" customFormat="1" ht="15" customHeight="1" x14ac:dyDescent="0.25">
      <c r="B197" s="271" t="s">
        <v>343</v>
      </c>
      <c r="C197" s="272" t="s">
        <v>342</v>
      </c>
      <c r="D197" s="275" t="s">
        <v>216</v>
      </c>
      <c r="E197" s="275">
        <v>41243.288472222222</v>
      </c>
      <c r="F197" s="276">
        <v>5</v>
      </c>
      <c r="G197" s="243">
        <f t="shared" si="3"/>
        <v>61</v>
      </c>
      <c r="H197" s="244"/>
      <c r="I197" s="71" t="e">
        <f>IF(COUNTIF((rName rData),H197),"","Name Error!")</f>
        <v>#NAME?</v>
      </c>
    </row>
    <row r="198" spans="2:9" s="126" customFormat="1" ht="15" customHeight="1" x14ac:dyDescent="0.25">
      <c r="B198" s="271" t="s">
        <v>337</v>
      </c>
      <c r="C198" s="272" t="s">
        <v>336</v>
      </c>
      <c r="D198" s="275" t="s">
        <v>216</v>
      </c>
      <c r="E198" s="275">
        <v>41243.314895833333</v>
      </c>
      <c r="F198" s="276">
        <v>3</v>
      </c>
      <c r="G198" s="243">
        <f t="shared" si="3"/>
        <v>61</v>
      </c>
      <c r="H198" s="244"/>
      <c r="I198" s="71" t="e">
        <f>IF(COUNTIF((rName rData),H198),"","Name Error!")</f>
        <v>#NAME?</v>
      </c>
    </row>
    <row r="199" spans="2:9" s="126" customFormat="1" ht="15" customHeight="1" x14ac:dyDescent="0.25">
      <c r="B199" s="271" t="s">
        <v>350</v>
      </c>
      <c r="C199" s="272" t="s">
        <v>349</v>
      </c>
      <c r="D199" s="275" t="s">
        <v>216</v>
      </c>
      <c r="E199" s="275">
        <v>41243.349340277775</v>
      </c>
      <c r="F199" s="276">
        <v>4</v>
      </c>
      <c r="G199" s="243">
        <f t="shared" si="3"/>
        <v>61</v>
      </c>
      <c r="H199" s="244"/>
      <c r="I199" s="71" t="e">
        <f>IF(COUNTIF((rName rData),H199),"","Name Error!")</f>
        <v>#NAME?</v>
      </c>
    </row>
    <row r="200" spans="2:9" s="126" customFormat="1" ht="15" customHeight="1" x14ac:dyDescent="0.25">
      <c r="B200" s="271" t="s">
        <v>320</v>
      </c>
      <c r="C200" s="272" t="s">
        <v>319</v>
      </c>
      <c r="D200" s="275" t="s">
        <v>216</v>
      </c>
      <c r="E200" s="275">
        <v>41243.354305555556</v>
      </c>
      <c r="F200" s="276">
        <v>4</v>
      </c>
      <c r="G200" s="243">
        <f t="shared" si="3"/>
        <v>61</v>
      </c>
      <c r="H200" s="244"/>
      <c r="I200" s="71" t="e">
        <f>IF(COUNTIF((rName rData),H200),"","Name Error!")</f>
        <v>#NAME?</v>
      </c>
    </row>
    <row r="201" spans="2:9" s="126" customFormat="1" ht="15" customHeight="1" x14ac:dyDescent="0.25">
      <c r="B201" s="271" t="s">
        <v>354</v>
      </c>
      <c r="C201" s="272" t="s">
        <v>353</v>
      </c>
      <c r="D201" s="275" t="s">
        <v>216</v>
      </c>
      <c r="E201" s="275">
        <v>41243.358865740738</v>
      </c>
      <c r="F201" s="276">
        <v>5</v>
      </c>
      <c r="G201" s="243">
        <f t="shared" si="3"/>
        <v>61</v>
      </c>
      <c r="H201" s="244"/>
      <c r="I201" s="71" t="e">
        <f>IF(COUNTIF((rName rData),H201),"","Name Error!")</f>
        <v>#NAME?</v>
      </c>
    </row>
    <row r="202" spans="2:9" s="126" customFormat="1" ht="15" customHeight="1" x14ac:dyDescent="0.25">
      <c r="B202" s="271" t="s">
        <v>324</v>
      </c>
      <c r="C202" s="272" t="s">
        <v>323</v>
      </c>
      <c r="D202" s="275" t="s">
        <v>216</v>
      </c>
      <c r="E202" s="275">
        <v>41243.359756944446</v>
      </c>
      <c r="F202" s="276">
        <v>5</v>
      </c>
      <c r="G202" s="243">
        <f t="shared" ref="G202:G265" si="4">TRUNC((E202-start)/7)+1</f>
        <v>61</v>
      </c>
      <c r="H202" s="244"/>
      <c r="I202" s="71" t="e">
        <f>IF(COUNTIF((rName rData),H202),"","Name Error!")</f>
        <v>#NAME?</v>
      </c>
    </row>
    <row r="203" spans="2:9" s="126" customFormat="1" ht="15" customHeight="1" x14ac:dyDescent="0.25">
      <c r="B203" s="271" t="s">
        <v>369</v>
      </c>
      <c r="C203" s="272" t="s">
        <v>368</v>
      </c>
      <c r="D203" s="275" t="s">
        <v>216</v>
      </c>
      <c r="E203" s="275">
        <v>41243.363043981481</v>
      </c>
      <c r="F203" s="276">
        <v>4</v>
      </c>
      <c r="G203" s="243">
        <f t="shared" si="4"/>
        <v>61</v>
      </c>
      <c r="H203" s="244"/>
      <c r="I203" s="71" t="e">
        <f>IF(COUNTIF((rName rData),H203),"","Name Error!")</f>
        <v>#NAME?</v>
      </c>
    </row>
    <row r="204" spans="2:9" s="126" customFormat="1" ht="15" customHeight="1" x14ac:dyDescent="0.25">
      <c r="B204" s="271" t="s">
        <v>367</v>
      </c>
      <c r="C204" s="272" t="s">
        <v>366</v>
      </c>
      <c r="D204" s="275" t="s">
        <v>216</v>
      </c>
      <c r="E204" s="275">
        <v>41243.377222222225</v>
      </c>
      <c r="F204" s="276">
        <v>4</v>
      </c>
      <c r="G204" s="243">
        <f t="shared" si="4"/>
        <v>61</v>
      </c>
      <c r="H204" s="244"/>
      <c r="I204" s="71" t="e">
        <f>IF(COUNTIF((rName rData),H204),"","Name Error!")</f>
        <v>#NAME?</v>
      </c>
    </row>
    <row r="205" spans="2:9" s="126" customFormat="1" ht="15" customHeight="1" x14ac:dyDescent="0.25">
      <c r="B205" s="271" t="s">
        <v>362</v>
      </c>
      <c r="C205" s="272" t="s">
        <v>361</v>
      </c>
      <c r="D205" s="275" t="s">
        <v>216</v>
      </c>
      <c r="E205" s="275">
        <v>41243.413495370369</v>
      </c>
      <c r="F205" s="276">
        <v>3</v>
      </c>
      <c r="G205" s="243">
        <f t="shared" si="4"/>
        <v>61</v>
      </c>
      <c r="H205" s="244"/>
      <c r="I205" s="71" t="e">
        <f>IF(COUNTIF((rName rData),H205),"","Name Error!")</f>
        <v>#NAME?</v>
      </c>
    </row>
    <row r="206" spans="2:9" s="126" customFormat="1" ht="15" customHeight="1" x14ac:dyDescent="0.25">
      <c r="B206" s="271" t="s">
        <v>333</v>
      </c>
      <c r="C206" s="272" t="s">
        <v>332</v>
      </c>
      <c r="D206" s="275" t="s">
        <v>216</v>
      </c>
      <c r="E206" s="275">
        <v>41243.415914351855</v>
      </c>
      <c r="F206" s="276">
        <v>3</v>
      </c>
      <c r="G206" s="243">
        <f t="shared" si="4"/>
        <v>61</v>
      </c>
      <c r="H206" s="244"/>
      <c r="I206" s="71" t="e">
        <f>IF(COUNTIF((rName rData),H206),"","Name Error!")</f>
        <v>#NAME?</v>
      </c>
    </row>
    <row r="207" spans="2:9" s="126" customFormat="1" ht="15" customHeight="1" x14ac:dyDescent="0.25">
      <c r="B207" s="271" t="s">
        <v>326</v>
      </c>
      <c r="C207" s="272" t="s">
        <v>325</v>
      </c>
      <c r="D207" s="275" t="s">
        <v>216</v>
      </c>
      <c r="E207" s="275">
        <v>41243.561215277776</v>
      </c>
      <c r="F207" s="276">
        <v>2</v>
      </c>
      <c r="G207" s="243">
        <f t="shared" si="4"/>
        <v>61</v>
      </c>
      <c r="H207" s="244"/>
      <c r="I207" s="71" t="e">
        <f>IF(COUNTIF((rName rData),H207),"","Name Error!")</f>
        <v>#NAME?</v>
      </c>
    </row>
    <row r="208" spans="2:9" s="126" customFormat="1" ht="15" customHeight="1" x14ac:dyDescent="0.25">
      <c r="B208" s="271" t="s">
        <v>331</v>
      </c>
      <c r="C208" s="272" t="s">
        <v>330</v>
      </c>
      <c r="D208" s="275" t="s">
        <v>216</v>
      </c>
      <c r="E208" s="275">
        <v>41243.564351851855</v>
      </c>
      <c r="F208" s="276">
        <v>6</v>
      </c>
      <c r="G208" s="243">
        <f t="shared" si="4"/>
        <v>61</v>
      </c>
      <c r="H208" s="244"/>
      <c r="I208" s="71" t="e">
        <f>IF(COUNTIF((rName rData),H208),"","Name Error!")</f>
        <v>#NAME?</v>
      </c>
    </row>
    <row r="209" spans="2:9" s="126" customFormat="1" ht="15" customHeight="1" x14ac:dyDescent="0.25">
      <c r="B209" s="271" t="s">
        <v>341</v>
      </c>
      <c r="C209" s="272" t="s">
        <v>340</v>
      </c>
      <c r="D209" s="275" t="s">
        <v>216</v>
      </c>
      <c r="E209" s="275">
        <v>41243.564872685187</v>
      </c>
      <c r="F209" s="276">
        <v>3</v>
      </c>
      <c r="G209" s="243">
        <f t="shared" si="4"/>
        <v>61</v>
      </c>
      <c r="H209" s="244"/>
      <c r="I209" s="71" t="e">
        <f>IF(COUNTIF((rName rData),H209),"","Name Error!")</f>
        <v>#NAME?</v>
      </c>
    </row>
    <row r="210" spans="2:9" s="126" customFormat="1" ht="15" customHeight="1" x14ac:dyDescent="0.25">
      <c r="B210" s="271" t="s">
        <v>352</v>
      </c>
      <c r="C210" s="272" t="s">
        <v>351</v>
      </c>
      <c r="D210" s="275" t="s">
        <v>216</v>
      </c>
      <c r="E210" s="275">
        <v>41243.565752314818</v>
      </c>
      <c r="F210" s="276">
        <v>4</v>
      </c>
      <c r="G210" s="243">
        <f t="shared" si="4"/>
        <v>61</v>
      </c>
      <c r="H210" s="244"/>
      <c r="I210" s="71" t="e">
        <f>IF(COUNTIF((rName rData),H210),"","Name Error!")</f>
        <v>#NAME?</v>
      </c>
    </row>
    <row r="211" spans="2:9" s="126" customFormat="1" ht="15" customHeight="1" x14ac:dyDescent="0.25">
      <c r="B211" s="271" t="s">
        <v>322</v>
      </c>
      <c r="C211" s="272" t="s">
        <v>321</v>
      </c>
      <c r="D211" s="275" t="s">
        <v>216</v>
      </c>
      <c r="E211" s="275">
        <v>41243.565879629627</v>
      </c>
      <c r="F211" s="276">
        <v>3</v>
      </c>
      <c r="G211" s="243">
        <f t="shared" si="4"/>
        <v>61</v>
      </c>
      <c r="H211" s="244"/>
      <c r="I211" s="71" t="e">
        <f>IF(COUNTIF((rName rData),H211),"","Name Error!")</f>
        <v>#NAME?</v>
      </c>
    </row>
    <row r="212" spans="2:9" s="126" customFormat="1" ht="15" customHeight="1" x14ac:dyDescent="0.25">
      <c r="B212" s="271" t="s">
        <v>267</v>
      </c>
      <c r="C212" s="272" t="s">
        <v>268</v>
      </c>
      <c r="D212" s="275" t="s">
        <v>216</v>
      </c>
      <c r="E212" s="275">
        <v>41243.566666666666</v>
      </c>
      <c r="F212" s="276">
        <v>4</v>
      </c>
      <c r="G212" s="243">
        <f t="shared" si="4"/>
        <v>61</v>
      </c>
      <c r="H212" s="244"/>
      <c r="I212" s="71" t="e">
        <f>IF(COUNTIF((rName rData),H212),"","Name Error!")</f>
        <v>#NAME?</v>
      </c>
    </row>
    <row r="213" spans="2:9" s="126" customFormat="1" ht="15" customHeight="1" x14ac:dyDescent="0.25">
      <c r="B213" s="271" t="s">
        <v>356</v>
      </c>
      <c r="C213" s="272" t="s">
        <v>355</v>
      </c>
      <c r="D213" s="275" t="s">
        <v>216</v>
      </c>
      <c r="E213" s="275">
        <v>41243.566921296297</v>
      </c>
      <c r="F213" s="276">
        <v>2</v>
      </c>
      <c r="G213" s="243">
        <f t="shared" si="4"/>
        <v>61</v>
      </c>
      <c r="H213" s="244"/>
      <c r="I213" s="71" t="e">
        <f>IF(COUNTIF((rName rData),H213),"","Name Error!")</f>
        <v>#NAME?</v>
      </c>
    </row>
    <row r="214" spans="2:9" s="126" customFormat="1" ht="15" customHeight="1" x14ac:dyDescent="0.25">
      <c r="B214" s="271" t="s">
        <v>328</v>
      </c>
      <c r="C214" s="272" t="s">
        <v>327</v>
      </c>
      <c r="D214" s="275" t="s">
        <v>216</v>
      </c>
      <c r="E214" s="275">
        <v>41243.568229166667</v>
      </c>
      <c r="F214" s="276">
        <v>3</v>
      </c>
      <c r="G214" s="243">
        <f t="shared" si="4"/>
        <v>61</v>
      </c>
      <c r="H214" s="244"/>
      <c r="I214" s="71" t="e">
        <f>IF(COUNTIF((rName rData),H214),"","Name Error!")</f>
        <v>#NAME?</v>
      </c>
    </row>
    <row r="215" spans="2:9" s="126" customFormat="1" ht="15" customHeight="1" x14ac:dyDescent="0.25">
      <c r="B215" s="271" t="s">
        <v>371</v>
      </c>
      <c r="C215" s="272" t="s">
        <v>370</v>
      </c>
      <c r="D215" s="275" t="s">
        <v>216</v>
      </c>
      <c r="E215" s="275">
        <v>41243.570173611108</v>
      </c>
      <c r="F215" s="276">
        <v>3</v>
      </c>
      <c r="G215" s="243">
        <f t="shared" si="4"/>
        <v>61</v>
      </c>
      <c r="H215" s="244"/>
      <c r="I215" s="71" t="e">
        <f>IF(COUNTIF((rName rData),H215),"","Name Error!")</f>
        <v>#NAME?</v>
      </c>
    </row>
    <row r="216" spans="2:9" s="126" customFormat="1" ht="15" customHeight="1" x14ac:dyDescent="0.25">
      <c r="B216" s="271" t="s">
        <v>279</v>
      </c>
      <c r="C216" s="272" t="s">
        <v>280</v>
      </c>
      <c r="D216" s="275" t="s">
        <v>216</v>
      </c>
      <c r="E216" s="275">
        <v>41243.571493055555</v>
      </c>
      <c r="F216" s="276">
        <v>3</v>
      </c>
      <c r="G216" s="243">
        <f t="shared" si="4"/>
        <v>61</v>
      </c>
      <c r="H216" s="244"/>
      <c r="I216" s="71" t="e">
        <f>IF(COUNTIF((rName rData),H216),"","Name Error!")</f>
        <v>#NAME?</v>
      </c>
    </row>
    <row r="217" spans="2:9" s="126" customFormat="1" ht="15" customHeight="1" x14ac:dyDescent="0.25">
      <c r="B217" s="271" t="s">
        <v>360</v>
      </c>
      <c r="C217" s="272" t="s">
        <v>359</v>
      </c>
      <c r="D217" s="275" t="s">
        <v>216</v>
      </c>
      <c r="E217" s="275">
        <v>41243.583831018521</v>
      </c>
      <c r="F217" s="276">
        <v>3</v>
      </c>
      <c r="G217" s="243">
        <f t="shared" si="4"/>
        <v>61</v>
      </c>
      <c r="H217" s="244"/>
      <c r="I217" s="71" t="e">
        <f>IF(COUNTIF((rName rData),H217),"","Name Error!")</f>
        <v>#NAME?</v>
      </c>
    </row>
    <row r="218" spans="2:9" s="126" customFormat="1" ht="15" customHeight="1" x14ac:dyDescent="0.25">
      <c r="B218" s="271" t="s">
        <v>365</v>
      </c>
      <c r="C218" s="272" t="s">
        <v>364</v>
      </c>
      <c r="D218" s="275" t="s">
        <v>216</v>
      </c>
      <c r="E218" s="275">
        <v>41243.584108796298</v>
      </c>
      <c r="F218" s="276">
        <v>2</v>
      </c>
      <c r="G218" s="243">
        <f t="shared" si="4"/>
        <v>61</v>
      </c>
      <c r="H218" s="244"/>
      <c r="I218" s="71" t="e">
        <f>IF(COUNTIF((rName rData),H218),"","Name Error!")</f>
        <v>#NAME?</v>
      </c>
    </row>
    <row r="219" spans="2:9" s="126" customFormat="1" ht="15" customHeight="1" x14ac:dyDescent="0.25">
      <c r="B219" s="271" t="s">
        <v>345</v>
      </c>
      <c r="C219" s="272" t="s">
        <v>344</v>
      </c>
      <c r="D219" s="275" t="s">
        <v>216</v>
      </c>
      <c r="E219" s="275">
        <v>41243.585682870369</v>
      </c>
      <c r="F219" s="276">
        <v>3</v>
      </c>
      <c r="G219" s="243">
        <f t="shared" si="4"/>
        <v>61</v>
      </c>
      <c r="H219" s="244"/>
      <c r="I219" s="71" t="e">
        <f>IF(COUNTIF((rName rData),H219),"","Name Error!")</f>
        <v>#NAME?</v>
      </c>
    </row>
    <row r="220" spans="2:9" s="126" customFormat="1" ht="15" customHeight="1" x14ac:dyDescent="0.25">
      <c r="B220" s="271" t="s">
        <v>358</v>
      </c>
      <c r="C220" s="272" t="s">
        <v>357</v>
      </c>
      <c r="D220" s="275" t="s">
        <v>216</v>
      </c>
      <c r="E220" s="275">
        <v>41243.589270833334</v>
      </c>
      <c r="F220" s="276">
        <v>3</v>
      </c>
      <c r="G220" s="243">
        <f t="shared" si="4"/>
        <v>61</v>
      </c>
      <c r="H220" s="244"/>
      <c r="I220" s="71" t="e">
        <f>IF(COUNTIF((rName rData),H220),"","Name Error!")</f>
        <v>#NAME?</v>
      </c>
    </row>
    <row r="221" spans="2:9" s="126" customFormat="1" ht="15" customHeight="1" x14ac:dyDescent="0.25">
      <c r="B221" s="271" t="s">
        <v>322</v>
      </c>
      <c r="C221" s="272" t="s">
        <v>321</v>
      </c>
      <c r="D221" s="275" t="s">
        <v>216</v>
      </c>
      <c r="E221" s="275">
        <v>41244.018414351849</v>
      </c>
      <c r="F221" s="276">
        <v>6</v>
      </c>
      <c r="G221" s="243">
        <f t="shared" si="4"/>
        <v>62</v>
      </c>
      <c r="H221" s="244"/>
      <c r="I221" s="71" t="e">
        <f>IF(COUNTIF((rName rData),H221),"","Name Error!")</f>
        <v>#NAME?</v>
      </c>
    </row>
    <row r="222" spans="2:9" s="126" customFormat="1" ht="15" customHeight="1" x14ac:dyDescent="0.25">
      <c r="B222" s="271" t="s">
        <v>343</v>
      </c>
      <c r="C222" s="272" t="s">
        <v>342</v>
      </c>
      <c r="D222" s="275" t="s">
        <v>216</v>
      </c>
      <c r="E222" s="275">
        <v>41244.294178240743</v>
      </c>
      <c r="F222" s="276">
        <v>4</v>
      </c>
      <c r="G222" s="243">
        <f t="shared" si="4"/>
        <v>62</v>
      </c>
      <c r="H222" s="244"/>
      <c r="I222" s="71" t="e">
        <f>IF(COUNTIF((rName rData),H222),"","Name Error!")</f>
        <v>#NAME?</v>
      </c>
    </row>
    <row r="223" spans="2:9" s="126" customFormat="1" ht="15" customHeight="1" x14ac:dyDescent="0.25">
      <c r="B223" s="271" t="s">
        <v>337</v>
      </c>
      <c r="C223" s="272" t="s">
        <v>336</v>
      </c>
      <c r="D223" s="275" t="s">
        <v>216</v>
      </c>
      <c r="E223" s="275">
        <v>41244.319097222222</v>
      </c>
      <c r="F223" s="276">
        <v>2</v>
      </c>
      <c r="G223" s="243">
        <f t="shared" si="4"/>
        <v>62</v>
      </c>
      <c r="H223" s="244"/>
      <c r="I223" s="71" t="e">
        <f>IF(COUNTIF((rName rData),H223),"","Name Error!")</f>
        <v>#NAME?</v>
      </c>
    </row>
    <row r="224" spans="2:9" s="126" customFormat="1" ht="15" customHeight="1" x14ac:dyDescent="0.25">
      <c r="B224" s="271" t="s">
        <v>354</v>
      </c>
      <c r="C224" s="272" t="s">
        <v>353</v>
      </c>
      <c r="D224" s="275" t="s">
        <v>216</v>
      </c>
      <c r="E224" s="275">
        <v>41244.323900462965</v>
      </c>
      <c r="F224" s="276">
        <v>4</v>
      </c>
      <c r="G224" s="243">
        <f t="shared" si="4"/>
        <v>62</v>
      </c>
      <c r="H224" s="244"/>
      <c r="I224" s="71" t="e">
        <f>IF(COUNTIF((rName rData),H224),"","Name Error!")</f>
        <v>#NAME?</v>
      </c>
    </row>
    <row r="225" spans="2:9" s="126" customFormat="1" ht="15" customHeight="1" x14ac:dyDescent="0.25">
      <c r="B225" s="271" t="s">
        <v>356</v>
      </c>
      <c r="C225" s="272" t="s">
        <v>355</v>
      </c>
      <c r="D225" s="275" t="s">
        <v>216</v>
      </c>
      <c r="E225" s="275">
        <v>41244.332048611112</v>
      </c>
      <c r="F225" s="276">
        <v>3</v>
      </c>
      <c r="G225" s="243">
        <f t="shared" si="4"/>
        <v>62</v>
      </c>
      <c r="H225" s="244"/>
      <c r="I225" s="71" t="e">
        <f>IF(COUNTIF((rName rData),H225),"","Name Error!")</f>
        <v>#NAME?</v>
      </c>
    </row>
    <row r="226" spans="2:9" s="126" customFormat="1" ht="15" customHeight="1" x14ac:dyDescent="0.25">
      <c r="B226" s="271" t="s">
        <v>267</v>
      </c>
      <c r="C226" s="272" t="s">
        <v>268</v>
      </c>
      <c r="D226" s="275" t="s">
        <v>216</v>
      </c>
      <c r="E226" s="275">
        <v>41244.395914351851</v>
      </c>
      <c r="F226" s="276">
        <v>5</v>
      </c>
      <c r="G226" s="243">
        <f t="shared" si="4"/>
        <v>62</v>
      </c>
      <c r="H226" s="244"/>
      <c r="I226" s="71" t="e">
        <f>IF(COUNTIF((rName rData),H226),"","Name Error!")</f>
        <v>#NAME?</v>
      </c>
    </row>
    <row r="227" spans="2:9" s="126" customFormat="1" ht="15" customHeight="1" x14ac:dyDescent="0.25">
      <c r="B227" s="271" t="s">
        <v>331</v>
      </c>
      <c r="C227" s="272" t="s">
        <v>330</v>
      </c>
      <c r="D227" s="275" t="s">
        <v>216</v>
      </c>
      <c r="E227" s="275">
        <v>41244.469398148147</v>
      </c>
      <c r="F227" s="276">
        <v>4</v>
      </c>
      <c r="G227" s="243">
        <f t="shared" si="4"/>
        <v>62</v>
      </c>
      <c r="H227" s="244"/>
      <c r="I227" s="71" t="e">
        <f>IF(COUNTIF((rName rData),H227),"","Name Error!")</f>
        <v>#NAME?</v>
      </c>
    </row>
    <row r="228" spans="2:9" s="126" customFormat="1" ht="15" customHeight="1" x14ac:dyDescent="0.25">
      <c r="B228" s="271" t="s">
        <v>350</v>
      </c>
      <c r="C228" s="272" t="s">
        <v>349</v>
      </c>
      <c r="D228" s="275" t="s">
        <v>216</v>
      </c>
      <c r="E228" s="275">
        <v>41244.496307870373</v>
      </c>
      <c r="F228" s="276">
        <v>3</v>
      </c>
      <c r="G228" s="243">
        <f t="shared" si="4"/>
        <v>62</v>
      </c>
      <c r="H228" s="244"/>
      <c r="I228" s="71" t="e">
        <f>IF(COUNTIF((rName rData),H228),"","Name Error!")</f>
        <v>#NAME?</v>
      </c>
    </row>
    <row r="229" spans="2:9" s="126" customFormat="1" ht="15" customHeight="1" x14ac:dyDescent="0.25">
      <c r="B229" s="271" t="s">
        <v>371</v>
      </c>
      <c r="C229" s="272" t="s">
        <v>370</v>
      </c>
      <c r="D229" s="275" t="s">
        <v>216</v>
      </c>
      <c r="E229" s="275">
        <v>41244.496331018519</v>
      </c>
      <c r="F229" s="276">
        <v>2</v>
      </c>
      <c r="G229" s="243">
        <f t="shared" si="4"/>
        <v>62</v>
      </c>
      <c r="H229" s="244"/>
      <c r="I229" s="71" t="e">
        <f>IF(COUNTIF((rName rData),H229),"","Name Error!")</f>
        <v>#NAME?</v>
      </c>
    </row>
    <row r="230" spans="2:9" s="126" customFormat="1" ht="15" customHeight="1" x14ac:dyDescent="0.25">
      <c r="B230" s="271" t="s">
        <v>326</v>
      </c>
      <c r="C230" s="272" t="s">
        <v>325</v>
      </c>
      <c r="D230" s="275" t="s">
        <v>216</v>
      </c>
      <c r="E230" s="275">
        <v>41244.496377314812</v>
      </c>
      <c r="F230" s="276">
        <v>1</v>
      </c>
      <c r="G230" s="243">
        <f t="shared" si="4"/>
        <v>62</v>
      </c>
      <c r="H230" s="244"/>
      <c r="I230" s="71" t="e">
        <f>IF(COUNTIF((rName rData),H230),"","Name Error!")</f>
        <v>#NAME?</v>
      </c>
    </row>
    <row r="231" spans="2:9" s="126" customFormat="1" ht="15" customHeight="1" x14ac:dyDescent="0.25">
      <c r="B231" s="271" t="s">
        <v>345</v>
      </c>
      <c r="C231" s="272" t="s">
        <v>344</v>
      </c>
      <c r="D231" s="275" t="s">
        <v>216</v>
      </c>
      <c r="E231" s="275">
        <v>41244.496493055558</v>
      </c>
      <c r="F231" s="276">
        <v>2</v>
      </c>
      <c r="G231" s="243">
        <f t="shared" si="4"/>
        <v>62</v>
      </c>
      <c r="H231" s="244"/>
      <c r="I231" s="71" t="e">
        <f>IF(COUNTIF((rName rData),H231),"","Name Error!")</f>
        <v>#NAME?</v>
      </c>
    </row>
    <row r="232" spans="2:9" s="126" customFormat="1" ht="15" customHeight="1" x14ac:dyDescent="0.25">
      <c r="B232" s="271" t="s">
        <v>367</v>
      </c>
      <c r="C232" s="272" t="s">
        <v>366</v>
      </c>
      <c r="D232" s="275" t="s">
        <v>216</v>
      </c>
      <c r="E232" s="275">
        <v>41244.496608796297</v>
      </c>
      <c r="F232" s="276">
        <v>2</v>
      </c>
      <c r="G232" s="243">
        <f t="shared" si="4"/>
        <v>62</v>
      </c>
      <c r="H232" s="244"/>
      <c r="I232" s="71" t="e">
        <f>IF(COUNTIF((rName rData),H232),"","Name Error!")</f>
        <v>#NAME?</v>
      </c>
    </row>
    <row r="233" spans="2:9" s="126" customFormat="1" ht="15" customHeight="1" x14ac:dyDescent="0.25">
      <c r="B233" s="271" t="s">
        <v>341</v>
      </c>
      <c r="C233" s="272" t="s">
        <v>340</v>
      </c>
      <c r="D233" s="275" t="s">
        <v>216</v>
      </c>
      <c r="E233" s="275">
        <v>41244.496736111112</v>
      </c>
      <c r="F233" s="276">
        <v>1</v>
      </c>
      <c r="G233" s="243">
        <f t="shared" si="4"/>
        <v>62</v>
      </c>
      <c r="H233" s="244"/>
      <c r="I233" s="71" t="e">
        <f>IF(COUNTIF((rName rData),H233),"","Name Error!")</f>
        <v>#NAME?</v>
      </c>
    </row>
    <row r="234" spans="2:9" s="126" customFormat="1" ht="15" customHeight="1" x14ac:dyDescent="0.25">
      <c r="B234" s="271" t="s">
        <v>324</v>
      </c>
      <c r="C234" s="272" t="s">
        <v>323</v>
      </c>
      <c r="D234" s="275" t="s">
        <v>216</v>
      </c>
      <c r="E234" s="275">
        <v>41244.49690972222</v>
      </c>
      <c r="F234" s="276">
        <v>2</v>
      </c>
      <c r="G234" s="243">
        <f t="shared" si="4"/>
        <v>62</v>
      </c>
      <c r="H234" s="244"/>
      <c r="I234" s="71" t="e">
        <f>IF(COUNTIF((rName rData),H234),"","Name Error!")</f>
        <v>#NAME?</v>
      </c>
    </row>
    <row r="235" spans="2:9" s="126" customFormat="1" ht="15" customHeight="1" x14ac:dyDescent="0.25">
      <c r="B235" s="271" t="s">
        <v>358</v>
      </c>
      <c r="C235" s="272" t="s">
        <v>357</v>
      </c>
      <c r="D235" s="275" t="s">
        <v>216</v>
      </c>
      <c r="E235" s="275">
        <v>41244.497002314813</v>
      </c>
      <c r="F235" s="276">
        <v>2</v>
      </c>
      <c r="G235" s="243">
        <f t="shared" si="4"/>
        <v>62</v>
      </c>
      <c r="H235" s="244"/>
      <c r="I235" s="71" t="e">
        <f>IF(COUNTIF((rName rData),H235),"","Name Error!")</f>
        <v>#NAME?</v>
      </c>
    </row>
    <row r="236" spans="2:9" s="126" customFormat="1" ht="15" customHeight="1" x14ac:dyDescent="0.25">
      <c r="B236" s="271" t="s">
        <v>328</v>
      </c>
      <c r="C236" s="272" t="s">
        <v>327</v>
      </c>
      <c r="D236" s="275" t="s">
        <v>216</v>
      </c>
      <c r="E236" s="275">
        <v>41244.497118055559</v>
      </c>
      <c r="F236" s="276">
        <v>4</v>
      </c>
      <c r="G236" s="243">
        <f t="shared" si="4"/>
        <v>62</v>
      </c>
      <c r="H236" s="244"/>
      <c r="I236" s="71" t="e">
        <f>IF(COUNTIF((rName rData),H236),"","Name Error!")</f>
        <v>#NAME?</v>
      </c>
    </row>
    <row r="237" spans="2:9" s="126" customFormat="1" ht="15" customHeight="1" x14ac:dyDescent="0.25">
      <c r="B237" s="271" t="s">
        <v>279</v>
      </c>
      <c r="C237" s="272" t="s">
        <v>280</v>
      </c>
      <c r="D237" s="275" t="s">
        <v>216</v>
      </c>
      <c r="E237" s="275">
        <v>41244.497199074074</v>
      </c>
      <c r="F237" s="276">
        <v>2</v>
      </c>
      <c r="G237" s="243">
        <f t="shared" si="4"/>
        <v>62</v>
      </c>
      <c r="H237" s="244"/>
      <c r="I237" s="71" t="e">
        <f>IF(COUNTIF((rName rData),H237),"","Name Error!")</f>
        <v>#NAME?</v>
      </c>
    </row>
    <row r="238" spans="2:9" s="126" customFormat="1" ht="15" customHeight="1" x14ac:dyDescent="0.25">
      <c r="B238" s="271" t="s">
        <v>333</v>
      </c>
      <c r="C238" s="272" t="s">
        <v>332</v>
      </c>
      <c r="D238" s="275" t="s">
        <v>216</v>
      </c>
      <c r="E238" s="275">
        <v>41244.497245370374</v>
      </c>
      <c r="F238" s="276">
        <v>2</v>
      </c>
      <c r="G238" s="243">
        <f t="shared" si="4"/>
        <v>62</v>
      </c>
      <c r="H238" s="244"/>
      <c r="I238" s="71" t="e">
        <f>IF(COUNTIF((rName rData),H238),"","Name Error!")</f>
        <v>#NAME?</v>
      </c>
    </row>
    <row r="239" spans="2:9" s="126" customFormat="1" ht="15" customHeight="1" x14ac:dyDescent="0.25">
      <c r="B239" s="271" t="s">
        <v>360</v>
      </c>
      <c r="C239" s="272" t="s">
        <v>359</v>
      </c>
      <c r="D239" s="275" t="s">
        <v>216</v>
      </c>
      <c r="E239" s="275">
        <v>41244.497476851851</v>
      </c>
      <c r="F239" s="276">
        <v>2</v>
      </c>
      <c r="G239" s="243">
        <f t="shared" si="4"/>
        <v>62</v>
      </c>
      <c r="H239" s="244"/>
      <c r="I239" s="71" t="e">
        <f>IF(COUNTIF((rName rData),H239),"","Name Error!")</f>
        <v>#NAME?</v>
      </c>
    </row>
    <row r="240" spans="2:9" s="126" customFormat="1" ht="15" customHeight="1" x14ac:dyDescent="0.25">
      <c r="B240" s="271" t="s">
        <v>352</v>
      </c>
      <c r="C240" s="272" t="s">
        <v>351</v>
      </c>
      <c r="D240" s="275" t="s">
        <v>216</v>
      </c>
      <c r="E240" s="275">
        <v>41244.497534722221</v>
      </c>
      <c r="F240" s="276">
        <v>2</v>
      </c>
      <c r="G240" s="243">
        <f t="shared" si="4"/>
        <v>62</v>
      </c>
      <c r="H240" s="244"/>
      <c r="I240" s="71" t="e">
        <f>IF(COUNTIF((rName rData),H240),"","Name Error!")</f>
        <v>#NAME?</v>
      </c>
    </row>
    <row r="241" spans="2:9" s="126" customFormat="1" ht="15" customHeight="1" x14ac:dyDescent="0.25">
      <c r="B241" s="271" t="s">
        <v>369</v>
      </c>
      <c r="C241" s="272" t="s">
        <v>368</v>
      </c>
      <c r="D241" s="275" t="s">
        <v>216</v>
      </c>
      <c r="E241" s="275">
        <v>41244.49858796296</v>
      </c>
      <c r="F241" s="276">
        <v>2</v>
      </c>
      <c r="G241" s="243">
        <f t="shared" si="4"/>
        <v>62</v>
      </c>
      <c r="H241" s="244"/>
      <c r="I241" s="71" t="e">
        <f>IF(COUNTIF((rName rData),H241),"","Name Error!")</f>
        <v>#NAME?</v>
      </c>
    </row>
    <row r="242" spans="2:9" s="126" customFormat="1" ht="15" customHeight="1" x14ac:dyDescent="0.25">
      <c r="B242" s="271" t="s">
        <v>339</v>
      </c>
      <c r="C242" s="272" t="s">
        <v>338</v>
      </c>
      <c r="D242" s="275" t="s">
        <v>216</v>
      </c>
      <c r="E242" s="275">
        <v>41244.499872685185</v>
      </c>
      <c r="F242" s="276">
        <v>5</v>
      </c>
      <c r="G242" s="243">
        <f t="shared" si="4"/>
        <v>62</v>
      </c>
      <c r="H242" s="244"/>
      <c r="I242" s="71" t="e">
        <f>IF(COUNTIF((rName rData),H242),"","Name Error!")</f>
        <v>#NAME?</v>
      </c>
    </row>
    <row r="243" spans="2:9" s="126" customFormat="1" ht="15" customHeight="1" x14ac:dyDescent="0.25">
      <c r="B243" s="271" t="s">
        <v>365</v>
      </c>
      <c r="C243" s="272" t="s">
        <v>364</v>
      </c>
      <c r="D243" s="275" t="s">
        <v>216</v>
      </c>
      <c r="E243" s="275">
        <v>41244.500127314815</v>
      </c>
      <c r="F243" s="276">
        <v>1</v>
      </c>
      <c r="G243" s="243">
        <f t="shared" si="4"/>
        <v>62</v>
      </c>
      <c r="H243" s="244"/>
      <c r="I243" s="71" t="e">
        <f>IF(COUNTIF((rName rData),H243),"","Name Error!")</f>
        <v>#NAME?</v>
      </c>
    </row>
    <row r="244" spans="2:9" s="126" customFormat="1" ht="15" customHeight="1" x14ac:dyDescent="0.25">
      <c r="B244" s="271" t="s">
        <v>362</v>
      </c>
      <c r="C244" s="272" t="s">
        <v>361</v>
      </c>
      <c r="D244" s="275" t="s">
        <v>216</v>
      </c>
      <c r="E244" s="275">
        <v>41244.500405092593</v>
      </c>
      <c r="F244" s="276">
        <v>1</v>
      </c>
      <c r="G244" s="243">
        <f t="shared" si="4"/>
        <v>62</v>
      </c>
      <c r="H244" s="244"/>
      <c r="I244" s="71" t="e">
        <f>IF(COUNTIF((rName rData),H244),"","Name Error!")</f>
        <v>#NAME?</v>
      </c>
    </row>
    <row r="245" spans="2:9" s="126" customFormat="1" ht="15" customHeight="1" x14ac:dyDescent="0.25">
      <c r="B245" s="271" t="s">
        <v>320</v>
      </c>
      <c r="C245" s="272" t="s">
        <v>319</v>
      </c>
      <c r="D245" s="275" t="s">
        <v>216</v>
      </c>
      <c r="E245" s="275">
        <v>41244.500578703701</v>
      </c>
      <c r="F245" s="276">
        <v>4</v>
      </c>
      <c r="G245" s="243">
        <f t="shared" si="4"/>
        <v>62</v>
      </c>
      <c r="H245" s="244"/>
      <c r="I245" s="71" t="e">
        <f>IF(COUNTIF((rName rData),H245),"","Name Error!")</f>
        <v>#NAME?</v>
      </c>
    </row>
    <row r="246" spans="2:9" s="126" customFormat="1" ht="15" customHeight="1" x14ac:dyDescent="0.25">
      <c r="B246" s="271" t="s">
        <v>335</v>
      </c>
      <c r="C246" s="272" t="s">
        <v>334</v>
      </c>
      <c r="D246" s="275" t="s">
        <v>216</v>
      </c>
      <c r="E246" s="275">
        <v>41244.505879629629</v>
      </c>
      <c r="F246" s="276">
        <v>1</v>
      </c>
      <c r="G246" s="243">
        <f t="shared" si="4"/>
        <v>62</v>
      </c>
      <c r="H246" s="244"/>
      <c r="I246" s="71" t="e">
        <f>IF(COUNTIF((rName rData),H246),"","Name Error!")</f>
        <v>#NAME?</v>
      </c>
    </row>
    <row r="247" spans="2:9" s="126" customFormat="1" ht="15" customHeight="1" x14ac:dyDescent="0.25">
      <c r="B247" s="271" t="s">
        <v>333</v>
      </c>
      <c r="C247" s="272" t="s">
        <v>332</v>
      </c>
      <c r="D247" s="275" t="s">
        <v>216</v>
      </c>
      <c r="E247" s="275">
        <v>41245.022037037037</v>
      </c>
      <c r="F247" s="276">
        <v>4</v>
      </c>
      <c r="G247" s="243">
        <f t="shared" si="4"/>
        <v>62</v>
      </c>
      <c r="H247" s="244"/>
      <c r="I247" s="71" t="e">
        <f>IF(COUNTIF((rName rData),H247),"","Name Error!")</f>
        <v>#NAME?</v>
      </c>
    </row>
    <row r="248" spans="2:9" s="126" customFormat="1" ht="15" customHeight="1" x14ac:dyDescent="0.25">
      <c r="B248" s="271" t="s">
        <v>365</v>
      </c>
      <c r="C248" s="272" t="s">
        <v>364</v>
      </c>
      <c r="D248" s="275" t="s">
        <v>216</v>
      </c>
      <c r="E248" s="275">
        <v>41245.093865740739</v>
      </c>
      <c r="F248" s="276">
        <v>3</v>
      </c>
      <c r="G248" s="243">
        <f t="shared" si="4"/>
        <v>62</v>
      </c>
      <c r="H248" s="244"/>
      <c r="I248" s="71" t="e">
        <f>IF(COUNTIF((rName rData),H248),"","Name Error!")</f>
        <v>#NAME?</v>
      </c>
    </row>
    <row r="249" spans="2:9" s="126" customFormat="1" ht="15" customHeight="1" x14ac:dyDescent="0.25">
      <c r="B249" s="271" t="s">
        <v>371</v>
      </c>
      <c r="C249" s="272" t="s">
        <v>370</v>
      </c>
      <c r="D249" s="275" t="s">
        <v>216</v>
      </c>
      <c r="E249" s="275">
        <v>41245.14234953704</v>
      </c>
      <c r="F249" s="276">
        <v>2</v>
      </c>
      <c r="G249" s="243">
        <f t="shared" si="4"/>
        <v>62</v>
      </c>
      <c r="H249" s="244"/>
      <c r="I249" s="71" t="e">
        <f>IF(COUNTIF((rName rData),H249),"","Name Error!")</f>
        <v>#NAME?</v>
      </c>
    </row>
    <row r="250" spans="2:9" s="126" customFormat="1" ht="15" customHeight="1" x14ac:dyDescent="0.25">
      <c r="B250" s="271" t="s">
        <v>324</v>
      </c>
      <c r="C250" s="272" t="s">
        <v>323</v>
      </c>
      <c r="D250" s="275" t="s">
        <v>216</v>
      </c>
      <c r="E250" s="275">
        <v>41245.161273148151</v>
      </c>
      <c r="F250" s="276">
        <v>6</v>
      </c>
      <c r="G250" s="243">
        <f t="shared" si="4"/>
        <v>62</v>
      </c>
      <c r="H250" s="244"/>
      <c r="I250" s="71" t="e">
        <f>IF(COUNTIF((rName rData),H250),"","Name Error!")</f>
        <v>#NAME?</v>
      </c>
    </row>
    <row r="251" spans="2:9" s="126" customFormat="1" ht="15" customHeight="1" x14ac:dyDescent="0.25">
      <c r="B251" s="271" t="s">
        <v>341</v>
      </c>
      <c r="C251" s="272" t="s">
        <v>340</v>
      </c>
      <c r="D251" s="275" t="s">
        <v>216</v>
      </c>
      <c r="E251" s="275">
        <v>41245.364641203705</v>
      </c>
      <c r="F251" s="276">
        <v>3</v>
      </c>
      <c r="G251" s="243">
        <f t="shared" si="4"/>
        <v>62</v>
      </c>
      <c r="H251" s="244"/>
      <c r="I251" s="71" t="e">
        <f>IF(COUNTIF((rName rData),H251),"","Name Error!")</f>
        <v>#NAME?</v>
      </c>
    </row>
    <row r="252" spans="2:9" s="126" customFormat="1" ht="15" customHeight="1" x14ac:dyDescent="0.25">
      <c r="B252" s="271" t="s">
        <v>267</v>
      </c>
      <c r="C252" s="272" t="s">
        <v>268</v>
      </c>
      <c r="D252" s="275" t="s">
        <v>216</v>
      </c>
      <c r="E252" s="275">
        <v>41245.515856481485</v>
      </c>
      <c r="F252" s="276">
        <v>1</v>
      </c>
      <c r="G252" s="243">
        <f t="shared" si="4"/>
        <v>62</v>
      </c>
      <c r="H252" s="244"/>
      <c r="I252" s="71" t="e">
        <f>IF(COUNTIF((rName rData),H252),"","Name Error!")</f>
        <v>#NAME?</v>
      </c>
    </row>
    <row r="253" spans="2:9" s="126" customFormat="1" ht="15" customHeight="1" x14ac:dyDescent="0.25">
      <c r="B253" s="271" t="s">
        <v>326</v>
      </c>
      <c r="C253" s="272" t="s">
        <v>325</v>
      </c>
      <c r="D253" s="275" t="s">
        <v>216</v>
      </c>
      <c r="E253" s="275">
        <v>41245.561076388891</v>
      </c>
      <c r="F253" s="276">
        <v>3</v>
      </c>
      <c r="G253" s="243">
        <f t="shared" si="4"/>
        <v>62</v>
      </c>
      <c r="H253" s="244"/>
      <c r="I253" s="71" t="e">
        <f>IF(COUNTIF((rName rData),H253),"","Name Error!")</f>
        <v>#NAME?</v>
      </c>
    </row>
    <row r="254" spans="2:9" s="126" customFormat="1" ht="15" customHeight="1" x14ac:dyDescent="0.25">
      <c r="B254" s="271" t="s">
        <v>335</v>
      </c>
      <c r="C254" s="272" t="s">
        <v>334</v>
      </c>
      <c r="D254" s="275" t="s">
        <v>216</v>
      </c>
      <c r="E254" s="275">
        <v>41245.561979166669</v>
      </c>
      <c r="F254" s="276">
        <v>4</v>
      </c>
      <c r="G254" s="243">
        <f t="shared" si="4"/>
        <v>62</v>
      </c>
      <c r="H254" s="244"/>
      <c r="I254" s="71" t="e">
        <f>IF(COUNTIF((rName rData),H254),"","Name Error!")</f>
        <v>#NAME?</v>
      </c>
    </row>
    <row r="255" spans="2:9" s="126" customFormat="1" ht="15" customHeight="1" x14ac:dyDescent="0.25">
      <c r="B255" s="271" t="s">
        <v>358</v>
      </c>
      <c r="C255" s="272" t="s">
        <v>357</v>
      </c>
      <c r="D255" s="275" t="s">
        <v>216</v>
      </c>
      <c r="E255" s="275">
        <v>41245.59270833333</v>
      </c>
      <c r="F255" s="276">
        <v>3</v>
      </c>
      <c r="G255" s="243">
        <f t="shared" si="4"/>
        <v>62</v>
      </c>
      <c r="H255" s="244"/>
      <c r="I255" s="71" t="e">
        <f>IF(COUNTIF((rName rData),H255),"","Name Error!")</f>
        <v>#NAME?</v>
      </c>
    </row>
    <row r="256" spans="2:9" s="126" customFormat="1" ht="15" customHeight="1" x14ac:dyDescent="0.25">
      <c r="B256" s="271" t="s">
        <v>362</v>
      </c>
      <c r="C256" s="272" t="s">
        <v>361</v>
      </c>
      <c r="D256" s="275" t="s">
        <v>216</v>
      </c>
      <c r="E256" s="275">
        <v>41245.595393518517</v>
      </c>
      <c r="F256" s="276">
        <v>4</v>
      </c>
      <c r="G256" s="243">
        <f t="shared" si="4"/>
        <v>62</v>
      </c>
      <c r="H256" s="244"/>
      <c r="I256" s="71" t="e">
        <f>IF(COUNTIF((rName rData),H256),"","Name Error!")</f>
        <v>#NAME?</v>
      </c>
    </row>
    <row r="257" spans="2:9" s="126" customFormat="1" ht="15" customHeight="1" x14ac:dyDescent="0.25">
      <c r="B257" s="271" t="s">
        <v>350</v>
      </c>
      <c r="C257" s="272" t="s">
        <v>349</v>
      </c>
      <c r="D257" s="275" t="s">
        <v>216</v>
      </c>
      <c r="E257" s="275">
        <v>41245.595590277779</v>
      </c>
      <c r="F257" s="276">
        <v>4</v>
      </c>
      <c r="G257" s="243">
        <f t="shared" si="4"/>
        <v>62</v>
      </c>
      <c r="H257" s="244"/>
      <c r="I257" s="71" t="e">
        <f>IF(COUNTIF((rName rData),H257),"","Name Error!")</f>
        <v>#NAME?</v>
      </c>
    </row>
    <row r="258" spans="2:9" s="126" customFormat="1" ht="15" customHeight="1" x14ac:dyDescent="0.25">
      <c r="B258" s="271" t="s">
        <v>328</v>
      </c>
      <c r="C258" s="272" t="s">
        <v>327</v>
      </c>
      <c r="D258" s="275" t="s">
        <v>216</v>
      </c>
      <c r="E258" s="275">
        <v>41245.599224537036</v>
      </c>
      <c r="F258" s="276">
        <v>3</v>
      </c>
      <c r="G258" s="243">
        <f t="shared" si="4"/>
        <v>62</v>
      </c>
      <c r="H258" s="244"/>
      <c r="I258" s="71" t="e">
        <f>IF(COUNTIF((rName rData),H258),"","Name Error!")</f>
        <v>#NAME?</v>
      </c>
    </row>
    <row r="259" spans="2:9" s="126" customFormat="1" ht="15" customHeight="1" x14ac:dyDescent="0.25">
      <c r="B259" s="271" t="s">
        <v>339</v>
      </c>
      <c r="C259" s="272" t="s">
        <v>338</v>
      </c>
      <c r="D259" s="275" t="s">
        <v>216</v>
      </c>
      <c r="E259" s="275">
        <v>41245.61446759259</v>
      </c>
      <c r="F259" s="276">
        <v>3</v>
      </c>
      <c r="G259" s="243">
        <f t="shared" si="4"/>
        <v>62</v>
      </c>
      <c r="H259" s="244"/>
      <c r="I259" s="71" t="e">
        <f>IF(COUNTIF((rName rData),H259),"","Name Error!")</f>
        <v>#NAME?</v>
      </c>
    </row>
    <row r="260" spans="2:9" s="126" customFormat="1" ht="15" customHeight="1" x14ac:dyDescent="0.25">
      <c r="B260" s="271" t="s">
        <v>356</v>
      </c>
      <c r="C260" s="272" t="s">
        <v>355</v>
      </c>
      <c r="D260" s="275" t="s">
        <v>216</v>
      </c>
      <c r="E260" s="275">
        <v>41245.63994212963</v>
      </c>
      <c r="F260" s="276">
        <v>4</v>
      </c>
      <c r="G260" s="243">
        <f t="shared" si="4"/>
        <v>62</v>
      </c>
      <c r="H260" s="244"/>
      <c r="I260" s="71" t="e">
        <f>IF(COUNTIF((rName rData),H260),"","Name Error!")</f>
        <v>#NAME?</v>
      </c>
    </row>
    <row r="261" spans="2:9" s="126" customFormat="1" ht="15" customHeight="1" x14ac:dyDescent="0.25">
      <c r="B261" s="271" t="s">
        <v>320</v>
      </c>
      <c r="C261" s="272" t="s">
        <v>319</v>
      </c>
      <c r="D261" s="275" t="s">
        <v>216</v>
      </c>
      <c r="E261" s="275">
        <v>41245.660833333335</v>
      </c>
      <c r="F261" s="276">
        <v>3</v>
      </c>
      <c r="G261" s="243">
        <f t="shared" si="4"/>
        <v>62</v>
      </c>
      <c r="H261" s="244"/>
      <c r="I261" s="71" t="e">
        <f>IF(COUNTIF((rName rData),H261),"","Name Error!")</f>
        <v>#NAME?</v>
      </c>
    </row>
    <row r="262" spans="2:9" s="126" customFormat="1" ht="15" customHeight="1" x14ac:dyDescent="0.25">
      <c r="B262" s="271" t="s">
        <v>352</v>
      </c>
      <c r="C262" s="272" t="s">
        <v>351</v>
      </c>
      <c r="D262" s="275" t="s">
        <v>216</v>
      </c>
      <c r="E262" s="275">
        <v>41245.695381944446</v>
      </c>
      <c r="F262" s="276">
        <v>2</v>
      </c>
      <c r="G262" s="243">
        <f t="shared" si="4"/>
        <v>62</v>
      </c>
      <c r="H262" s="244"/>
      <c r="I262" s="71" t="e">
        <f>IF(COUNTIF((rName rData),H262),"","Name Error!")</f>
        <v>#NAME?</v>
      </c>
    </row>
    <row r="263" spans="2:9" s="126" customFormat="1" ht="15" customHeight="1" x14ac:dyDescent="0.25">
      <c r="B263" s="271" t="s">
        <v>354</v>
      </c>
      <c r="C263" s="272" t="s">
        <v>353</v>
      </c>
      <c r="D263" s="275" t="s">
        <v>216</v>
      </c>
      <c r="E263" s="275">
        <v>41245.73400462963</v>
      </c>
      <c r="F263" s="276">
        <v>2</v>
      </c>
      <c r="G263" s="243">
        <f t="shared" si="4"/>
        <v>62</v>
      </c>
      <c r="H263" s="244"/>
      <c r="I263" s="71" t="e">
        <f>IF(COUNTIF((rName rData),H263),"","Name Error!")</f>
        <v>#NAME?</v>
      </c>
    </row>
    <row r="264" spans="2:9" s="126" customFormat="1" ht="15" customHeight="1" x14ac:dyDescent="0.25">
      <c r="B264" s="271" t="s">
        <v>337</v>
      </c>
      <c r="C264" s="272" t="s">
        <v>336</v>
      </c>
      <c r="D264" s="275" t="s">
        <v>216</v>
      </c>
      <c r="E264" s="275">
        <v>41245.749756944446</v>
      </c>
      <c r="F264" s="276">
        <v>3</v>
      </c>
      <c r="G264" s="243">
        <f t="shared" si="4"/>
        <v>62</v>
      </c>
      <c r="H264" s="244"/>
      <c r="I264" s="71" t="e">
        <f>IF(COUNTIF((rName rData),H264),"","Name Error!")</f>
        <v>#NAME?</v>
      </c>
    </row>
    <row r="265" spans="2:9" s="126" customFormat="1" ht="15" customHeight="1" x14ac:dyDescent="0.25">
      <c r="B265" s="271" t="s">
        <v>345</v>
      </c>
      <c r="C265" s="272" t="s">
        <v>344</v>
      </c>
      <c r="D265" s="275" t="s">
        <v>216</v>
      </c>
      <c r="E265" s="275">
        <v>41245.761203703703</v>
      </c>
      <c r="F265" s="276">
        <v>2</v>
      </c>
      <c r="G265" s="243">
        <f t="shared" si="4"/>
        <v>62</v>
      </c>
      <c r="H265" s="244"/>
      <c r="I265" s="71" t="e">
        <f>IF(COUNTIF((rName rData),H265),"","Name Error!")</f>
        <v>#NAME?</v>
      </c>
    </row>
    <row r="266" spans="2:9" s="126" customFormat="1" ht="15" customHeight="1" x14ac:dyDescent="0.25">
      <c r="B266" s="271" t="s">
        <v>343</v>
      </c>
      <c r="C266" s="272" t="s">
        <v>342</v>
      </c>
      <c r="D266" s="275" t="s">
        <v>216</v>
      </c>
      <c r="E266" s="275">
        <v>41245.766504629632</v>
      </c>
      <c r="F266" s="276">
        <v>2</v>
      </c>
      <c r="G266" s="243">
        <f t="shared" ref="G266:G329" si="5">TRUNC((E266-start)/7)+1</f>
        <v>62</v>
      </c>
      <c r="H266" s="244"/>
      <c r="I266" s="71" t="e">
        <f>IF(COUNTIF((rName rData),H266),"","Name Error!")</f>
        <v>#NAME?</v>
      </c>
    </row>
    <row r="267" spans="2:9" s="126" customFormat="1" ht="15" customHeight="1" x14ac:dyDescent="0.25">
      <c r="B267" s="271" t="s">
        <v>322</v>
      </c>
      <c r="C267" s="272" t="s">
        <v>321</v>
      </c>
      <c r="D267" s="275" t="s">
        <v>216</v>
      </c>
      <c r="E267" s="275">
        <v>41245.778900462959</v>
      </c>
      <c r="F267" s="276">
        <v>3</v>
      </c>
      <c r="G267" s="243">
        <f t="shared" si="5"/>
        <v>62</v>
      </c>
      <c r="H267" s="244"/>
      <c r="I267" s="71" t="e">
        <f>IF(COUNTIF((rName rData),H267),"","Name Error!")</f>
        <v>#NAME?</v>
      </c>
    </row>
    <row r="268" spans="2:9" s="126" customFormat="1" ht="15" customHeight="1" x14ac:dyDescent="0.25">
      <c r="B268" s="271" t="s">
        <v>279</v>
      </c>
      <c r="C268" s="272" t="s">
        <v>280</v>
      </c>
      <c r="D268" s="275" t="s">
        <v>216</v>
      </c>
      <c r="E268" s="275">
        <v>41245.795347222222</v>
      </c>
      <c r="F268" s="276">
        <v>2</v>
      </c>
      <c r="G268" s="243">
        <f t="shared" si="5"/>
        <v>62</v>
      </c>
      <c r="H268" s="244"/>
      <c r="I268" s="71" t="e">
        <f>IF(COUNTIF((rName rData),H268),"","Name Error!")</f>
        <v>#NAME?</v>
      </c>
    </row>
    <row r="269" spans="2:9" s="126" customFormat="1" ht="15" customHeight="1" x14ac:dyDescent="0.25">
      <c r="B269" s="271" t="s">
        <v>331</v>
      </c>
      <c r="C269" s="272" t="s">
        <v>330</v>
      </c>
      <c r="D269" s="275" t="s">
        <v>216</v>
      </c>
      <c r="E269" s="275">
        <v>41245.823009259257</v>
      </c>
      <c r="F269" s="276">
        <v>2</v>
      </c>
      <c r="G269" s="243">
        <f t="shared" si="5"/>
        <v>62</v>
      </c>
      <c r="H269" s="244"/>
      <c r="I269" s="71" t="e">
        <f>IF(COUNTIF((rName rData),H269),"","Name Error!")</f>
        <v>#NAME?</v>
      </c>
    </row>
    <row r="270" spans="2:9" s="126" customFormat="1" ht="15" customHeight="1" x14ac:dyDescent="0.25">
      <c r="B270" s="271" t="s">
        <v>360</v>
      </c>
      <c r="C270" s="272" t="s">
        <v>359</v>
      </c>
      <c r="D270" s="275" t="s">
        <v>216</v>
      </c>
      <c r="E270" s="275">
        <v>41245.828310185185</v>
      </c>
      <c r="F270" s="276">
        <v>2</v>
      </c>
      <c r="G270" s="243">
        <f t="shared" si="5"/>
        <v>62</v>
      </c>
      <c r="H270" s="244"/>
      <c r="I270" s="71" t="e">
        <f>IF(COUNTIF((rName rData),H270),"","Name Error!")</f>
        <v>#NAME?</v>
      </c>
    </row>
    <row r="271" spans="2:9" s="126" customFormat="1" ht="15" customHeight="1" x14ac:dyDescent="0.25">
      <c r="B271" s="271" t="s">
        <v>369</v>
      </c>
      <c r="C271" s="272" t="s">
        <v>368</v>
      </c>
      <c r="D271" s="275" t="s">
        <v>216</v>
      </c>
      <c r="E271" s="275">
        <v>41245.867766203701</v>
      </c>
      <c r="F271" s="276">
        <v>1</v>
      </c>
      <c r="G271" s="243">
        <f t="shared" si="5"/>
        <v>62</v>
      </c>
      <c r="H271" s="244"/>
      <c r="I271" s="71" t="e">
        <f>IF(COUNTIF((rName rData),H271),"","Name Error!")</f>
        <v>#NAME?</v>
      </c>
    </row>
    <row r="272" spans="2:9" s="126" customFormat="1" ht="15" customHeight="1" x14ac:dyDescent="0.25">
      <c r="B272" s="271" t="s">
        <v>335</v>
      </c>
      <c r="C272" s="272" t="s">
        <v>334</v>
      </c>
      <c r="D272" s="275" t="s">
        <v>216</v>
      </c>
      <c r="E272" s="275">
        <v>41246.006643518522</v>
      </c>
      <c r="F272" s="276">
        <v>4</v>
      </c>
      <c r="G272" s="243">
        <f t="shared" si="5"/>
        <v>62</v>
      </c>
      <c r="H272" s="244"/>
      <c r="I272" s="71" t="e">
        <f>IF(COUNTIF((rName rData),H272),"","Name Error!")</f>
        <v>#NAME?</v>
      </c>
    </row>
    <row r="273" spans="2:9" s="126" customFormat="1" ht="15" customHeight="1" x14ac:dyDescent="0.25">
      <c r="B273" s="271" t="s">
        <v>358</v>
      </c>
      <c r="C273" s="272" t="s">
        <v>357</v>
      </c>
      <c r="D273" s="275" t="s">
        <v>216</v>
      </c>
      <c r="E273" s="275">
        <v>41246.010671296295</v>
      </c>
      <c r="F273" s="276">
        <v>4</v>
      </c>
      <c r="G273" s="243">
        <f t="shared" si="5"/>
        <v>62</v>
      </c>
      <c r="H273" s="244"/>
      <c r="I273" s="71" t="e">
        <f>IF(COUNTIF((rName rData),H273),"","Name Error!")</f>
        <v>#NAME?</v>
      </c>
    </row>
    <row r="274" spans="2:9" s="126" customFormat="1" ht="15" customHeight="1" x14ac:dyDescent="0.25">
      <c r="B274" s="271" t="s">
        <v>339</v>
      </c>
      <c r="C274" s="272" t="s">
        <v>338</v>
      </c>
      <c r="D274" s="275" t="s">
        <v>216</v>
      </c>
      <c r="E274" s="275">
        <v>41246.035509259258</v>
      </c>
      <c r="F274" s="276">
        <v>7</v>
      </c>
      <c r="G274" s="243">
        <f t="shared" si="5"/>
        <v>62</v>
      </c>
      <c r="H274" s="244"/>
      <c r="I274" s="71" t="e">
        <f>IF(COUNTIF((rName rData),H274),"","Name Error!")</f>
        <v>#NAME?</v>
      </c>
    </row>
    <row r="275" spans="2:9" s="126" customFormat="1" ht="15" customHeight="1" x14ac:dyDescent="0.25">
      <c r="B275" s="271" t="s">
        <v>345</v>
      </c>
      <c r="C275" s="272" t="s">
        <v>344</v>
      </c>
      <c r="D275" s="275" t="s">
        <v>216</v>
      </c>
      <c r="E275" s="275">
        <v>41246.285787037035</v>
      </c>
      <c r="F275" s="276">
        <v>4</v>
      </c>
      <c r="G275" s="243">
        <f t="shared" si="5"/>
        <v>62</v>
      </c>
      <c r="H275" s="244"/>
      <c r="I275" s="71" t="e">
        <f>IF(COUNTIF((rName rData),H275),"","Name Error!")</f>
        <v>#NAME?</v>
      </c>
    </row>
    <row r="276" spans="2:9" s="126" customFormat="1" ht="15" customHeight="1" x14ac:dyDescent="0.25">
      <c r="B276" s="271" t="s">
        <v>367</v>
      </c>
      <c r="C276" s="272" t="s">
        <v>366</v>
      </c>
      <c r="D276" s="275" t="s">
        <v>216</v>
      </c>
      <c r="E276" s="275">
        <v>41246.314930555556</v>
      </c>
      <c r="F276" s="276">
        <v>3</v>
      </c>
      <c r="G276" s="243">
        <f t="shared" si="5"/>
        <v>62</v>
      </c>
      <c r="H276" s="244"/>
      <c r="I276" s="71" t="e">
        <f>IF(COUNTIF((rName rData),H276),"","Name Error!")</f>
        <v>#NAME?</v>
      </c>
    </row>
    <row r="277" spans="2:9" s="126" customFormat="1" ht="15" customHeight="1" x14ac:dyDescent="0.25">
      <c r="B277" s="271" t="s">
        <v>337</v>
      </c>
      <c r="C277" s="272" t="s">
        <v>336</v>
      </c>
      <c r="D277" s="275" t="s">
        <v>216</v>
      </c>
      <c r="E277" s="275">
        <v>41246.322627314818</v>
      </c>
      <c r="F277" s="276">
        <v>6</v>
      </c>
      <c r="G277" s="243">
        <f t="shared" si="5"/>
        <v>62</v>
      </c>
      <c r="H277" s="244"/>
      <c r="I277" s="71" t="e">
        <f>IF(COUNTIF((rName rData),H277),"","Name Error!")</f>
        <v>#NAME?</v>
      </c>
    </row>
    <row r="278" spans="2:9" s="126" customFormat="1" ht="15" customHeight="1" x14ac:dyDescent="0.25">
      <c r="B278" s="271" t="s">
        <v>362</v>
      </c>
      <c r="C278" s="272" t="s">
        <v>361</v>
      </c>
      <c r="D278" s="275" t="s">
        <v>216</v>
      </c>
      <c r="E278" s="275">
        <v>41246.34097222222</v>
      </c>
      <c r="F278" s="276">
        <v>6</v>
      </c>
      <c r="G278" s="243">
        <f t="shared" si="5"/>
        <v>62</v>
      </c>
      <c r="H278" s="244"/>
      <c r="I278" s="71" t="e">
        <f>IF(COUNTIF((rName rData),H278),"","Name Error!")</f>
        <v>#NAME?</v>
      </c>
    </row>
    <row r="279" spans="2:9" s="126" customFormat="1" ht="15" customHeight="1" x14ac:dyDescent="0.25">
      <c r="B279" s="271" t="s">
        <v>365</v>
      </c>
      <c r="C279" s="272" t="s">
        <v>364</v>
      </c>
      <c r="D279" s="275" t="s">
        <v>216</v>
      </c>
      <c r="E279" s="275">
        <v>41246.353229166663</v>
      </c>
      <c r="F279" s="276">
        <v>2</v>
      </c>
      <c r="G279" s="243">
        <f t="shared" si="5"/>
        <v>62</v>
      </c>
      <c r="H279" s="244"/>
      <c r="I279" s="71" t="e">
        <f>IF(COUNTIF((rName rData),H279),"","Name Error!")</f>
        <v>#NAME?</v>
      </c>
    </row>
    <row r="280" spans="2:9" s="126" customFormat="1" ht="15" customHeight="1" x14ac:dyDescent="0.25">
      <c r="B280" s="271" t="s">
        <v>343</v>
      </c>
      <c r="C280" s="272" t="s">
        <v>342</v>
      </c>
      <c r="D280" s="275" t="s">
        <v>216</v>
      </c>
      <c r="E280" s="275">
        <v>41246.370196759257</v>
      </c>
      <c r="F280" s="276">
        <v>5</v>
      </c>
      <c r="G280" s="243">
        <f t="shared" si="5"/>
        <v>62</v>
      </c>
      <c r="H280" s="244"/>
      <c r="I280" s="71" t="e">
        <f>IF(COUNTIF((rName rData),H280),"","Name Error!")</f>
        <v>#NAME?</v>
      </c>
    </row>
    <row r="281" spans="2:9" s="126" customFormat="1" ht="15" customHeight="1" x14ac:dyDescent="0.25">
      <c r="B281" s="271" t="s">
        <v>354</v>
      </c>
      <c r="C281" s="272" t="s">
        <v>353</v>
      </c>
      <c r="D281" s="275" t="s">
        <v>216</v>
      </c>
      <c r="E281" s="275">
        <v>41246.378506944442</v>
      </c>
      <c r="F281" s="276">
        <v>5</v>
      </c>
      <c r="G281" s="243">
        <f t="shared" si="5"/>
        <v>62</v>
      </c>
      <c r="H281" s="244"/>
      <c r="I281" s="71" t="e">
        <f>IF(COUNTIF((rName rData),H281),"","Name Error!")</f>
        <v>#NAME?</v>
      </c>
    </row>
    <row r="282" spans="2:9" s="126" customFormat="1" ht="15" customHeight="1" x14ac:dyDescent="0.25">
      <c r="B282" s="271" t="s">
        <v>341</v>
      </c>
      <c r="C282" s="272" t="s">
        <v>340</v>
      </c>
      <c r="D282" s="275" t="s">
        <v>216</v>
      </c>
      <c r="E282" s="275">
        <v>41246.404479166667</v>
      </c>
      <c r="F282" s="276">
        <v>5</v>
      </c>
      <c r="G282" s="243">
        <f t="shared" si="5"/>
        <v>62</v>
      </c>
      <c r="H282" s="244"/>
      <c r="I282" s="71" t="e">
        <f>IF(COUNTIF((rName rData),H282),"","Name Error!")</f>
        <v>#NAME?</v>
      </c>
    </row>
    <row r="283" spans="2:9" s="126" customFormat="1" ht="15" customHeight="1" x14ac:dyDescent="0.25">
      <c r="B283" s="271" t="s">
        <v>326</v>
      </c>
      <c r="C283" s="272" t="s">
        <v>325</v>
      </c>
      <c r="D283" s="275" t="s">
        <v>216</v>
      </c>
      <c r="E283" s="275">
        <v>41246.408263888887</v>
      </c>
      <c r="F283" s="276">
        <v>4</v>
      </c>
      <c r="G283" s="243">
        <f t="shared" si="5"/>
        <v>62</v>
      </c>
      <c r="H283" s="244"/>
      <c r="I283" s="71" t="e">
        <f>IF(COUNTIF((rName rData),H283),"","Name Error!")</f>
        <v>#NAME?</v>
      </c>
    </row>
    <row r="284" spans="2:9" s="126" customFormat="1" ht="15" customHeight="1" x14ac:dyDescent="0.25">
      <c r="B284" s="271" t="s">
        <v>324</v>
      </c>
      <c r="C284" s="272" t="s">
        <v>323</v>
      </c>
      <c r="D284" s="275" t="s">
        <v>216</v>
      </c>
      <c r="E284" s="275">
        <v>41246.409305555557</v>
      </c>
      <c r="F284" s="276">
        <v>4</v>
      </c>
      <c r="G284" s="243">
        <f t="shared" si="5"/>
        <v>62</v>
      </c>
      <c r="H284" s="244"/>
      <c r="I284" s="71" t="e">
        <f>IF(COUNTIF((rName rData),H284),"","Name Error!")</f>
        <v>#NAME?</v>
      </c>
    </row>
    <row r="285" spans="2:9" s="126" customFormat="1" ht="15" customHeight="1" x14ac:dyDescent="0.25">
      <c r="B285" s="271" t="s">
        <v>371</v>
      </c>
      <c r="C285" s="272" t="s">
        <v>370</v>
      </c>
      <c r="D285" s="275" t="s">
        <v>216</v>
      </c>
      <c r="E285" s="275">
        <v>41246.415219907409</v>
      </c>
      <c r="F285" s="276">
        <v>4</v>
      </c>
      <c r="G285" s="243">
        <f t="shared" si="5"/>
        <v>62</v>
      </c>
      <c r="H285" s="244"/>
      <c r="I285" s="71" t="e">
        <f>IF(COUNTIF((rName rData),H285),"","Name Error!")</f>
        <v>#NAME?</v>
      </c>
    </row>
    <row r="286" spans="2:9" s="126" customFormat="1" ht="15" customHeight="1" x14ac:dyDescent="0.25">
      <c r="B286" s="271" t="s">
        <v>352</v>
      </c>
      <c r="C286" s="272" t="s">
        <v>351</v>
      </c>
      <c r="D286" s="275" t="s">
        <v>216</v>
      </c>
      <c r="E286" s="275">
        <v>41246.415729166663</v>
      </c>
      <c r="F286" s="276">
        <v>7</v>
      </c>
      <c r="G286" s="243">
        <f t="shared" si="5"/>
        <v>62</v>
      </c>
      <c r="H286" s="244"/>
      <c r="I286" s="71" t="e">
        <f>IF(COUNTIF((rName rData),H286),"","Name Error!")</f>
        <v>#NAME?</v>
      </c>
    </row>
    <row r="287" spans="2:9" s="126" customFormat="1" ht="15" customHeight="1" x14ac:dyDescent="0.25">
      <c r="B287" s="271" t="s">
        <v>320</v>
      </c>
      <c r="C287" s="272" t="s">
        <v>319</v>
      </c>
      <c r="D287" s="275" t="s">
        <v>216</v>
      </c>
      <c r="E287" s="275">
        <v>41246.416273148148</v>
      </c>
      <c r="F287" s="276">
        <v>5</v>
      </c>
      <c r="G287" s="243">
        <f t="shared" si="5"/>
        <v>62</v>
      </c>
      <c r="H287" s="244"/>
      <c r="I287" s="71" t="e">
        <f>IF(COUNTIF((rName rData),H287),"","Name Error!")</f>
        <v>#NAME?</v>
      </c>
    </row>
    <row r="288" spans="2:9" s="126" customFormat="1" ht="15" customHeight="1" x14ac:dyDescent="0.25">
      <c r="B288" s="271" t="s">
        <v>322</v>
      </c>
      <c r="C288" s="272" t="s">
        <v>321</v>
      </c>
      <c r="D288" s="275" t="s">
        <v>216</v>
      </c>
      <c r="E288" s="275">
        <v>41246.477129629631</v>
      </c>
      <c r="F288" s="276">
        <v>4</v>
      </c>
      <c r="G288" s="243">
        <f t="shared" si="5"/>
        <v>62</v>
      </c>
      <c r="H288" s="244"/>
      <c r="I288" s="71" t="e">
        <f>IF(COUNTIF((rName rData),H288),"","Name Error!")</f>
        <v>#NAME?</v>
      </c>
    </row>
    <row r="289" spans="2:9" s="126" customFormat="1" ht="15" customHeight="1" x14ac:dyDescent="0.25">
      <c r="B289" s="271" t="s">
        <v>331</v>
      </c>
      <c r="C289" s="272" t="s">
        <v>330</v>
      </c>
      <c r="D289" s="275" t="s">
        <v>216</v>
      </c>
      <c r="E289" s="275">
        <v>41246.477129629631</v>
      </c>
      <c r="F289" s="276">
        <v>4</v>
      </c>
      <c r="G289" s="243">
        <f t="shared" si="5"/>
        <v>62</v>
      </c>
      <c r="H289" s="244"/>
      <c r="I289" s="71" t="e">
        <f>IF(COUNTIF((rName rData),H289),"","Name Error!")</f>
        <v>#NAME?</v>
      </c>
    </row>
    <row r="290" spans="2:9" s="126" customFormat="1" ht="15" customHeight="1" x14ac:dyDescent="0.25">
      <c r="B290" s="271" t="s">
        <v>350</v>
      </c>
      <c r="C290" s="272" t="s">
        <v>349</v>
      </c>
      <c r="D290" s="275" t="s">
        <v>216</v>
      </c>
      <c r="E290" s="275">
        <v>41246.478506944448</v>
      </c>
      <c r="F290" s="276">
        <v>3</v>
      </c>
      <c r="G290" s="243">
        <f t="shared" si="5"/>
        <v>62</v>
      </c>
      <c r="H290" s="244"/>
      <c r="I290" s="71" t="e">
        <f>IF(COUNTIF((rName rData),H290),"","Name Error!")</f>
        <v>#NAME?</v>
      </c>
    </row>
    <row r="291" spans="2:9" s="126" customFormat="1" ht="15" customHeight="1" x14ac:dyDescent="0.25">
      <c r="B291" s="271" t="s">
        <v>369</v>
      </c>
      <c r="C291" s="272" t="s">
        <v>368</v>
      </c>
      <c r="D291" s="275" t="s">
        <v>216</v>
      </c>
      <c r="E291" s="275">
        <v>41246.563576388886</v>
      </c>
      <c r="F291" s="276">
        <v>9</v>
      </c>
      <c r="G291" s="243">
        <f t="shared" si="5"/>
        <v>62</v>
      </c>
      <c r="H291" s="244"/>
      <c r="I291" s="71" t="e">
        <f>IF(COUNTIF((rName rData),H291),"","Name Error!")</f>
        <v>#NAME?</v>
      </c>
    </row>
    <row r="292" spans="2:9" s="126" customFormat="1" ht="15" customHeight="1" x14ac:dyDescent="0.25">
      <c r="B292" s="271" t="s">
        <v>328</v>
      </c>
      <c r="C292" s="272" t="s">
        <v>327</v>
      </c>
      <c r="D292" s="275" t="s">
        <v>216</v>
      </c>
      <c r="E292" s="275">
        <v>41246.61378472222</v>
      </c>
      <c r="F292" s="276">
        <v>2</v>
      </c>
      <c r="G292" s="243">
        <f t="shared" si="5"/>
        <v>62</v>
      </c>
      <c r="H292" s="244"/>
      <c r="I292" s="71" t="e">
        <f>IF(COUNTIF((rName rData),H292),"","Name Error!")</f>
        <v>#NAME?</v>
      </c>
    </row>
    <row r="293" spans="2:9" s="126" customFormat="1" ht="15" customHeight="1" x14ac:dyDescent="0.25">
      <c r="B293" s="271" t="s">
        <v>356</v>
      </c>
      <c r="C293" s="272" t="s">
        <v>355</v>
      </c>
      <c r="D293" s="275" t="s">
        <v>216</v>
      </c>
      <c r="E293" s="275">
        <v>41246.613877314812</v>
      </c>
      <c r="F293" s="276">
        <v>4</v>
      </c>
      <c r="G293" s="243">
        <f t="shared" si="5"/>
        <v>62</v>
      </c>
      <c r="H293" s="244"/>
      <c r="I293" s="71" t="e">
        <f>IF(COUNTIF((rName rData),H293),"","Name Error!")</f>
        <v>#NAME?</v>
      </c>
    </row>
    <row r="294" spans="2:9" s="126" customFormat="1" ht="15" customHeight="1" x14ac:dyDescent="0.25">
      <c r="B294" s="271" t="s">
        <v>267</v>
      </c>
      <c r="C294" s="272" t="s">
        <v>268</v>
      </c>
      <c r="D294" s="275" t="s">
        <v>216</v>
      </c>
      <c r="E294" s="275">
        <v>41246.613969907405</v>
      </c>
      <c r="F294" s="276">
        <v>5</v>
      </c>
      <c r="G294" s="243">
        <f t="shared" si="5"/>
        <v>62</v>
      </c>
      <c r="H294" s="244"/>
      <c r="I294" s="71" t="e">
        <f>IF(COUNTIF((rName rData),H294),"","Name Error!")</f>
        <v>#NAME?</v>
      </c>
    </row>
    <row r="295" spans="2:9" s="126" customFormat="1" ht="15" customHeight="1" x14ac:dyDescent="0.25">
      <c r="B295" s="271" t="s">
        <v>279</v>
      </c>
      <c r="C295" s="272" t="s">
        <v>280</v>
      </c>
      <c r="D295" s="275" t="s">
        <v>216</v>
      </c>
      <c r="E295" s="275">
        <v>41246.631736111114</v>
      </c>
      <c r="F295" s="276">
        <v>3</v>
      </c>
      <c r="G295" s="243">
        <f t="shared" si="5"/>
        <v>62</v>
      </c>
      <c r="H295" s="244"/>
      <c r="I295" s="71" t="e">
        <f>IF(COUNTIF((rName rData),H295),"","Name Error!")</f>
        <v>#NAME?</v>
      </c>
    </row>
    <row r="296" spans="2:9" s="126" customFormat="1" ht="15" customHeight="1" x14ac:dyDescent="0.25">
      <c r="B296" s="271" t="s">
        <v>360</v>
      </c>
      <c r="C296" s="272" t="s">
        <v>359</v>
      </c>
      <c r="D296" s="275" t="s">
        <v>216</v>
      </c>
      <c r="E296" s="275">
        <v>41246.64435185185</v>
      </c>
      <c r="F296" s="276">
        <v>5</v>
      </c>
      <c r="G296" s="243">
        <f t="shared" si="5"/>
        <v>62</v>
      </c>
      <c r="H296" s="244"/>
      <c r="I296" s="71" t="e">
        <f>IF(COUNTIF((rName rData),H296),"","Name Error!")</f>
        <v>#NAME?</v>
      </c>
    </row>
    <row r="297" spans="2:9" s="126" customFormat="1" ht="15" customHeight="1" x14ac:dyDescent="0.25">
      <c r="B297" s="271" t="s">
        <v>333</v>
      </c>
      <c r="C297" s="272" t="s">
        <v>332</v>
      </c>
      <c r="D297" s="275" t="s">
        <v>216</v>
      </c>
      <c r="E297" s="275">
        <v>41246.669571759259</v>
      </c>
      <c r="F297" s="276">
        <v>3</v>
      </c>
      <c r="G297" s="243">
        <f t="shared" si="5"/>
        <v>62</v>
      </c>
      <c r="H297" s="244"/>
      <c r="I297" s="71" t="e">
        <f>IF(COUNTIF((rName rData),H297),"","Name Error!")</f>
        <v>#NAME?</v>
      </c>
    </row>
    <row r="298" spans="2:9" s="126" customFormat="1" ht="15" customHeight="1" x14ac:dyDescent="0.25">
      <c r="B298" s="271" t="s">
        <v>369</v>
      </c>
      <c r="C298" s="272" t="s">
        <v>368</v>
      </c>
      <c r="D298" s="275" t="s">
        <v>216</v>
      </c>
      <c r="E298" s="275">
        <v>41247.012569444443</v>
      </c>
      <c r="F298" s="276">
        <v>4</v>
      </c>
      <c r="G298" s="243">
        <f t="shared" si="5"/>
        <v>62</v>
      </c>
      <c r="H298" s="244"/>
      <c r="I298" s="71" t="e">
        <f>IF(COUNTIF((rName rData),H298),"","Name Error!")</f>
        <v>#NAME?</v>
      </c>
    </row>
    <row r="299" spans="2:9" s="126" customFormat="1" ht="15" customHeight="1" x14ac:dyDescent="0.25">
      <c r="B299" s="271" t="s">
        <v>365</v>
      </c>
      <c r="C299" s="272" t="s">
        <v>364</v>
      </c>
      <c r="D299" s="275" t="s">
        <v>216</v>
      </c>
      <c r="E299" s="275">
        <v>41247.251400462963</v>
      </c>
      <c r="F299" s="276">
        <v>3</v>
      </c>
      <c r="G299" s="243">
        <f t="shared" si="5"/>
        <v>62</v>
      </c>
      <c r="H299" s="244"/>
      <c r="I299" s="71" t="e">
        <f>IF(COUNTIF((rName rData),H299),"","Name Error!")</f>
        <v>#NAME?</v>
      </c>
    </row>
    <row r="300" spans="2:9" s="126" customFormat="1" ht="15" customHeight="1" x14ac:dyDescent="0.25">
      <c r="B300" s="271" t="s">
        <v>354</v>
      </c>
      <c r="C300" s="272" t="s">
        <v>353</v>
      </c>
      <c r="D300" s="275" t="s">
        <v>216</v>
      </c>
      <c r="E300" s="275">
        <v>41247.291215277779</v>
      </c>
      <c r="F300" s="276">
        <v>6</v>
      </c>
      <c r="G300" s="243">
        <f t="shared" si="5"/>
        <v>62</v>
      </c>
      <c r="H300" s="244"/>
      <c r="I300" s="71" t="e">
        <f>IF(COUNTIF((rName rData),H300),"","Name Error!")</f>
        <v>#NAME?</v>
      </c>
    </row>
    <row r="301" spans="2:9" s="126" customFormat="1" ht="15" customHeight="1" x14ac:dyDescent="0.25">
      <c r="B301" s="271" t="s">
        <v>371</v>
      </c>
      <c r="C301" s="272" t="s">
        <v>370</v>
      </c>
      <c r="D301" s="275" t="s">
        <v>216</v>
      </c>
      <c r="E301" s="275">
        <v>41247.339571759258</v>
      </c>
      <c r="F301" s="276">
        <v>4</v>
      </c>
      <c r="G301" s="243">
        <f t="shared" si="5"/>
        <v>62</v>
      </c>
      <c r="H301" s="244"/>
      <c r="I301" s="71" t="e">
        <f>IF(COUNTIF((rName rData),H301),"","Name Error!")</f>
        <v>#NAME?</v>
      </c>
    </row>
    <row r="302" spans="2:9" s="126" customFormat="1" ht="15" customHeight="1" x14ac:dyDescent="0.25">
      <c r="B302" s="271" t="s">
        <v>356</v>
      </c>
      <c r="C302" s="272" t="s">
        <v>355</v>
      </c>
      <c r="D302" s="275" t="s">
        <v>216</v>
      </c>
      <c r="E302" s="275">
        <v>41247.343171296299</v>
      </c>
      <c r="F302" s="276">
        <v>2</v>
      </c>
      <c r="G302" s="243">
        <f t="shared" si="5"/>
        <v>62</v>
      </c>
      <c r="H302" s="244"/>
      <c r="I302" s="71" t="e">
        <f>IF(COUNTIF((rName rData),H302),"","Name Error!")</f>
        <v>#NAME?</v>
      </c>
    </row>
    <row r="303" spans="2:9" s="126" customFormat="1" ht="15" customHeight="1" x14ac:dyDescent="0.25">
      <c r="B303" s="271" t="s">
        <v>343</v>
      </c>
      <c r="C303" s="272" t="s">
        <v>342</v>
      </c>
      <c r="D303" s="275" t="s">
        <v>216</v>
      </c>
      <c r="E303" s="275">
        <v>41247.367974537039</v>
      </c>
      <c r="F303" s="276">
        <v>5</v>
      </c>
      <c r="G303" s="243">
        <f t="shared" si="5"/>
        <v>62</v>
      </c>
      <c r="H303" s="244"/>
      <c r="I303" s="71" t="e">
        <f>IF(COUNTIF((rName rData),H303),"","Name Error!")</f>
        <v>#NAME?</v>
      </c>
    </row>
    <row r="304" spans="2:9" s="126" customFormat="1" ht="15" customHeight="1" x14ac:dyDescent="0.25">
      <c r="B304" s="271" t="s">
        <v>360</v>
      </c>
      <c r="C304" s="272" t="s">
        <v>359</v>
      </c>
      <c r="D304" s="275" t="s">
        <v>216</v>
      </c>
      <c r="E304" s="275">
        <v>41247.383645833332</v>
      </c>
      <c r="F304" s="276">
        <v>5</v>
      </c>
      <c r="G304" s="243">
        <f t="shared" si="5"/>
        <v>62</v>
      </c>
      <c r="H304" s="244"/>
      <c r="I304" s="71" t="e">
        <f>IF(COUNTIF((rName rData),H304),"","Name Error!")</f>
        <v>#NAME?</v>
      </c>
    </row>
    <row r="305" spans="2:9" s="126" customFormat="1" ht="15" customHeight="1" x14ac:dyDescent="0.25">
      <c r="B305" s="271" t="s">
        <v>358</v>
      </c>
      <c r="C305" s="272" t="s">
        <v>357</v>
      </c>
      <c r="D305" s="275" t="s">
        <v>216</v>
      </c>
      <c r="E305" s="275">
        <v>41247.385821759257</v>
      </c>
      <c r="F305" s="276">
        <v>4</v>
      </c>
      <c r="G305" s="243">
        <f t="shared" si="5"/>
        <v>62</v>
      </c>
      <c r="H305" s="244"/>
      <c r="I305" s="71" t="e">
        <f>IF(COUNTIF((rName rData),H305),"","Name Error!")</f>
        <v>#NAME?</v>
      </c>
    </row>
    <row r="306" spans="2:9" s="126" customFormat="1" ht="15" customHeight="1" x14ac:dyDescent="0.25">
      <c r="B306" s="271" t="s">
        <v>345</v>
      </c>
      <c r="C306" s="272" t="s">
        <v>344</v>
      </c>
      <c r="D306" s="275" t="s">
        <v>216</v>
      </c>
      <c r="E306" s="275">
        <v>41247.538252314815</v>
      </c>
      <c r="F306" s="276">
        <v>3</v>
      </c>
      <c r="G306" s="243">
        <f t="shared" si="5"/>
        <v>62</v>
      </c>
      <c r="H306" s="244"/>
      <c r="I306" s="71" t="e">
        <f>IF(COUNTIF((rName rData),H306),"","Name Error!")</f>
        <v>#NAME?</v>
      </c>
    </row>
    <row r="307" spans="2:9" s="126" customFormat="1" ht="15" customHeight="1" x14ac:dyDescent="0.25">
      <c r="B307" s="271" t="s">
        <v>331</v>
      </c>
      <c r="C307" s="272" t="s">
        <v>330</v>
      </c>
      <c r="D307" s="275" t="s">
        <v>216</v>
      </c>
      <c r="E307" s="275">
        <v>41247.556990740741</v>
      </c>
      <c r="F307" s="276">
        <v>4</v>
      </c>
      <c r="G307" s="243">
        <f t="shared" si="5"/>
        <v>62</v>
      </c>
      <c r="H307" s="244"/>
      <c r="I307" s="71" t="e">
        <f>IF(COUNTIF((rName rData),H307),"","Name Error!")</f>
        <v>#NAME?</v>
      </c>
    </row>
    <row r="308" spans="2:9" s="126" customFormat="1" ht="15" customHeight="1" x14ac:dyDescent="0.25">
      <c r="B308" s="271" t="s">
        <v>352</v>
      </c>
      <c r="C308" s="272" t="s">
        <v>351</v>
      </c>
      <c r="D308" s="275" t="s">
        <v>216</v>
      </c>
      <c r="E308" s="275">
        <v>41247.557488425926</v>
      </c>
      <c r="F308" s="276">
        <v>2</v>
      </c>
      <c r="G308" s="243">
        <f t="shared" si="5"/>
        <v>62</v>
      </c>
      <c r="H308" s="244"/>
      <c r="I308" s="71" t="e">
        <f>IF(COUNTIF((rName rData),H308),"","Name Error!")</f>
        <v>#NAME?</v>
      </c>
    </row>
    <row r="309" spans="2:9" s="126" customFormat="1" ht="15" customHeight="1" x14ac:dyDescent="0.25">
      <c r="B309" s="271" t="s">
        <v>341</v>
      </c>
      <c r="C309" s="272" t="s">
        <v>340</v>
      </c>
      <c r="D309" s="275" t="s">
        <v>216</v>
      </c>
      <c r="E309" s="275">
        <v>41247.558495370373</v>
      </c>
      <c r="F309" s="276">
        <v>3</v>
      </c>
      <c r="G309" s="243">
        <f t="shared" si="5"/>
        <v>62</v>
      </c>
      <c r="H309" s="244"/>
      <c r="I309" s="71" t="e">
        <f>IF(COUNTIF((rName rData),H309),"","Name Error!")</f>
        <v>#NAME?</v>
      </c>
    </row>
    <row r="310" spans="2:9" s="126" customFormat="1" ht="15" customHeight="1" x14ac:dyDescent="0.25">
      <c r="B310" s="271" t="s">
        <v>324</v>
      </c>
      <c r="C310" s="272" t="s">
        <v>323</v>
      </c>
      <c r="D310" s="275" t="s">
        <v>216</v>
      </c>
      <c r="E310" s="275">
        <v>41247.559340277781</v>
      </c>
      <c r="F310" s="276">
        <v>3</v>
      </c>
      <c r="G310" s="243">
        <f t="shared" si="5"/>
        <v>62</v>
      </c>
      <c r="H310" s="244"/>
      <c r="I310" s="71" t="e">
        <f>IF(COUNTIF((rName rData),H310),"","Name Error!")</f>
        <v>#NAME?</v>
      </c>
    </row>
    <row r="311" spans="2:9" s="126" customFormat="1" ht="15" customHeight="1" x14ac:dyDescent="0.25">
      <c r="B311" s="271" t="s">
        <v>333</v>
      </c>
      <c r="C311" s="272" t="s">
        <v>332</v>
      </c>
      <c r="D311" s="275" t="s">
        <v>216</v>
      </c>
      <c r="E311" s="275">
        <v>41247.559629629628</v>
      </c>
      <c r="F311" s="276">
        <v>3</v>
      </c>
      <c r="G311" s="243">
        <f t="shared" si="5"/>
        <v>62</v>
      </c>
      <c r="H311" s="244"/>
      <c r="I311" s="71" t="e">
        <f>IF(COUNTIF((rName rData),H311),"","Name Error!")</f>
        <v>#NAME?</v>
      </c>
    </row>
    <row r="312" spans="2:9" s="126" customFormat="1" ht="15" customHeight="1" x14ac:dyDescent="0.25">
      <c r="B312" s="271" t="s">
        <v>362</v>
      </c>
      <c r="C312" s="272" t="s">
        <v>361</v>
      </c>
      <c r="D312" s="275" t="s">
        <v>216</v>
      </c>
      <c r="E312" s="275">
        <v>41247.559907407405</v>
      </c>
      <c r="F312" s="276">
        <v>2</v>
      </c>
      <c r="G312" s="243">
        <f t="shared" si="5"/>
        <v>62</v>
      </c>
      <c r="H312" s="244"/>
      <c r="I312" s="71" t="e">
        <f>IF(COUNTIF((rName rData),H312),"","Name Error!")</f>
        <v>#NAME?</v>
      </c>
    </row>
    <row r="313" spans="2:9" s="126" customFormat="1" ht="15" customHeight="1" x14ac:dyDescent="0.25">
      <c r="B313" s="271" t="s">
        <v>339</v>
      </c>
      <c r="C313" s="272" t="s">
        <v>338</v>
      </c>
      <c r="D313" s="275" t="s">
        <v>216</v>
      </c>
      <c r="E313" s="275">
        <v>41247.560150462959</v>
      </c>
      <c r="F313" s="276">
        <v>3</v>
      </c>
      <c r="G313" s="243">
        <f t="shared" si="5"/>
        <v>62</v>
      </c>
      <c r="H313" s="244"/>
      <c r="I313" s="71" t="e">
        <f>IF(COUNTIF((rName rData),H313),"","Name Error!")</f>
        <v>#NAME?</v>
      </c>
    </row>
    <row r="314" spans="2:9" s="126" customFormat="1" ht="15" customHeight="1" x14ac:dyDescent="0.25">
      <c r="B314" s="271" t="s">
        <v>322</v>
      </c>
      <c r="C314" s="272" t="s">
        <v>321</v>
      </c>
      <c r="D314" s="275" t="s">
        <v>216</v>
      </c>
      <c r="E314" s="275">
        <v>41247.560370370367</v>
      </c>
      <c r="F314" s="276">
        <v>3</v>
      </c>
      <c r="G314" s="243">
        <f t="shared" si="5"/>
        <v>62</v>
      </c>
      <c r="H314" s="244"/>
      <c r="I314" s="71" t="e">
        <f>IF(COUNTIF((rName rData),H314),"","Name Error!")</f>
        <v>#NAME?</v>
      </c>
    </row>
    <row r="315" spans="2:9" s="126" customFormat="1" ht="15" customHeight="1" x14ac:dyDescent="0.25">
      <c r="B315" s="271" t="s">
        <v>326</v>
      </c>
      <c r="C315" s="272" t="s">
        <v>325</v>
      </c>
      <c r="D315" s="275" t="s">
        <v>216</v>
      </c>
      <c r="E315" s="275">
        <v>41247.56046296296</v>
      </c>
      <c r="F315" s="276">
        <v>2</v>
      </c>
      <c r="G315" s="243">
        <f t="shared" si="5"/>
        <v>62</v>
      </c>
      <c r="H315" s="244"/>
      <c r="I315" s="71" t="e">
        <f>IF(COUNTIF((rName rData),H315),"","Name Error!")</f>
        <v>#NAME?</v>
      </c>
    </row>
    <row r="316" spans="2:9" s="126" customFormat="1" ht="15" customHeight="1" x14ac:dyDescent="0.25">
      <c r="B316" s="271" t="s">
        <v>337</v>
      </c>
      <c r="C316" s="272" t="s">
        <v>336</v>
      </c>
      <c r="D316" s="275" t="s">
        <v>216</v>
      </c>
      <c r="E316" s="275">
        <v>41247.561377314814</v>
      </c>
      <c r="F316" s="276">
        <v>2</v>
      </c>
      <c r="G316" s="243">
        <f t="shared" si="5"/>
        <v>62</v>
      </c>
      <c r="H316" s="244"/>
      <c r="I316" s="71" t="e">
        <f>IF(COUNTIF((rName rData),H316),"","Name Error!")</f>
        <v>#NAME?</v>
      </c>
    </row>
    <row r="317" spans="2:9" s="126" customFormat="1" ht="15" customHeight="1" x14ac:dyDescent="0.25">
      <c r="B317" s="271" t="s">
        <v>267</v>
      </c>
      <c r="C317" s="272" t="s">
        <v>268</v>
      </c>
      <c r="D317" s="275" t="s">
        <v>216</v>
      </c>
      <c r="E317" s="275">
        <v>41247.561840277776</v>
      </c>
      <c r="F317" s="276">
        <v>5</v>
      </c>
      <c r="G317" s="243">
        <f t="shared" si="5"/>
        <v>62</v>
      </c>
      <c r="H317" s="244"/>
      <c r="I317" s="71" t="e">
        <f>IF(COUNTIF((rName rData),H317),"","Name Error!")</f>
        <v>#NAME?</v>
      </c>
    </row>
    <row r="318" spans="2:9" s="126" customFormat="1" ht="15" customHeight="1" x14ac:dyDescent="0.25">
      <c r="B318" s="271" t="s">
        <v>335</v>
      </c>
      <c r="C318" s="272" t="s">
        <v>334</v>
      </c>
      <c r="D318" s="275" t="s">
        <v>216</v>
      </c>
      <c r="E318" s="275">
        <v>41247.563217592593</v>
      </c>
      <c r="F318" s="276">
        <v>2</v>
      </c>
      <c r="G318" s="243">
        <f t="shared" si="5"/>
        <v>62</v>
      </c>
      <c r="H318" s="244"/>
      <c r="I318" s="71" t="e">
        <f>IF(COUNTIF((rName rData),H318),"","Name Error!")</f>
        <v>#NAME?</v>
      </c>
    </row>
    <row r="319" spans="2:9" s="126" customFormat="1" ht="15" customHeight="1" x14ac:dyDescent="0.25">
      <c r="B319" s="271" t="s">
        <v>350</v>
      </c>
      <c r="C319" s="272" t="s">
        <v>349</v>
      </c>
      <c r="D319" s="275" t="s">
        <v>216</v>
      </c>
      <c r="E319" s="275">
        <v>41247.563923611109</v>
      </c>
      <c r="F319" s="276">
        <v>4</v>
      </c>
      <c r="G319" s="243">
        <f t="shared" si="5"/>
        <v>62</v>
      </c>
      <c r="H319" s="244"/>
      <c r="I319" s="71" t="e">
        <f>IF(COUNTIF((rName rData),H319),"","Name Error!")</f>
        <v>#NAME?</v>
      </c>
    </row>
    <row r="320" spans="2:9" s="126" customFormat="1" ht="15" customHeight="1" x14ac:dyDescent="0.25">
      <c r="B320" s="271" t="s">
        <v>328</v>
      </c>
      <c r="C320" s="272" t="s">
        <v>327</v>
      </c>
      <c r="D320" s="275" t="s">
        <v>216</v>
      </c>
      <c r="E320" s="275">
        <v>41247.567407407405</v>
      </c>
      <c r="F320" s="276">
        <v>2</v>
      </c>
      <c r="G320" s="243">
        <f t="shared" si="5"/>
        <v>62</v>
      </c>
      <c r="H320" s="244"/>
      <c r="I320" s="71" t="e">
        <f>IF(COUNTIF((rName rData),H320),"","Name Error!")</f>
        <v>#NAME?</v>
      </c>
    </row>
    <row r="321" spans="2:9" s="126" customFormat="1" ht="15" customHeight="1" x14ac:dyDescent="0.25">
      <c r="B321" s="271" t="s">
        <v>279</v>
      </c>
      <c r="C321" s="272" t="s">
        <v>280</v>
      </c>
      <c r="D321" s="275" t="s">
        <v>216</v>
      </c>
      <c r="E321" s="275">
        <v>41247.57236111111</v>
      </c>
      <c r="F321" s="276">
        <v>5</v>
      </c>
      <c r="G321" s="243">
        <f t="shared" si="5"/>
        <v>62</v>
      </c>
      <c r="H321" s="244"/>
      <c r="I321" s="71" t="e">
        <f>IF(COUNTIF((rName rData),H321),"","Name Error!")</f>
        <v>#NAME?</v>
      </c>
    </row>
    <row r="322" spans="2:9" s="126" customFormat="1" ht="15" customHeight="1" x14ac:dyDescent="0.25">
      <c r="B322" s="271" t="s">
        <v>320</v>
      </c>
      <c r="C322" s="272" t="s">
        <v>319</v>
      </c>
      <c r="D322" s="275" t="s">
        <v>216</v>
      </c>
      <c r="E322" s="275">
        <v>41247.585289351853</v>
      </c>
      <c r="F322" s="276">
        <v>2</v>
      </c>
      <c r="G322" s="243">
        <f t="shared" si="5"/>
        <v>62</v>
      </c>
      <c r="H322" s="244"/>
      <c r="I322" s="71" t="e">
        <f>IF(COUNTIF((rName rData),H322),"","Name Error!")</f>
        <v>#NAME?</v>
      </c>
    </row>
    <row r="323" spans="2:9" s="126" customFormat="1" ht="15" customHeight="1" x14ac:dyDescent="0.25">
      <c r="B323" s="271" t="s">
        <v>367</v>
      </c>
      <c r="C323" s="272" t="s">
        <v>366</v>
      </c>
      <c r="D323" s="275" t="s">
        <v>216</v>
      </c>
      <c r="E323" s="275">
        <v>41247.595567129632</v>
      </c>
      <c r="F323" s="276">
        <v>2</v>
      </c>
      <c r="G323" s="243">
        <f t="shared" si="5"/>
        <v>62</v>
      </c>
      <c r="H323" s="244"/>
      <c r="I323" s="71" t="e">
        <f>IF(COUNTIF((rName rData),H323),"","Name Error!")</f>
        <v>#NAME?</v>
      </c>
    </row>
    <row r="324" spans="2:9" s="126" customFormat="1" ht="15" customHeight="1" x14ac:dyDescent="0.25">
      <c r="B324" s="271" t="s">
        <v>339</v>
      </c>
      <c r="C324" s="272" t="s">
        <v>338</v>
      </c>
      <c r="D324" s="275" t="s">
        <v>216</v>
      </c>
      <c r="E324" s="275">
        <v>41248.015173611115</v>
      </c>
      <c r="F324" s="276">
        <v>6</v>
      </c>
      <c r="G324" s="243">
        <f t="shared" si="5"/>
        <v>62</v>
      </c>
      <c r="H324" s="244"/>
      <c r="I324" s="71" t="e">
        <f>IF(COUNTIF((rName rData),H324),"","Name Error!")</f>
        <v>#NAME?</v>
      </c>
    </row>
    <row r="325" spans="2:9" s="126" customFormat="1" ht="15" customHeight="1" x14ac:dyDescent="0.25">
      <c r="B325" s="271" t="s">
        <v>358</v>
      </c>
      <c r="C325" s="272" t="s">
        <v>357</v>
      </c>
      <c r="D325" s="275" t="s">
        <v>216</v>
      </c>
      <c r="E325" s="275">
        <v>41248.036099537036</v>
      </c>
      <c r="F325" s="276">
        <v>5</v>
      </c>
      <c r="G325" s="243">
        <f t="shared" si="5"/>
        <v>62</v>
      </c>
      <c r="H325" s="244"/>
      <c r="I325" s="71" t="e">
        <f>IF(COUNTIF((rName rData),H325),"","Name Error!")</f>
        <v>#NAME?</v>
      </c>
    </row>
    <row r="326" spans="2:9" s="126" customFormat="1" ht="15" customHeight="1" x14ac:dyDescent="0.25">
      <c r="B326" s="271" t="s">
        <v>369</v>
      </c>
      <c r="C326" s="272" t="s">
        <v>368</v>
      </c>
      <c r="D326" s="275" t="s">
        <v>216</v>
      </c>
      <c r="E326" s="275">
        <v>41248.053495370368</v>
      </c>
      <c r="F326" s="276">
        <v>4</v>
      </c>
      <c r="G326" s="243">
        <f t="shared" si="5"/>
        <v>62</v>
      </c>
      <c r="H326" s="244"/>
      <c r="I326" s="71" t="e">
        <f>IF(COUNTIF((rName rData),H326),"","Name Error!")</f>
        <v>#NAME?</v>
      </c>
    </row>
    <row r="327" spans="2:9" s="126" customFormat="1" ht="15" customHeight="1" x14ac:dyDescent="0.25">
      <c r="B327" s="271" t="s">
        <v>337</v>
      </c>
      <c r="C327" s="272" t="s">
        <v>336</v>
      </c>
      <c r="D327" s="275" t="s">
        <v>216</v>
      </c>
      <c r="E327" s="275">
        <v>41248.322511574072</v>
      </c>
      <c r="F327" s="276">
        <v>4</v>
      </c>
      <c r="G327" s="243">
        <f t="shared" si="5"/>
        <v>62</v>
      </c>
      <c r="H327" s="244"/>
      <c r="I327" s="71" t="e">
        <f>IF(COUNTIF((rName rData),H327),"","Name Error!")</f>
        <v>#NAME?</v>
      </c>
    </row>
    <row r="328" spans="2:9" s="126" customFormat="1" ht="15" customHeight="1" x14ac:dyDescent="0.25">
      <c r="B328" s="271" t="s">
        <v>367</v>
      </c>
      <c r="C328" s="272" t="s">
        <v>366</v>
      </c>
      <c r="D328" s="275" t="s">
        <v>216</v>
      </c>
      <c r="E328" s="275">
        <v>41248.335324074076</v>
      </c>
      <c r="F328" s="276">
        <v>2</v>
      </c>
      <c r="G328" s="243">
        <f t="shared" si="5"/>
        <v>62</v>
      </c>
      <c r="H328" s="244"/>
      <c r="I328" s="71" t="e">
        <f>IF(COUNTIF((rName rData),H328),"","Name Error!")</f>
        <v>#NAME?</v>
      </c>
    </row>
    <row r="329" spans="2:9" s="126" customFormat="1" ht="15" customHeight="1" x14ac:dyDescent="0.25">
      <c r="B329" s="271" t="s">
        <v>350</v>
      </c>
      <c r="C329" s="272" t="s">
        <v>349</v>
      </c>
      <c r="D329" s="275" t="s">
        <v>216</v>
      </c>
      <c r="E329" s="275">
        <v>41248.341481481482</v>
      </c>
      <c r="F329" s="276">
        <v>2</v>
      </c>
      <c r="G329" s="243">
        <f t="shared" si="5"/>
        <v>62</v>
      </c>
      <c r="H329" s="244"/>
      <c r="I329" s="71" t="e">
        <f>IF(COUNTIF((rName rData),H329),"","Name Error!")</f>
        <v>#NAME?</v>
      </c>
    </row>
    <row r="330" spans="2:9" s="126" customFormat="1" ht="15" customHeight="1" x14ac:dyDescent="0.25">
      <c r="B330" s="271" t="s">
        <v>324</v>
      </c>
      <c r="C330" s="272" t="s">
        <v>323</v>
      </c>
      <c r="D330" s="275" t="s">
        <v>216</v>
      </c>
      <c r="E330" s="275">
        <v>41248.368611111109</v>
      </c>
      <c r="F330" s="276">
        <v>6</v>
      </c>
      <c r="G330" s="243">
        <f t="shared" ref="G330:G393" si="6">TRUNC((E330-start)/7)+1</f>
        <v>62</v>
      </c>
      <c r="H330" s="244"/>
      <c r="I330" s="71" t="e">
        <f>IF(COUNTIF((rName rData),H330),"","Name Error!")</f>
        <v>#NAME?</v>
      </c>
    </row>
    <row r="331" spans="2:9" s="126" customFormat="1" ht="15" customHeight="1" x14ac:dyDescent="0.25">
      <c r="B331" s="271" t="s">
        <v>356</v>
      </c>
      <c r="C331" s="272" t="s">
        <v>355</v>
      </c>
      <c r="D331" s="275" t="s">
        <v>216</v>
      </c>
      <c r="E331" s="275">
        <v>41248.409456018519</v>
      </c>
      <c r="F331" s="276">
        <v>1</v>
      </c>
      <c r="G331" s="243">
        <f t="shared" si="6"/>
        <v>62</v>
      </c>
      <c r="H331" s="244"/>
      <c r="I331" s="71" t="e">
        <f>IF(COUNTIF((rName rData),H331),"","Name Error!")</f>
        <v>#NAME?</v>
      </c>
    </row>
    <row r="332" spans="2:9" s="126" customFormat="1" ht="15" customHeight="1" x14ac:dyDescent="0.25">
      <c r="B332" s="271" t="s">
        <v>335</v>
      </c>
      <c r="C332" s="272" t="s">
        <v>334</v>
      </c>
      <c r="D332" s="275" t="s">
        <v>216</v>
      </c>
      <c r="E332" s="275">
        <v>41248.558506944442</v>
      </c>
      <c r="F332" s="276">
        <v>3</v>
      </c>
      <c r="G332" s="243">
        <f t="shared" si="6"/>
        <v>62</v>
      </c>
      <c r="H332" s="244"/>
      <c r="I332" s="71" t="e">
        <f>IF(COUNTIF((rName rData),H332),"","Name Error!")</f>
        <v>#NAME?</v>
      </c>
    </row>
    <row r="333" spans="2:9" s="126" customFormat="1" ht="15" customHeight="1" x14ac:dyDescent="0.25">
      <c r="B333" s="271" t="s">
        <v>326</v>
      </c>
      <c r="C333" s="272" t="s">
        <v>325</v>
      </c>
      <c r="D333" s="275" t="s">
        <v>216</v>
      </c>
      <c r="E333" s="275">
        <v>41248.558692129627</v>
      </c>
      <c r="F333" s="276">
        <v>3</v>
      </c>
      <c r="G333" s="243">
        <f t="shared" si="6"/>
        <v>62</v>
      </c>
      <c r="H333" s="244"/>
      <c r="I333" s="71" t="e">
        <f>IF(COUNTIF((rName rData),H333),"","Name Error!")</f>
        <v>#NAME?</v>
      </c>
    </row>
    <row r="334" spans="2:9" s="126" customFormat="1" ht="15" customHeight="1" x14ac:dyDescent="0.25">
      <c r="B334" s="271" t="s">
        <v>345</v>
      </c>
      <c r="C334" s="272" t="s">
        <v>344</v>
      </c>
      <c r="D334" s="275" t="s">
        <v>216</v>
      </c>
      <c r="E334" s="275">
        <v>41248.558993055558</v>
      </c>
      <c r="F334" s="276">
        <v>2</v>
      </c>
      <c r="G334" s="243">
        <f t="shared" si="6"/>
        <v>62</v>
      </c>
      <c r="H334" s="244"/>
      <c r="I334" s="71" t="e">
        <f>IF(COUNTIF((rName rData),H334),"","Name Error!")</f>
        <v>#NAME?</v>
      </c>
    </row>
    <row r="335" spans="2:9" s="126" customFormat="1" ht="15" customHeight="1" x14ac:dyDescent="0.25">
      <c r="B335" s="271" t="s">
        <v>322</v>
      </c>
      <c r="C335" s="272" t="s">
        <v>321</v>
      </c>
      <c r="D335" s="275" t="s">
        <v>216</v>
      </c>
      <c r="E335" s="275">
        <v>41248.560983796298</v>
      </c>
      <c r="F335" s="276">
        <v>2</v>
      </c>
      <c r="G335" s="243">
        <f t="shared" si="6"/>
        <v>62</v>
      </c>
      <c r="H335" s="244"/>
      <c r="I335" s="71" t="e">
        <f>IF(COUNTIF((rName rData),H335),"","Name Error!")</f>
        <v>#NAME?</v>
      </c>
    </row>
    <row r="336" spans="2:9" s="126" customFormat="1" ht="15" customHeight="1" x14ac:dyDescent="0.25">
      <c r="B336" s="271" t="s">
        <v>341</v>
      </c>
      <c r="C336" s="272" t="s">
        <v>340</v>
      </c>
      <c r="D336" s="275" t="s">
        <v>216</v>
      </c>
      <c r="E336" s="275">
        <v>41248.561307870368</v>
      </c>
      <c r="F336" s="276">
        <v>4</v>
      </c>
      <c r="G336" s="243">
        <f t="shared" si="6"/>
        <v>62</v>
      </c>
      <c r="H336" s="244"/>
      <c r="I336" s="71" t="e">
        <f>IF(COUNTIF((rName rData),H336),"","Name Error!")</f>
        <v>#NAME?</v>
      </c>
    </row>
    <row r="337" spans="2:9" s="126" customFormat="1" ht="15" customHeight="1" x14ac:dyDescent="0.25">
      <c r="B337" s="271" t="s">
        <v>362</v>
      </c>
      <c r="C337" s="272" t="s">
        <v>361</v>
      </c>
      <c r="D337" s="275" t="s">
        <v>216</v>
      </c>
      <c r="E337" s="275">
        <v>41248.561516203707</v>
      </c>
      <c r="F337" s="276">
        <v>2</v>
      </c>
      <c r="G337" s="243">
        <f t="shared" si="6"/>
        <v>62</v>
      </c>
      <c r="H337" s="244"/>
      <c r="I337" s="71" t="e">
        <f>IF(COUNTIF((rName rData),H337),"","Name Error!")</f>
        <v>#NAME?</v>
      </c>
    </row>
    <row r="338" spans="2:9" s="126" customFormat="1" ht="15" customHeight="1" x14ac:dyDescent="0.25">
      <c r="B338" s="271" t="s">
        <v>331</v>
      </c>
      <c r="C338" s="272" t="s">
        <v>330</v>
      </c>
      <c r="D338" s="275" t="s">
        <v>216</v>
      </c>
      <c r="E338" s="275">
        <v>41248.562407407408</v>
      </c>
      <c r="F338" s="276">
        <v>3</v>
      </c>
      <c r="G338" s="243">
        <f t="shared" si="6"/>
        <v>62</v>
      </c>
      <c r="H338" s="244"/>
      <c r="I338" s="71" t="e">
        <f>IF(COUNTIF((rName rData),H338),"","Name Error!")</f>
        <v>#NAME?</v>
      </c>
    </row>
    <row r="339" spans="2:9" s="126" customFormat="1" ht="15" customHeight="1" x14ac:dyDescent="0.25">
      <c r="B339" s="271" t="s">
        <v>371</v>
      </c>
      <c r="C339" s="272" t="s">
        <v>370</v>
      </c>
      <c r="D339" s="275" t="s">
        <v>216</v>
      </c>
      <c r="E339" s="275">
        <v>41248.563472222224</v>
      </c>
      <c r="F339" s="276">
        <v>3</v>
      </c>
      <c r="G339" s="243">
        <f t="shared" si="6"/>
        <v>62</v>
      </c>
      <c r="H339" s="244"/>
      <c r="I339" s="71" t="e">
        <f>IF(COUNTIF((rName rData),H339),"","Name Error!")</f>
        <v>#NAME?</v>
      </c>
    </row>
    <row r="340" spans="2:9" s="126" customFormat="1" ht="15" customHeight="1" x14ac:dyDescent="0.25">
      <c r="B340" s="271" t="s">
        <v>352</v>
      </c>
      <c r="C340" s="272" t="s">
        <v>351</v>
      </c>
      <c r="D340" s="275" t="s">
        <v>216</v>
      </c>
      <c r="E340" s="275">
        <v>41248.564456018517</v>
      </c>
      <c r="F340" s="276">
        <v>2</v>
      </c>
      <c r="G340" s="243">
        <f t="shared" si="6"/>
        <v>62</v>
      </c>
      <c r="H340" s="244"/>
      <c r="I340" s="71" t="e">
        <f>IF(COUNTIF((rName rData),H340),"","Name Error!")</f>
        <v>#NAME?</v>
      </c>
    </row>
    <row r="341" spans="2:9" s="126" customFormat="1" ht="15" customHeight="1" x14ac:dyDescent="0.25">
      <c r="B341" s="271" t="s">
        <v>354</v>
      </c>
      <c r="C341" s="272" t="s">
        <v>353</v>
      </c>
      <c r="D341" s="275" t="s">
        <v>216</v>
      </c>
      <c r="E341" s="275">
        <v>41248.565694444442</v>
      </c>
      <c r="F341" s="276">
        <v>2</v>
      </c>
      <c r="G341" s="243">
        <f t="shared" si="6"/>
        <v>62</v>
      </c>
      <c r="H341" s="244"/>
      <c r="I341" s="71" t="e">
        <f>IF(COUNTIF((rName rData),H341),"","Name Error!")</f>
        <v>#NAME?</v>
      </c>
    </row>
    <row r="342" spans="2:9" s="126" customFormat="1" ht="15" customHeight="1" x14ac:dyDescent="0.25">
      <c r="B342" s="271" t="s">
        <v>279</v>
      </c>
      <c r="C342" s="272" t="s">
        <v>280</v>
      </c>
      <c r="D342" s="275" t="s">
        <v>216</v>
      </c>
      <c r="E342" s="275">
        <v>41248.567847222221</v>
      </c>
      <c r="F342" s="276">
        <v>3</v>
      </c>
      <c r="G342" s="243">
        <f t="shared" si="6"/>
        <v>62</v>
      </c>
      <c r="H342" s="244"/>
      <c r="I342" s="71" t="e">
        <f>IF(COUNTIF((rName rData),H342),"","Name Error!")</f>
        <v>#NAME?</v>
      </c>
    </row>
    <row r="343" spans="2:9" s="126" customFormat="1" ht="15" customHeight="1" x14ac:dyDescent="0.25">
      <c r="B343" s="271" t="s">
        <v>360</v>
      </c>
      <c r="C343" s="272" t="s">
        <v>359</v>
      </c>
      <c r="D343" s="275" t="s">
        <v>216</v>
      </c>
      <c r="E343" s="275">
        <v>41248.58053240741</v>
      </c>
      <c r="F343" s="276">
        <v>2</v>
      </c>
      <c r="G343" s="243">
        <f t="shared" si="6"/>
        <v>62</v>
      </c>
      <c r="H343" s="244"/>
      <c r="I343" s="71" t="e">
        <f>IF(COUNTIF((rName rData),H343),"","Name Error!")</f>
        <v>#NAME?</v>
      </c>
    </row>
    <row r="344" spans="2:9" s="126" customFormat="1" ht="15" customHeight="1" x14ac:dyDescent="0.25">
      <c r="B344" s="271" t="s">
        <v>320</v>
      </c>
      <c r="C344" s="272" t="s">
        <v>319</v>
      </c>
      <c r="D344" s="275" t="s">
        <v>216</v>
      </c>
      <c r="E344" s="275">
        <v>41248.58184027778</v>
      </c>
      <c r="F344" s="276">
        <v>2</v>
      </c>
      <c r="G344" s="243">
        <f t="shared" si="6"/>
        <v>62</v>
      </c>
      <c r="H344" s="244"/>
      <c r="I344" s="71" t="e">
        <f>IF(COUNTIF((rName rData),H344),"","Name Error!")</f>
        <v>#NAME?</v>
      </c>
    </row>
    <row r="345" spans="2:9" s="126" customFormat="1" ht="15" customHeight="1" x14ac:dyDescent="0.25">
      <c r="B345" s="271" t="s">
        <v>267</v>
      </c>
      <c r="C345" s="272" t="s">
        <v>268</v>
      </c>
      <c r="D345" s="275" t="s">
        <v>216</v>
      </c>
      <c r="E345" s="275">
        <v>41248.590914351851</v>
      </c>
      <c r="F345" s="276">
        <v>2</v>
      </c>
      <c r="G345" s="243">
        <f t="shared" si="6"/>
        <v>62</v>
      </c>
      <c r="H345" s="244"/>
      <c r="I345" s="71" t="e">
        <f>IF(COUNTIF((rName rData),H345),"","Name Error!")</f>
        <v>#NAME?</v>
      </c>
    </row>
    <row r="346" spans="2:9" s="126" customFormat="1" ht="15" customHeight="1" x14ac:dyDescent="0.25">
      <c r="B346" s="271" t="s">
        <v>365</v>
      </c>
      <c r="C346" s="272" t="s">
        <v>364</v>
      </c>
      <c r="D346" s="275" t="s">
        <v>216</v>
      </c>
      <c r="E346" s="275">
        <v>41248.63585648148</v>
      </c>
      <c r="F346" s="276">
        <v>1</v>
      </c>
      <c r="G346" s="243">
        <f t="shared" si="6"/>
        <v>62</v>
      </c>
      <c r="H346" s="244"/>
      <c r="I346" s="71" t="e">
        <f>IF(COUNTIF((rName rData),H346),"","Name Error!")</f>
        <v>#NAME?</v>
      </c>
    </row>
    <row r="347" spans="2:9" s="126" customFormat="1" ht="15" customHeight="1" x14ac:dyDescent="0.25">
      <c r="B347" s="271" t="s">
        <v>343</v>
      </c>
      <c r="C347" s="272" t="s">
        <v>342</v>
      </c>
      <c r="D347" s="275" t="s">
        <v>216</v>
      </c>
      <c r="E347" s="275">
        <v>41248.64371527778</v>
      </c>
      <c r="F347" s="276">
        <v>2</v>
      </c>
      <c r="G347" s="243">
        <f t="shared" si="6"/>
        <v>62</v>
      </c>
      <c r="H347" s="244"/>
      <c r="I347" s="71" t="e">
        <f>IF(COUNTIF((rName rData),H347),"","Name Error!")</f>
        <v>#NAME?</v>
      </c>
    </row>
    <row r="348" spans="2:9" s="126" customFormat="1" ht="15" customHeight="1" x14ac:dyDescent="0.25">
      <c r="B348" s="271" t="s">
        <v>333</v>
      </c>
      <c r="C348" s="272" t="s">
        <v>332</v>
      </c>
      <c r="D348" s="275" t="s">
        <v>216</v>
      </c>
      <c r="E348" s="275">
        <v>41248.767256944448</v>
      </c>
      <c r="F348" s="276">
        <v>1</v>
      </c>
      <c r="G348" s="243">
        <f t="shared" si="6"/>
        <v>62</v>
      </c>
      <c r="H348" s="244"/>
      <c r="I348" s="71" t="e">
        <f>IF(COUNTIF((rName rData),H348),"","Name Error!")</f>
        <v>#NAME?</v>
      </c>
    </row>
    <row r="349" spans="2:9" s="126" customFormat="1" ht="15" customHeight="1" x14ac:dyDescent="0.25">
      <c r="B349" s="271" t="s">
        <v>328</v>
      </c>
      <c r="C349" s="272" t="s">
        <v>327</v>
      </c>
      <c r="D349" s="275" t="s">
        <v>216</v>
      </c>
      <c r="E349" s="275">
        <v>41248.8825</v>
      </c>
      <c r="F349" s="276">
        <v>2</v>
      </c>
      <c r="G349" s="243">
        <f t="shared" si="6"/>
        <v>62</v>
      </c>
      <c r="H349" s="244"/>
      <c r="I349" s="71" t="e">
        <f>IF(COUNTIF((rName rData),H349),"","Name Error!")</f>
        <v>#NAME?</v>
      </c>
    </row>
    <row r="350" spans="2:9" s="126" customFormat="1" ht="15" customHeight="1" x14ac:dyDescent="0.25">
      <c r="B350" s="271" t="s">
        <v>339</v>
      </c>
      <c r="C350" s="272" t="s">
        <v>338</v>
      </c>
      <c r="D350" s="275" t="s">
        <v>216</v>
      </c>
      <c r="E350" s="275">
        <v>41249.006238425929</v>
      </c>
      <c r="F350" s="276">
        <v>4</v>
      </c>
      <c r="G350" s="243">
        <f t="shared" si="6"/>
        <v>62</v>
      </c>
      <c r="H350" s="244"/>
      <c r="I350" s="71" t="e">
        <f>IF(COUNTIF((rName rData),H350),"","Name Error!")</f>
        <v>#NAME?</v>
      </c>
    </row>
    <row r="351" spans="2:9" s="126" customFormat="1" ht="15" customHeight="1" x14ac:dyDescent="0.25">
      <c r="B351" s="271" t="s">
        <v>369</v>
      </c>
      <c r="C351" s="272" t="s">
        <v>368</v>
      </c>
      <c r="D351" s="275" t="s">
        <v>216</v>
      </c>
      <c r="E351" s="275">
        <v>41249.010625000003</v>
      </c>
      <c r="F351" s="276">
        <v>4</v>
      </c>
      <c r="G351" s="243">
        <f t="shared" si="6"/>
        <v>62</v>
      </c>
      <c r="H351" s="244"/>
      <c r="I351" s="71" t="e">
        <f>IF(COUNTIF((rName rData),H351),"","Name Error!")</f>
        <v>#NAME?</v>
      </c>
    </row>
    <row r="352" spans="2:9" s="126" customFormat="1" ht="15" customHeight="1" x14ac:dyDescent="0.25">
      <c r="B352" s="271" t="s">
        <v>324</v>
      </c>
      <c r="C352" s="272" t="s">
        <v>323</v>
      </c>
      <c r="D352" s="275" t="s">
        <v>216</v>
      </c>
      <c r="E352" s="275">
        <v>41249.053807870368</v>
      </c>
      <c r="F352" s="276">
        <v>4</v>
      </c>
      <c r="G352" s="243">
        <f t="shared" si="6"/>
        <v>62</v>
      </c>
      <c r="H352" s="244"/>
      <c r="I352" s="71" t="e">
        <f>IF(COUNTIF((rName rData),H352),"","Name Error!")</f>
        <v>#NAME?</v>
      </c>
    </row>
    <row r="353" spans="2:9" s="126" customFormat="1" ht="15" customHeight="1" x14ac:dyDescent="0.25">
      <c r="B353" s="271" t="s">
        <v>279</v>
      </c>
      <c r="C353" s="272" t="s">
        <v>280</v>
      </c>
      <c r="D353" s="275" t="s">
        <v>216</v>
      </c>
      <c r="E353" s="275">
        <v>41249.187349537038</v>
      </c>
      <c r="F353" s="276">
        <v>6</v>
      </c>
      <c r="G353" s="243">
        <f t="shared" si="6"/>
        <v>62</v>
      </c>
      <c r="H353" s="244"/>
      <c r="I353" s="71" t="e">
        <f>IF(COUNTIF((rName rData),H353),"","Name Error!")</f>
        <v>#NAME?</v>
      </c>
    </row>
    <row r="354" spans="2:9" s="126" customFormat="1" ht="15" customHeight="1" x14ac:dyDescent="0.25">
      <c r="B354" s="271" t="s">
        <v>367</v>
      </c>
      <c r="C354" s="272" t="s">
        <v>366</v>
      </c>
      <c r="D354" s="275" t="s">
        <v>216</v>
      </c>
      <c r="E354" s="275">
        <v>41249.303240740737</v>
      </c>
      <c r="F354" s="276">
        <v>2</v>
      </c>
      <c r="G354" s="243">
        <f t="shared" si="6"/>
        <v>62</v>
      </c>
      <c r="H354" s="244"/>
      <c r="I354" s="71" t="e">
        <f>IF(COUNTIF((rName rData),H354),"","Name Error!")</f>
        <v>#NAME?</v>
      </c>
    </row>
    <row r="355" spans="2:9" s="126" customFormat="1" ht="15" customHeight="1" x14ac:dyDescent="0.25">
      <c r="B355" s="271" t="s">
        <v>365</v>
      </c>
      <c r="C355" s="272" t="s">
        <v>364</v>
      </c>
      <c r="D355" s="275" t="s">
        <v>216</v>
      </c>
      <c r="E355" s="275">
        <v>41249.380532407406</v>
      </c>
      <c r="F355" s="276">
        <v>4</v>
      </c>
      <c r="G355" s="243">
        <f t="shared" si="6"/>
        <v>62</v>
      </c>
      <c r="H355" s="244"/>
      <c r="I355" s="71" t="e">
        <f>IF(COUNTIF((rName rData),H355),"","Name Error!")</f>
        <v>#NAME?</v>
      </c>
    </row>
    <row r="356" spans="2:9" s="126" customFormat="1" ht="15" customHeight="1" x14ac:dyDescent="0.25">
      <c r="B356" s="271" t="s">
        <v>371</v>
      </c>
      <c r="C356" s="272" t="s">
        <v>370</v>
      </c>
      <c r="D356" s="275" t="s">
        <v>216</v>
      </c>
      <c r="E356" s="275">
        <v>41249.4143287037</v>
      </c>
      <c r="F356" s="276">
        <v>4</v>
      </c>
      <c r="G356" s="243">
        <f t="shared" si="6"/>
        <v>62</v>
      </c>
      <c r="H356" s="244"/>
      <c r="I356" s="71" t="e">
        <f>IF(COUNTIF((rName rData),H356),"","Name Error!")</f>
        <v>#NAME?</v>
      </c>
    </row>
    <row r="357" spans="2:9" s="126" customFormat="1" ht="15" customHeight="1" x14ac:dyDescent="0.25">
      <c r="B357" s="271" t="s">
        <v>362</v>
      </c>
      <c r="C357" s="272" t="s">
        <v>361</v>
      </c>
      <c r="D357" s="275" t="s">
        <v>216</v>
      </c>
      <c r="E357" s="275">
        <v>41249.414884259262</v>
      </c>
      <c r="F357" s="276">
        <v>4</v>
      </c>
      <c r="G357" s="243">
        <f t="shared" si="6"/>
        <v>62</v>
      </c>
      <c r="H357" s="244"/>
      <c r="I357" s="71" t="e">
        <f>IF(COUNTIF((rName rData),H357),"","Name Error!")</f>
        <v>#NAME?</v>
      </c>
    </row>
    <row r="358" spans="2:9" s="126" customFormat="1" ht="15" customHeight="1" x14ac:dyDescent="0.25">
      <c r="B358" s="271" t="s">
        <v>331</v>
      </c>
      <c r="C358" s="272" t="s">
        <v>330</v>
      </c>
      <c r="D358" s="275" t="s">
        <v>216</v>
      </c>
      <c r="E358" s="275">
        <v>41249.415127314816</v>
      </c>
      <c r="F358" s="276">
        <v>2</v>
      </c>
      <c r="G358" s="243">
        <f t="shared" si="6"/>
        <v>62</v>
      </c>
      <c r="H358" s="244"/>
      <c r="I358" s="71" t="e">
        <f>IF(COUNTIF((rName rData),H358),"","Name Error!")</f>
        <v>#NAME?</v>
      </c>
    </row>
    <row r="359" spans="2:9" s="126" customFormat="1" ht="15" customHeight="1" x14ac:dyDescent="0.25">
      <c r="B359" s="271" t="s">
        <v>352</v>
      </c>
      <c r="C359" s="272" t="s">
        <v>351</v>
      </c>
      <c r="D359" s="275" t="s">
        <v>216</v>
      </c>
      <c r="E359" s="275">
        <v>41249.544722222221</v>
      </c>
      <c r="F359" s="276">
        <v>2</v>
      </c>
      <c r="G359" s="243">
        <f t="shared" si="6"/>
        <v>62</v>
      </c>
      <c r="H359" s="244"/>
      <c r="I359" s="71" t="e">
        <f>IF(COUNTIF((rName rData),H359),"","Name Error!")</f>
        <v>#NAME?</v>
      </c>
    </row>
    <row r="360" spans="2:9" s="126" customFormat="1" ht="15" customHeight="1" x14ac:dyDescent="0.25">
      <c r="B360" s="271" t="s">
        <v>333</v>
      </c>
      <c r="C360" s="272" t="s">
        <v>332</v>
      </c>
      <c r="D360" s="275" t="s">
        <v>216</v>
      </c>
      <c r="E360" s="275">
        <v>41249.551631944443</v>
      </c>
      <c r="F360" s="276">
        <v>2</v>
      </c>
      <c r="G360" s="243">
        <f t="shared" si="6"/>
        <v>62</v>
      </c>
      <c r="H360" s="244"/>
      <c r="I360" s="71" t="e">
        <f>IF(COUNTIF((rName rData),H360),"","Name Error!")</f>
        <v>#NAME?</v>
      </c>
    </row>
    <row r="361" spans="2:9" s="126" customFormat="1" ht="15" customHeight="1" x14ac:dyDescent="0.25">
      <c r="B361" s="271" t="s">
        <v>341</v>
      </c>
      <c r="C361" s="272" t="s">
        <v>340</v>
      </c>
      <c r="D361" s="275" t="s">
        <v>216</v>
      </c>
      <c r="E361" s="275">
        <v>41249.555891203701</v>
      </c>
      <c r="F361" s="276">
        <v>5</v>
      </c>
      <c r="G361" s="243">
        <f t="shared" si="6"/>
        <v>62</v>
      </c>
      <c r="H361" s="244"/>
      <c r="I361" s="71" t="e">
        <f>IF(COUNTIF((rName rData),H361),"","Name Error!")</f>
        <v>#NAME?</v>
      </c>
    </row>
    <row r="362" spans="2:9" s="126" customFormat="1" ht="15" customHeight="1" x14ac:dyDescent="0.25">
      <c r="B362" s="271" t="s">
        <v>326</v>
      </c>
      <c r="C362" s="272" t="s">
        <v>325</v>
      </c>
      <c r="D362" s="275" t="s">
        <v>216</v>
      </c>
      <c r="E362" s="275">
        <v>41249.556527777779</v>
      </c>
      <c r="F362" s="276">
        <v>4</v>
      </c>
      <c r="G362" s="243">
        <f t="shared" si="6"/>
        <v>62</v>
      </c>
      <c r="H362" s="244"/>
      <c r="I362" s="71" t="e">
        <f>IF(COUNTIF((rName rData),H362),"","Name Error!")</f>
        <v>#NAME?</v>
      </c>
    </row>
    <row r="363" spans="2:9" s="126" customFormat="1" ht="15" customHeight="1" x14ac:dyDescent="0.25">
      <c r="B363" s="271" t="s">
        <v>337</v>
      </c>
      <c r="C363" s="272" t="s">
        <v>336</v>
      </c>
      <c r="D363" s="275" t="s">
        <v>216</v>
      </c>
      <c r="E363" s="275">
        <v>41249.55846064815</v>
      </c>
      <c r="F363" s="276">
        <v>4</v>
      </c>
      <c r="G363" s="243">
        <f t="shared" si="6"/>
        <v>62</v>
      </c>
      <c r="H363" s="244"/>
      <c r="I363" s="71" t="e">
        <f>IF(COUNTIF((rName rData),H363),"","Name Error!")</f>
        <v>#NAME?</v>
      </c>
    </row>
    <row r="364" spans="2:9" s="126" customFormat="1" ht="15" customHeight="1" x14ac:dyDescent="0.25">
      <c r="B364" s="271" t="s">
        <v>354</v>
      </c>
      <c r="C364" s="272" t="s">
        <v>353</v>
      </c>
      <c r="D364" s="275" t="s">
        <v>216</v>
      </c>
      <c r="E364" s="275">
        <v>41249.558946759258</v>
      </c>
      <c r="F364" s="276">
        <v>4</v>
      </c>
      <c r="G364" s="243">
        <f t="shared" si="6"/>
        <v>62</v>
      </c>
      <c r="H364" s="244"/>
      <c r="I364" s="71" t="e">
        <f>IF(COUNTIF((rName rData),H364),"","Name Error!")</f>
        <v>#NAME?</v>
      </c>
    </row>
    <row r="365" spans="2:9" s="126" customFormat="1" ht="15" customHeight="1" x14ac:dyDescent="0.25">
      <c r="B365" s="271" t="s">
        <v>356</v>
      </c>
      <c r="C365" s="272" t="s">
        <v>355</v>
      </c>
      <c r="D365" s="275" t="s">
        <v>216</v>
      </c>
      <c r="E365" s="275">
        <v>41249.559803240743</v>
      </c>
      <c r="F365" s="276">
        <v>3</v>
      </c>
      <c r="G365" s="243">
        <f t="shared" si="6"/>
        <v>62</v>
      </c>
      <c r="H365" s="244"/>
      <c r="I365" s="71" t="e">
        <f>IF(COUNTIF((rName rData),H365),"","Name Error!")</f>
        <v>#NAME?</v>
      </c>
    </row>
    <row r="366" spans="2:9" s="126" customFormat="1" ht="15" customHeight="1" x14ac:dyDescent="0.25">
      <c r="B366" s="271" t="s">
        <v>335</v>
      </c>
      <c r="C366" s="272" t="s">
        <v>334</v>
      </c>
      <c r="D366" s="275" t="s">
        <v>216</v>
      </c>
      <c r="E366" s="275">
        <v>41249.561111111114</v>
      </c>
      <c r="F366" s="276">
        <v>3</v>
      </c>
      <c r="G366" s="243">
        <f t="shared" si="6"/>
        <v>62</v>
      </c>
      <c r="H366" s="244"/>
      <c r="I366" s="71" t="e">
        <f>IF(COUNTIF((rName rData),H366),"","Name Error!")</f>
        <v>#NAME?</v>
      </c>
    </row>
    <row r="367" spans="2:9" s="126" customFormat="1" ht="15" customHeight="1" x14ac:dyDescent="0.25">
      <c r="B367" s="271" t="s">
        <v>358</v>
      </c>
      <c r="C367" s="272" t="s">
        <v>357</v>
      </c>
      <c r="D367" s="275" t="s">
        <v>216</v>
      </c>
      <c r="E367" s="275">
        <v>41249.563425925924</v>
      </c>
      <c r="F367" s="276">
        <v>3</v>
      </c>
      <c r="G367" s="243">
        <f t="shared" si="6"/>
        <v>62</v>
      </c>
      <c r="H367" s="244"/>
      <c r="I367" s="71" t="e">
        <f>IF(COUNTIF((rName rData),H367),"","Name Error!")</f>
        <v>#NAME?</v>
      </c>
    </row>
    <row r="368" spans="2:9" s="126" customFormat="1" ht="15" customHeight="1" x14ac:dyDescent="0.25">
      <c r="B368" s="271" t="s">
        <v>345</v>
      </c>
      <c r="C368" s="272" t="s">
        <v>344</v>
      </c>
      <c r="D368" s="275" t="s">
        <v>216</v>
      </c>
      <c r="E368" s="275">
        <v>41249.563981481479</v>
      </c>
      <c r="F368" s="276">
        <v>2</v>
      </c>
      <c r="G368" s="243">
        <f t="shared" si="6"/>
        <v>62</v>
      </c>
      <c r="H368" s="244"/>
      <c r="I368" s="71" t="e">
        <f>IF(COUNTIF((rName rData),H368),"","Name Error!")</f>
        <v>#NAME?</v>
      </c>
    </row>
    <row r="369" spans="2:9" s="126" customFormat="1" ht="15" customHeight="1" x14ac:dyDescent="0.25">
      <c r="B369" s="271" t="s">
        <v>343</v>
      </c>
      <c r="C369" s="272" t="s">
        <v>342</v>
      </c>
      <c r="D369" s="275" t="s">
        <v>216</v>
      </c>
      <c r="E369" s="275">
        <v>41249.564409722225</v>
      </c>
      <c r="F369" s="276">
        <v>2</v>
      </c>
      <c r="G369" s="243">
        <f t="shared" si="6"/>
        <v>62</v>
      </c>
      <c r="H369" s="244"/>
      <c r="I369" s="71" t="e">
        <f>IF(COUNTIF((rName rData),H369),"","Name Error!")</f>
        <v>#NAME?</v>
      </c>
    </row>
    <row r="370" spans="2:9" s="126" customFormat="1" ht="15" customHeight="1" x14ac:dyDescent="0.25">
      <c r="B370" s="271" t="s">
        <v>267</v>
      </c>
      <c r="C370" s="272" t="s">
        <v>268</v>
      </c>
      <c r="D370" s="275" t="s">
        <v>216</v>
      </c>
      <c r="E370" s="275">
        <v>41249.564918981479</v>
      </c>
      <c r="F370" s="276">
        <v>4</v>
      </c>
      <c r="G370" s="243">
        <f t="shared" si="6"/>
        <v>62</v>
      </c>
      <c r="H370" s="244"/>
      <c r="I370" s="71" t="e">
        <f>IF(COUNTIF((rName rData),H370),"","Name Error!")</f>
        <v>#NAME?</v>
      </c>
    </row>
    <row r="371" spans="2:9" s="126" customFormat="1" ht="15" customHeight="1" x14ac:dyDescent="0.25">
      <c r="B371" s="271" t="s">
        <v>322</v>
      </c>
      <c r="C371" s="272" t="s">
        <v>321</v>
      </c>
      <c r="D371" s="275" t="s">
        <v>216</v>
      </c>
      <c r="E371" s="275">
        <v>41249.56527777778</v>
      </c>
      <c r="F371" s="276">
        <v>4</v>
      </c>
      <c r="G371" s="243">
        <f t="shared" si="6"/>
        <v>62</v>
      </c>
      <c r="H371" s="244"/>
      <c r="I371" s="71" t="e">
        <f>IF(COUNTIF((rName rData),H371),"","Name Error!")</f>
        <v>#NAME?</v>
      </c>
    </row>
    <row r="372" spans="2:9" s="126" customFormat="1" ht="15" customHeight="1" x14ac:dyDescent="0.25">
      <c r="B372" s="271" t="s">
        <v>360</v>
      </c>
      <c r="C372" s="272" t="s">
        <v>359</v>
      </c>
      <c r="D372" s="275" t="s">
        <v>216</v>
      </c>
      <c r="E372" s="275">
        <v>41249.567245370374</v>
      </c>
      <c r="F372" s="276">
        <v>4</v>
      </c>
      <c r="G372" s="243">
        <f t="shared" si="6"/>
        <v>62</v>
      </c>
      <c r="H372" s="244"/>
      <c r="I372" s="71" t="e">
        <f>IF(COUNTIF((rName rData),H372),"","Name Error!")</f>
        <v>#NAME?</v>
      </c>
    </row>
    <row r="373" spans="2:9" s="126" customFormat="1" ht="15" customHeight="1" x14ac:dyDescent="0.25">
      <c r="B373" s="271" t="s">
        <v>328</v>
      </c>
      <c r="C373" s="272" t="s">
        <v>327</v>
      </c>
      <c r="D373" s="275" t="s">
        <v>216</v>
      </c>
      <c r="E373" s="275">
        <v>41249.57953703704</v>
      </c>
      <c r="F373" s="276">
        <v>3</v>
      </c>
      <c r="G373" s="243">
        <f t="shared" si="6"/>
        <v>62</v>
      </c>
      <c r="H373" s="244"/>
      <c r="I373" s="71" t="e">
        <f>IF(COUNTIF((rName rData),H373),"","Name Error!")</f>
        <v>#NAME?</v>
      </c>
    </row>
    <row r="374" spans="2:9" s="126" customFormat="1" ht="15" customHeight="1" x14ac:dyDescent="0.25">
      <c r="B374" s="271" t="s">
        <v>320</v>
      </c>
      <c r="C374" s="272" t="s">
        <v>319</v>
      </c>
      <c r="D374" s="275" t="s">
        <v>216</v>
      </c>
      <c r="E374" s="275">
        <v>41249.591828703706</v>
      </c>
      <c r="F374" s="276">
        <v>3</v>
      </c>
      <c r="G374" s="243">
        <f t="shared" si="6"/>
        <v>62</v>
      </c>
      <c r="H374" s="244"/>
      <c r="I374" s="71" t="e">
        <f>IF(COUNTIF((rName rData),H374),"","Name Error!")</f>
        <v>#NAME?</v>
      </c>
    </row>
    <row r="375" spans="2:9" s="126" customFormat="1" ht="15" customHeight="1" x14ac:dyDescent="0.25">
      <c r="B375" s="271" t="s">
        <v>350</v>
      </c>
      <c r="C375" s="272" t="s">
        <v>349</v>
      </c>
      <c r="D375" s="275" t="s">
        <v>216</v>
      </c>
      <c r="E375" s="275">
        <v>41249.708587962959</v>
      </c>
      <c r="F375" s="276">
        <v>2</v>
      </c>
      <c r="G375" s="243">
        <f t="shared" si="6"/>
        <v>62</v>
      </c>
      <c r="H375" s="244"/>
      <c r="I375" s="71" t="e">
        <f>IF(COUNTIF((rName rData),H375),"","Name Error!")</f>
        <v>#NAME?</v>
      </c>
    </row>
    <row r="376" spans="2:9" s="126" customFormat="1" ht="15" customHeight="1" x14ac:dyDescent="0.25">
      <c r="B376" s="271" t="s">
        <v>339</v>
      </c>
      <c r="C376" s="272" t="s">
        <v>338</v>
      </c>
      <c r="D376" s="275" t="s">
        <v>216</v>
      </c>
      <c r="E376" s="275">
        <v>41250.006145833337</v>
      </c>
      <c r="F376" s="276">
        <v>5</v>
      </c>
      <c r="G376" s="243">
        <f t="shared" si="6"/>
        <v>62</v>
      </c>
      <c r="H376" s="244"/>
      <c r="I376" s="71" t="e">
        <f>IF(COUNTIF((rName rData),H376),"","Name Error!")</f>
        <v>#NAME?</v>
      </c>
    </row>
    <row r="377" spans="2:9" s="126" customFormat="1" ht="15" customHeight="1" x14ac:dyDescent="0.25">
      <c r="B377" s="271" t="s">
        <v>358</v>
      </c>
      <c r="C377" s="272" t="s">
        <v>357</v>
      </c>
      <c r="D377" s="275" t="s">
        <v>216</v>
      </c>
      <c r="E377" s="275">
        <v>41250.323206018518</v>
      </c>
      <c r="F377" s="276">
        <v>2</v>
      </c>
      <c r="G377" s="243">
        <f t="shared" si="6"/>
        <v>62</v>
      </c>
      <c r="H377" s="244"/>
      <c r="I377" s="71" t="e">
        <f>IF(COUNTIF((rName rData),H377),"","Name Error!")</f>
        <v>#NAME?</v>
      </c>
    </row>
    <row r="378" spans="2:9" s="126" customFormat="1" ht="15" customHeight="1" x14ac:dyDescent="0.25">
      <c r="B378" s="271" t="s">
        <v>371</v>
      </c>
      <c r="C378" s="272" t="s">
        <v>370</v>
      </c>
      <c r="D378" s="275" t="s">
        <v>216</v>
      </c>
      <c r="E378" s="275">
        <v>41250.350092592591</v>
      </c>
      <c r="F378" s="276">
        <v>6</v>
      </c>
      <c r="G378" s="243">
        <f t="shared" si="6"/>
        <v>62</v>
      </c>
      <c r="H378" s="244"/>
      <c r="I378" s="71" t="e">
        <f>IF(COUNTIF((rName rData),H378),"","Name Error!")</f>
        <v>#NAME?</v>
      </c>
    </row>
    <row r="379" spans="2:9" s="126" customFormat="1" ht="15" customHeight="1" x14ac:dyDescent="0.25">
      <c r="B379" s="271" t="s">
        <v>369</v>
      </c>
      <c r="C379" s="272" t="s">
        <v>368</v>
      </c>
      <c r="D379" s="275" t="s">
        <v>216</v>
      </c>
      <c r="E379" s="275">
        <v>41250.371724537035</v>
      </c>
      <c r="F379" s="276">
        <v>7</v>
      </c>
      <c r="G379" s="243">
        <f t="shared" si="6"/>
        <v>62</v>
      </c>
      <c r="H379" s="244"/>
      <c r="I379" s="71" t="e">
        <f>IF(COUNTIF((rName rData),H379),"","Name Error!")</f>
        <v>#NAME?</v>
      </c>
    </row>
    <row r="380" spans="2:9" s="126" customFormat="1" ht="15" customHeight="1" x14ac:dyDescent="0.25">
      <c r="B380" s="271" t="s">
        <v>320</v>
      </c>
      <c r="C380" s="272" t="s">
        <v>319</v>
      </c>
      <c r="D380" s="275" t="s">
        <v>216</v>
      </c>
      <c r="E380" s="275">
        <v>41250.387812499997</v>
      </c>
      <c r="F380" s="276">
        <v>3</v>
      </c>
      <c r="G380" s="243">
        <f t="shared" si="6"/>
        <v>62</v>
      </c>
      <c r="H380" s="244"/>
      <c r="I380" s="71" t="e">
        <f>IF(COUNTIF((rName rData),H380),"","Name Error!")</f>
        <v>#NAME?</v>
      </c>
    </row>
    <row r="381" spans="2:9" s="126" customFormat="1" ht="15" customHeight="1" x14ac:dyDescent="0.25">
      <c r="B381" s="271" t="s">
        <v>350</v>
      </c>
      <c r="C381" s="272" t="s">
        <v>349</v>
      </c>
      <c r="D381" s="275" t="s">
        <v>216</v>
      </c>
      <c r="E381" s="275">
        <v>41250.425138888888</v>
      </c>
      <c r="F381" s="276">
        <v>5</v>
      </c>
      <c r="G381" s="243">
        <f t="shared" si="6"/>
        <v>62</v>
      </c>
      <c r="H381" s="244"/>
      <c r="I381" s="71" t="e">
        <f>IF(COUNTIF((rName rData),H381),"","Name Error!")</f>
        <v>#NAME?</v>
      </c>
    </row>
    <row r="382" spans="2:9" s="126" customFormat="1" ht="15" customHeight="1" x14ac:dyDescent="0.25">
      <c r="B382" s="271" t="s">
        <v>356</v>
      </c>
      <c r="C382" s="272" t="s">
        <v>355</v>
      </c>
      <c r="D382" s="275" t="s">
        <v>216</v>
      </c>
      <c r="E382" s="275">
        <v>41250.425208333334</v>
      </c>
      <c r="F382" s="276">
        <v>3</v>
      </c>
      <c r="G382" s="243">
        <f t="shared" si="6"/>
        <v>62</v>
      </c>
      <c r="H382" s="244"/>
      <c r="I382" s="71" t="e">
        <f>IF(COUNTIF((rName rData),H382),"","Name Error!")</f>
        <v>#NAME?</v>
      </c>
    </row>
    <row r="383" spans="2:9" s="126" customFormat="1" ht="15" customHeight="1" x14ac:dyDescent="0.25">
      <c r="B383" s="271" t="s">
        <v>335</v>
      </c>
      <c r="C383" s="272" t="s">
        <v>334</v>
      </c>
      <c r="D383" s="275" t="s">
        <v>216</v>
      </c>
      <c r="E383" s="275">
        <v>41250.425520833334</v>
      </c>
      <c r="F383" s="276">
        <v>3</v>
      </c>
      <c r="G383" s="243">
        <f t="shared" si="6"/>
        <v>62</v>
      </c>
      <c r="H383" s="244"/>
      <c r="I383" s="71" t="e">
        <f>IF(COUNTIF((rName rData),H383),"","Name Error!")</f>
        <v>#NAME?</v>
      </c>
    </row>
    <row r="384" spans="2:9" s="126" customFormat="1" ht="15" customHeight="1" x14ac:dyDescent="0.25">
      <c r="B384" s="271" t="s">
        <v>326</v>
      </c>
      <c r="C384" s="272" t="s">
        <v>325</v>
      </c>
      <c r="D384" s="275" t="s">
        <v>216</v>
      </c>
      <c r="E384" s="275">
        <v>41250.476666666669</v>
      </c>
      <c r="F384" s="276">
        <v>2</v>
      </c>
      <c r="G384" s="243">
        <f t="shared" si="6"/>
        <v>62</v>
      </c>
      <c r="H384" s="244"/>
      <c r="I384" s="71" t="e">
        <f>IF(COUNTIF((rName rData),H384),"","Name Error!")</f>
        <v>#NAME?</v>
      </c>
    </row>
    <row r="385" spans="2:9" s="126" customFormat="1" ht="15" customHeight="1" x14ac:dyDescent="0.25">
      <c r="B385" s="271" t="s">
        <v>354</v>
      </c>
      <c r="C385" s="272" t="s">
        <v>353</v>
      </c>
      <c r="D385" s="275" t="s">
        <v>216</v>
      </c>
      <c r="E385" s="275">
        <v>41250.476851851854</v>
      </c>
      <c r="F385" s="276">
        <v>3</v>
      </c>
      <c r="G385" s="243">
        <f t="shared" si="6"/>
        <v>62</v>
      </c>
      <c r="H385" s="244"/>
      <c r="I385" s="71" t="e">
        <f>IF(COUNTIF((rName rData),H385),"","Name Error!")</f>
        <v>#NAME?</v>
      </c>
    </row>
    <row r="386" spans="2:9" s="126" customFormat="1" ht="15" customHeight="1" x14ac:dyDescent="0.25">
      <c r="B386" s="271" t="s">
        <v>362</v>
      </c>
      <c r="C386" s="272" t="s">
        <v>361</v>
      </c>
      <c r="D386" s="275" t="s">
        <v>216</v>
      </c>
      <c r="E386" s="275">
        <v>41250.476886574077</v>
      </c>
      <c r="F386" s="276">
        <v>2</v>
      </c>
      <c r="G386" s="243">
        <f t="shared" si="6"/>
        <v>62</v>
      </c>
      <c r="H386" s="244"/>
      <c r="I386" s="71" t="e">
        <f>IF(COUNTIF((rName rData),H386),"","Name Error!")</f>
        <v>#NAME?</v>
      </c>
    </row>
    <row r="387" spans="2:9" s="126" customFormat="1" ht="15" customHeight="1" x14ac:dyDescent="0.25">
      <c r="B387" s="271" t="s">
        <v>331</v>
      </c>
      <c r="C387" s="272" t="s">
        <v>330</v>
      </c>
      <c r="D387" s="275" t="s">
        <v>216</v>
      </c>
      <c r="E387" s="275">
        <v>41250.477025462962</v>
      </c>
      <c r="F387" s="276">
        <v>5</v>
      </c>
      <c r="G387" s="243">
        <f t="shared" si="6"/>
        <v>62</v>
      </c>
      <c r="H387" s="244"/>
      <c r="I387" s="71" t="e">
        <f>IF(COUNTIF((rName rData),H387),"","Name Error!")</f>
        <v>#NAME?</v>
      </c>
    </row>
    <row r="388" spans="2:9" s="126" customFormat="1" ht="15" customHeight="1" x14ac:dyDescent="0.25">
      <c r="B388" s="271" t="s">
        <v>322</v>
      </c>
      <c r="C388" s="272" t="s">
        <v>321</v>
      </c>
      <c r="D388" s="275" t="s">
        <v>216</v>
      </c>
      <c r="E388" s="275">
        <v>41250.477233796293</v>
      </c>
      <c r="F388" s="276">
        <v>5</v>
      </c>
      <c r="G388" s="243">
        <f t="shared" si="6"/>
        <v>62</v>
      </c>
      <c r="H388" s="244"/>
      <c r="I388" s="71" t="e">
        <f>IF(COUNTIF((rName rData),H388),"","Name Error!")</f>
        <v>#NAME?</v>
      </c>
    </row>
    <row r="389" spans="2:9" s="126" customFormat="1" ht="15" customHeight="1" x14ac:dyDescent="0.25">
      <c r="B389" s="271" t="s">
        <v>341</v>
      </c>
      <c r="C389" s="272" t="s">
        <v>340</v>
      </c>
      <c r="D389" s="275" t="s">
        <v>216</v>
      </c>
      <c r="E389" s="275">
        <v>41250.477581018517</v>
      </c>
      <c r="F389" s="276">
        <v>4</v>
      </c>
      <c r="G389" s="243">
        <f t="shared" si="6"/>
        <v>62</v>
      </c>
      <c r="H389" s="244"/>
      <c r="I389" s="71" t="e">
        <f>IF(COUNTIF((rName rData),H389),"","Name Error!")</f>
        <v>#NAME?</v>
      </c>
    </row>
    <row r="390" spans="2:9" s="126" customFormat="1" ht="15" customHeight="1" x14ac:dyDescent="0.25">
      <c r="B390" s="271" t="s">
        <v>337</v>
      </c>
      <c r="C390" s="272" t="s">
        <v>336</v>
      </c>
      <c r="D390" s="275" t="s">
        <v>216</v>
      </c>
      <c r="E390" s="275">
        <v>41250.477743055555</v>
      </c>
      <c r="F390" s="276">
        <v>5</v>
      </c>
      <c r="G390" s="243">
        <f t="shared" si="6"/>
        <v>62</v>
      </c>
      <c r="H390" s="244"/>
      <c r="I390" s="71" t="e">
        <f>IF(COUNTIF((rName rData),H390),"","Name Error!")</f>
        <v>#NAME?</v>
      </c>
    </row>
    <row r="391" spans="2:9" s="126" customFormat="1" ht="15" customHeight="1" x14ac:dyDescent="0.25">
      <c r="B391" s="271" t="s">
        <v>324</v>
      </c>
      <c r="C391" s="272" t="s">
        <v>323</v>
      </c>
      <c r="D391" s="275" t="s">
        <v>216</v>
      </c>
      <c r="E391" s="275">
        <v>41250.478182870371</v>
      </c>
      <c r="F391" s="276">
        <v>6</v>
      </c>
      <c r="G391" s="243">
        <f t="shared" si="6"/>
        <v>62</v>
      </c>
      <c r="H391" s="244"/>
      <c r="I391" s="71" t="e">
        <f>IF(COUNTIF((rName rData),H391),"","Name Error!")</f>
        <v>#NAME?</v>
      </c>
    </row>
    <row r="392" spans="2:9" s="126" customFormat="1" ht="15" customHeight="1" x14ac:dyDescent="0.25">
      <c r="B392" s="271" t="s">
        <v>352</v>
      </c>
      <c r="C392" s="272" t="s">
        <v>351</v>
      </c>
      <c r="D392" s="275" t="s">
        <v>216</v>
      </c>
      <c r="E392" s="275">
        <v>41250.479791666665</v>
      </c>
      <c r="F392" s="276">
        <v>2</v>
      </c>
      <c r="G392" s="243">
        <f t="shared" si="6"/>
        <v>62</v>
      </c>
      <c r="H392" s="244"/>
      <c r="I392" s="71" t="e">
        <f>IF(COUNTIF((rName rData),H392),"","Name Error!")</f>
        <v>#NAME?</v>
      </c>
    </row>
    <row r="393" spans="2:9" s="126" customFormat="1" ht="15" customHeight="1" x14ac:dyDescent="0.25">
      <c r="B393" s="271" t="s">
        <v>365</v>
      </c>
      <c r="C393" s="272" t="s">
        <v>364</v>
      </c>
      <c r="D393" s="275" t="s">
        <v>216</v>
      </c>
      <c r="E393" s="275">
        <v>41250.482534722221</v>
      </c>
      <c r="F393" s="276">
        <v>5</v>
      </c>
      <c r="G393" s="243">
        <f t="shared" si="6"/>
        <v>62</v>
      </c>
      <c r="H393" s="244"/>
      <c r="I393" s="71" t="e">
        <f>IF(COUNTIF((rName rData),H393),"","Name Error!")</f>
        <v>#NAME?</v>
      </c>
    </row>
    <row r="394" spans="2:9" s="126" customFormat="1" ht="15" customHeight="1" x14ac:dyDescent="0.25">
      <c r="B394" s="271" t="s">
        <v>279</v>
      </c>
      <c r="C394" s="272" t="s">
        <v>280</v>
      </c>
      <c r="D394" s="275" t="s">
        <v>216</v>
      </c>
      <c r="E394" s="275">
        <v>41250.564293981479</v>
      </c>
      <c r="F394" s="276">
        <v>4</v>
      </c>
      <c r="G394" s="243">
        <f t="shared" ref="G394:G457" si="7">TRUNC((E394-start)/7)+1</f>
        <v>62</v>
      </c>
      <c r="H394" s="244"/>
      <c r="I394" s="71" t="e">
        <f>IF(COUNTIF((rName rData),H394),"","Name Error!")</f>
        <v>#NAME?</v>
      </c>
    </row>
    <row r="395" spans="2:9" s="126" customFormat="1" ht="15" customHeight="1" x14ac:dyDescent="0.25">
      <c r="B395" s="271" t="s">
        <v>343</v>
      </c>
      <c r="C395" s="272" t="s">
        <v>342</v>
      </c>
      <c r="D395" s="275" t="s">
        <v>216</v>
      </c>
      <c r="E395" s="275">
        <v>41250.570543981485</v>
      </c>
      <c r="F395" s="276">
        <v>4</v>
      </c>
      <c r="G395" s="243">
        <f t="shared" si="7"/>
        <v>62</v>
      </c>
      <c r="H395" s="244"/>
      <c r="I395" s="71" t="e">
        <f>IF(COUNTIF((rName rData),H395),"","Name Error!")</f>
        <v>#NAME?</v>
      </c>
    </row>
    <row r="396" spans="2:9" s="126" customFormat="1" ht="15" customHeight="1" x14ac:dyDescent="0.25">
      <c r="B396" s="271" t="s">
        <v>367</v>
      </c>
      <c r="C396" s="272" t="s">
        <v>366</v>
      </c>
      <c r="D396" s="275" t="s">
        <v>216</v>
      </c>
      <c r="E396" s="275">
        <v>41250.718495370369</v>
      </c>
      <c r="F396" s="276">
        <v>1</v>
      </c>
      <c r="G396" s="243">
        <f t="shared" si="7"/>
        <v>62</v>
      </c>
      <c r="H396" s="244"/>
      <c r="I396" s="71" t="e">
        <f>IF(COUNTIF((rName rData),H396),"","Name Error!")</f>
        <v>#NAME?</v>
      </c>
    </row>
    <row r="397" spans="2:9" s="126" customFormat="1" ht="15" customHeight="1" x14ac:dyDescent="0.25">
      <c r="B397" s="271" t="s">
        <v>345</v>
      </c>
      <c r="C397" s="272" t="s">
        <v>344</v>
      </c>
      <c r="D397" s="275" t="s">
        <v>216</v>
      </c>
      <c r="E397" s="275">
        <v>41250.850798611114</v>
      </c>
      <c r="F397" s="276">
        <v>1</v>
      </c>
      <c r="G397" s="243">
        <f t="shared" si="7"/>
        <v>62</v>
      </c>
      <c r="H397" s="244"/>
      <c r="I397" s="71" t="e">
        <f>IF(COUNTIF((rName rData),H397),"","Name Error!")</f>
        <v>#NAME?</v>
      </c>
    </row>
    <row r="398" spans="2:9" s="126" customFormat="1" ht="15" customHeight="1" x14ac:dyDescent="0.25">
      <c r="B398" s="271" t="s">
        <v>328</v>
      </c>
      <c r="C398" s="272" t="s">
        <v>327</v>
      </c>
      <c r="D398" s="275" t="s">
        <v>216</v>
      </c>
      <c r="E398" s="275">
        <v>41250.85428240741</v>
      </c>
      <c r="F398" s="276">
        <v>1</v>
      </c>
      <c r="G398" s="243">
        <f t="shared" si="7"/>
        <v>62</v>
      </c>
      <c r="H398" s="244"/>
      <c r="I398" s="71" t="e">
        <f>IF(COUNTIF((rName rData),H398),"","Name Error!")</f>
        <v>#NAME?</v>
      </c>
    </row>
    <row r="399" spans="2:9" s="126" customFormat="1" ht="15" customHeight="1" x14ac:dyDescent="0.25">
      <c r="B399" s="271" t="s">
        <v>279</v>
      </c>
      <c r="C399" s="272" t="s">
        <v>280</v>
      </c>
      <c r="D399" s="275" t="s">
        <v>216</v>
      </c>
      <c r="E399" s="275">
        <v>41251.038194444445</v>
      </c>
      <c r="F399" s="276">
        <v>5</v>
      </c>
      <c r="G399" s="243">
        <f t="shared" si="7"/>
        <v>63</v>
      </c>
      <c r="H399" s="244"/>
      <c r="I399" s="71" t="e">
        <f>IF(COUNTIF((rName rData),H399),"","Name Error!")</f>
        <v>#NAME?</v>
      </c>
    </row>
    <row r="400" spans="2:9" s="126" customFormat="1" ht="15" customHeight="1" x14ac:dyDescent="0.25">
      <c r="B400" s="271" t="s">
        <v>356</v>
      </c>
      <c r="C400" s="272" t="s">
        <v>355</v>
      </c>
      <c r="D400" s="275" t="s">
        <v>216</v>
      </c>
      <c r="E400" s="275">
        <v>41251.08997685185</v>
      </c>
      <c r="F400" s="276">
        <v>1</v>
      </c>
      <c r="G400" s="243">
        <f t="shared" si="7"/>
        <v>63</v>
      </c>
      <c r="H400" s="244"/>
      <c r="I400" s="71" t="e">
        <f>IF(COUNTIF((rName rData),H400),"","Name Error!")</f>
        <v>#NAME?</v>
      </c>
    </row>
    <row r="401" spans="2:9" s="126" customFormat="1" ht="15" customHeight="1" x14ac:dyDescent="0.25">
      <c r="B401" s="271" t="s">
        <v>352</v>
      </c>
      <c r="C401" s="272" t="s">
        <v>351</v>
      </c>
      <c r="D401" s="275" t="s">
        <v>216</v>
      </c>
      <c r="E401" s="275">
        <v>41251.31181712963</v>
      </c>
      <c r="F401" s="276">
        <v>1</v>
      </c>
      <c r="G401" s="243">
        <f t="shared" si="7"/>
        <v>63</v>
      </c>
      <c r="H401" s="244"/>
      <c r="I401" s="71" t="e">
        <f>IF(COUNTIF((rName rData),H401),"","Name Error!")</f>
        <v>#NAME?</v>
      </c>
    </row>
    <row r="402" spans="2:9" s="126" customFormat="1" ht="15" customHeight="1" x14ac:dyDescent="0.25">
      <c r="B402" s="271" t="s">
        <v>333</v>
      </c>
      <c r="C402" s="272" t="s">
        <v>332</v>
      </c>
      <c r="D402" s="275" t="s">
        <v>216</v>
      </c>
      <c r="E402" s="275">
        <v>41251.313645833332</v>
      </c>
      <c r="F402" s="276">
        <v>1</v>
      </c>
      <c r="G402" s="243">
        <f t="shared" si="7"/>
        <v>63</v>
      </c>
      <c r="H402" s="244"/>
      <c r="I402" s="71" t="e">
        <f>IF(COUNTIF((rName rData),H402),"","Name Error!")</f>
        <v>#NAME?</v>
      </c>
    </row>
    <row r="403" spans="2:9" s="126" customFormat="1" ht="15" customHeight="1" x14ac:dyDescent="0.25">
      <c r="B403" s="271" t="s">
        <v>343</v>
      </c>
      <c r="C403" s="272" t="s">
        <v>342</v>
      </c>
      <c r="D403" s="275" t="s">
        <v>216</v>
      </c>
      <c r="E403" s="275">
        <v>41251.319467592592</v>
      </c>
      <c r="F403" s="276">
        <v>1</v>
      </c>
      <c r="G403" s="243">
        <f t="shared" si="7"/>
        <v>63</v>
      </c>
      <c r="H403" s="244"/>
      <c r="I403" s="71" t="e">
        <f>IF(COUNTIF((rName rData),H403),"","Name Error!")</f>
        <v>#NAME?</v>
      </c>
    </row>
    <row r="404" spans="2:9" s="126" customFormat="1" ht="15" customHeight="1" x14ac:dyDescent="0.25">
      <c r="B404" s="271" t="s">
        <v>345</v>
      </c>
      <c r="C404" s="272" t="s">
        <v>344</v>
      </c>
      <c r="D404" s="275" t="s">
        <v>216</v>
      </c>
      <c r="E404" s="275">
        <v>41251.319791666669</v>
      </c>
      <c r="F404" s="276">
        <v>3</v>
      </c>
      <c r="G404" s="243">
        <f t="shared" si="7"/>
        <v>63</v>
      </c>
      <c r="H404" s="244"/>
      <c r="I404" s="71" t="e">
        <f>IF(COUNTIF((rName rData),H404),"","Name Error!")</f>
        <v>#NAME?</v>
      </c>
    </row>
    <row r="405" spans="2:9" s="126" customFormat="1" ht="15" customHeight="1" x14ac:dyDescent="0.25">
      <c r="B405" s="271" t="s">
        <v>371</v>
      </c>
      <c r="C405" s="272" t="s">
        <v>370</v>
      </c>
      <c r="D405" s="275" t="s">
        <v>216</v>
      </c>
      <c r="E405" s="275">
        <v>41251.330671296295</v>
      </c>
      <c r="F405" s="276">
        <v>2</v>
      </c>
      <c r="G405" s="243">
        <f t="shared" si="7"/>
        <v>63</v>
      </c>
      <c r="H405" s="244"/>
      <c r="I405" s="71" t="e">
        <f>IF(COUNTIF((rName rData),H405),"","Name Error!")</f>
        <v>#NAME?</v>
      </c>
    </row>
    <row r="406" spans="2:9" s="126" customFormat="1" ht="15" customHeight="1" x14ac:dyDescent="0.25">
      <c r="B406" s="271" t="s">
        <v>350</v>
      </c>
      <c r="C406" s="272" t="s">
        <v>349</v>
      </c>
      <c r="D406" s="275" t="s">
        <v>216</v>
      </c>
      <c r="E406" s="275">
        <v>41251.330960648149</v>
      </c>
      <c r="F406" s="276">
        <v>2</v>
      </c>
      <c r="G406" s="243">
        <f t="shared" si="7"/>
        <v>63</v>
      </c>
      <c r="H406" s="244"/>
      <c r="I406" s="71" t="e">
        <f>IF(COUNTIF((rName rData),H406),"","Name Error!")</f>
        <v>#NAME?</v>
      </c>
    </row>
    <row r="407" spans="2:9" s="126" customFormat="1" ht="15" customHeight="1" x14ac:dyDescent="0.25">
      <c r="B407" s="271" t="s">
        <v>320</v>
      </c>
      <c r="C407" s="272" t="s">
        <v>319</v>
      </c>
      <c r="D407" s="275" t="s">
        <v>216</v>
      </c>
      <c r="E407" s="275">
        <v>41251.339722222219</v>
      </c>
      <c r="F407" s="276">
        <v>2</v>
      </c>
      <c r="G407" s="243">
        <f t="shared" si="7"/>
        <v>63</v>
      </c>
      <c r="H407" s="244"/>
      <c r="I407" s="71" t="e">
        <f>IF(COUNTIF((rName rData),H407),"","Name Error!")</f>
        <v>#NAME?</v>
      </c>
    </row>
    <row r="408" spans="2:9" s="126" customFormat="1" ht="15" customHeight="1" x14ac:dyDescent="0.25">
      <c r="B408" s="271" t="s">
        <v>354</v>
      </c>
      <c r="C408" s="272" t="s">
        <v>353</v>
      </c>
      <c r="D408" s="275" t="s">
        <v>216</v>
      </c>
      <c r="E408" s="275">
        <v>41251.355000000003</v>
      </c>
      <c r="F408" s="276">
        <v>3</v>
      </c>
      <c r="G408" s="243">
        <f t="shared" si="7"/>
        <v>63</v>
      </c>
      <c r="H408" s="244"/>
      <c r="I408" s="71" t="e">
        <f>IF(COUNTIF((rName rData),H408),"","Name Error!")</f>
        <v>#NAME?</v>
      </c>
    </row>
    <row r="409" spans="2:9" s="126" customFormat="1" ht="15" customHeight="1" x14ac:dyDescent="0.25">
      <c r="B409" s="271" t="s">
        <v>337</v>
      </c>
      <c r="C409" s="272" t="s">
        <v>336</v>
      </c>
      <c r="D409" s="275" t="s">
        <v>216</v>
      </c>
      <c r="E409" s="275">
        <v>41251.359594907408</v>
      </c>
      <c r="F409" s="276">
        <v>1</v>
      </c>
      <c r="G409" s="243">
        <f t="shared" si="7"/>
        <v>63</v>
      </c>
      <c r="H409" s="244"/>
      <c r="I409" s="71" t="e">
        <f>IF(COUNTIF((rName rData),H409),"","Name Error!")</f>
        <v>#NAME?</v>
      </c>
    </row>
    <row r="410" spans="2:9" s="126" customFormat="1" ht="15" customHeight="1" x14ac:dyDescent="0.25">
      <c r="B410" s="271" t="s">
        <v>358</v>
      </c>
      <c r="C410" s="272" t="s">
        <v>357</v>
      </c>
      <c r="D410" s="275" t="s">
        <v>216</v>
      </c>
      <c r="E410" s="275">
        <v>41251.361250000002</v>
      </c>
      <c r="F410" s="276">
        <v>1</v>
      </c>
      <c r="G410" s="243">
        <f t="shared" si="7"/>
        <v>63</v>
      </c>
      <c r="H410" s="244"/>
      <c r="I410" s="71" t="e">
        <f>IF(COUNTIF((rName rData),H410),"","Name Error!")</f>
        <v>#NAME?</v>
      </c>
    </row>
    <row r="411" spans="2:9" s="126" customFormat="1" ht="15" customHeight="1" x14ac:dyDescent="0.25">
      <c r="B411" s="271" t="s">
        <v>326</v>
      </c>
      <c r="C411" s="272" t="s">
        <v>325</v>
      </c>
      <c r="D411" s="275" t="s">
        <v>216</v>
      </c>
      <c r="E411" s="275">
        <v>41251.367222222223</v>
      </c>
      <c r="F411" s="276">
        <v>1</v>
      </c>
      <c r="G411" s="243">
        <f t="shared" si="7"/>
        <v>63</v>
      </c>
      <c r="H411" s="244"/>
      <c r="I411" s="71" t="e">
        <f>IF(COUNTIF((rName rData),H411),"","Name Error!")</f>
        <v>#NAME?</v>
      </c>
    </row>
    <row r="412" spans="2:9" s="126" customFormat="1" ht="15" customHeight="1" x14ac:dyDescent="0.25">
      <c r="B412" s="271" t="s">
        <v>341</v>
      </c>
      <c r="C412" s="272" t="s">
        <v>340</v>
      </c>
      <c r="D412" s="275" t="s">
        <v>216</v>
      </c>
      <c r="E412" s="275">
        <v>41251.523043981484</v>
      </c>
      <c r="F412" s="276">
        <v>2</v>
      </c>
      <c r="G412" s="243">
        <f t="shared" si="7"/>
        <v>63</v>
      </c>
      <c r="H412" s="244"/>
      <c r="I412" s="71" t="e">
        <f>IF(COUNTIF((rName rData),H412),"","Name Error!")</f>
        <v>#NAME?</v>
      </c>
    </row>
    <row r="413" spans="2:9" s="126" customFormat="1" ht="15" customHeight="1" x14ac:dyDescent="0.25">
      <c r="B413" s="271" t="s">
        <v>335</v>
      </c>
      <c r="C413" s="272" t="s">
        <v>334</v>
      </c>
      <c r="D413" s="275" t="s">
        <v>216</v>
      </c>
      <c r="E413" s="275">
        <v>41251.569814814815</v>
      </c>
      <c r="F413" s="276">
        <v>1</v>
      </c>
      <c r="G413" s="243">
        <f t="shared" si="7"/>
        <v>63</v>
      </c>
      <c r="H413" s="244"/>
      <c r="I413" s="71" t="e">
        <f>IF(COUNTIF((rName rData),H413),"","Name Error!")</f>
        <v>#NAME?</v>
      </c>
    </row>
    <row r="414" spans="2:9" s="126" customFormat="1" ht="15" customHeight="1" x14ac:dyDescent="0.25">
      <c r="B414" s="271" t="s">
        <v>324</v>
      </c>
      <c r="C414" s="272" t="s">
        <v>323</v>
      </c>
      <c r="D414" s="275" t="s">
        <v>216</v>
      </c>
      <c r="E414" s="275">
        <v>41251.601851851854</v>
      </c>
      <c r="F414" s="276">
        <v>2</v>
      </c>
      <c r="G414" s="243">
        <f t="shared" si="7"/>
        <v>63</v>
      </c>
      <c r="H414" s="244"/>
      <c r="I414" s="71" t="e">
        <f>IF(COUNTIF((rName rData),H414),"","Name Error!")</f>
        <v>#NAME?</v>
      </c>
    </row>
    <row r="415" spans="2:9" s="126" customFormat="1" ht="15" customHeight="1" x14ac:dyDescent="0.25">
      <c r="B415" s="271" t="s">
        <v>267</v>
      </c>
      <c r="C415" s="272" t="s">
        <v>268</v>
      </c>
      <c r="D415" s="275" t="s">
        <v>216</v>
      </c>
      <c r="E415" s="275">
        <v>41251.699872685182</v>
      </c>
      <c r="F415" s="276">
        <v>2</v>
      </c>
      <c r="G415" s="243">
        <f t="shared" si="7"/>
        <v>63</v>
      </c>
      <c r="H415" s="244"/>
      <c r="I415" s="71" t="e">
        <f>IF(COUNTIF((rName rData),H415),"","Name Error!")</f>
        <v>#NAME?</v>
      </c>
    </row>
    <row r="416" spans="2:9" s="126" customFormat="1" ht="15" customHeight="1" x14ac:dyDescent="0.25">
      <c r="B416" s="271" t="s">
        <v>360</v>
      </c>
      <c r="C416" s="272" t="s">
        <v>359</v>
      </c>
      <c r="D416" s="275" t="s">
        <v>216</v>
      </c>
      <c r="E416" s="275">
        <v>41251.766030092593</v>
      </c>
      <c r="F416" s="276">
        <v>3</v>
      </c>
      <c r="G416" s="243">
        <f t="shared" si="7"/>
        <v>63</v>
      </c>
      <c r="H416" s="244"/>
      <c r="I416" s="71" t="e">
        <f>IF(COUNTIF((rName rData),H416),"","Name Error!")</f>
        <v>#NAME?</v>
      </c>
    </row>
    <row r="417" spans="2:9" s="126" customFormat="1" ht="15" customHeight="1" x14ac:dyDescent="0.25">
      <c r="B417" s="271" t="s">
        <v>362</v>
      </c>
      <c r="C417" s="272" t="s">
        <v>361</v>
      </c>
      <c r="D417" s="275" t="s">
        <v>216</v>
      </c>
      <c r="E417" s="275">
        <v>41252.178287037037</v>
      </c>
      <c r="F417" s="276">
        <v>2</v>
      </c>
      <c r="G417" s="243">
        <f t="shared" si="7"/>
        <v>63</v>
      </c>
      <c r="H417" s="244"/>
      <c r="I417" s="71" t="e">
        <f>IF(COUNTIF((rName rData),H417),"","Name Error!")</f>
        <v>#NAME?</v>
      </c>
    </row>
    <row r="418" spans="2:9" s="126" customFormat="1" ht="15" customHeight="1" x14ac:dyDescent="0.25">
      <c r="B418" s="271" t="s">
        <v>324</v>
      </c>
      <c r="C418" s="272" t="s">
        <v>323</v>
      </c>
      <c r="D418" s="275" t="s">
        <v>216</v>
      </c>
      <c r="E418" s="275">
        <v>41252.208043981482</v>
      </c>
      <c r="F418" s="276">
        <v>3</v>
      </c>
      <c r="G418" s="243">
        <f t="shared" si="7"/>
        <v>63</v>
      </c>
      <c r="H418" s="244"/>
      <c r="I418" s="71" t="e">
        <f>IF(COUNTIF((rName rData),H418),"","Name Error!")</f>
        <v>#NAME?</v>
      </c>
    </row>
    <row r="419" spans="2:9" s="126" customFormat="1" ht="15" customHeight="1" x14ac:dyDescent="0.25">
      <c r="B419" s="271" t="s">
        <v>279</v>
      </c>
      <c r="C419" s="272" t="s">
        <v>280</v>
      </c>
      <c r="D419" s="275" t="s">
        <v>216</v>
      </c>
      <c r="E419" s="275">
        <v>41252.350891203707</v>
      </c>
      <c r="F419" s="276">
        <v>2</v>
      </c>
      <c r="G419" s="243">
        <f t="shared" si="7"/>
        <v>63</v>
      </c>
      <c r="H419" s="244"/>
      <c r="I419" s="71" t="e">
        <f>IF(COUNTIF((rName rData),H419),"","Name Error!")</f>
        <v>#NAME?</v>
      </c>
    </row>
    <row r="420" spans="2:9" s="126" customFormat="1" ht="15" customHeight="1" x14ac:dyDescent="0.25">
      <c r="B420" s="271" t="s">
        <v>267</v>
      </c>
      <c r="C420" s="272" t="s">
        <v>268</v>
      </c>
      <c r="D420" s="275" t="s">
        <v>216</v>
      </c>
      <c r="E420" s="275">
        <v>41252.374618055554</v>
      </c>
      <c r="F420" s="276">
        <v>3</v>
      </c>
      <c r="G420" s="243">
        <f t="shared" si="7"/>
        <v>63</v>
      </c>
      <c r="H420" s="244"/>
      <c r="I420" s="71" t="e">
        <f>IF(COUNTIF((rName rData),H420),"","Name Error!")</f>
        <v>#NAME?</v>
      </c>
    </row>
    <row r="421" spans="2:9" s="126" customFormat="1" ht="15" customHeight="1" x14ac:dyDescent="0.25">
      <c r="B421" s="271" t="s">
        <v>326</v>
      </c>
      <c r="C421" s="272" t="s">
        <v>325</v>
      </c>
      <c r="D421" s="275" t="s">
        <v>216</v>
      </c>
      <c r="E421" s="275">
        <v>41252.40730324074</v>
      </c>
      <c r="F421" s="276">
        <v>3</v>
      </c>
      <c r="G421" s="243">
        <f t="shared" si="7"/>
        <v>63</v>
      </c>
      <c r="H421" s="244"/>
      <c r="I421" s="71" t="e">
        <f>IF(COUNTIF((rName rData),H421),"","Name Error!")</f>
        <v>#NAME?</v>
      </c>
    </row>
    <row r="422" spans="2:9" s="126" customFormat="1" ht="15" customHeight="1" x14ac:dyDescent="0.25">
      <c r="B422" s="271" t="s">
        <v>341</v>
      </c>
      <c r="C422" s="272" t="s">
        <v>340</v>
      </c>
      <c r="D422" s="275" t="s">
        <v>216</v>
      </c>
      <c r="E422" s="275">
        <v>41252.439293981479</v>
      </c>
      <c r="F422" s="276">
        <v>7</v>
      </c>
      <c r="G422" s="243">
        <f t="shared" si="7"/>
        <v>63</v>
      </c>
      <c r="H422" s="244"/>
      <c r="I422" s="71" t="e">
        <f>IF(COUNTIF((rName rData),H422),"","Name Error!")</f>
        <v>#NAME?</v>
      </c>
    </row>
    <row r="423" spans="2:9" s="126" customFormat="1" ht="15" customHeight="1" x14ac:dyDescent="0.25">
      <c r="B423" s="271" t="s">
        <v>343</v>
      </c>
      <c r="C423" s="272" t="s">
        <v>342</v>
      </c>
      <c r="D423" s="275" t="s">
        <v>216</v>
      </c>
      <c r="E423" s="275">
        <v>41252.49417824074</v>
      </c>
      <c r="F423" s="276">
        <v>3</v>
      </c>
      <c r="G423" s="243">
        <f t="shared" si="7"/>
        <v>63</v>
      </c>
      <c r="H423" s="244"/>
      <c r="I423" s="71" t="e">
        <f>IF(COUNTIF((rName rData),H423),"","Name Error!")</f>
        <v>#NAME?</v>
      </c>
    </row>
    <row r="424" spans="2:9" s="126" customFormat="1" ht="15" customHeight="1" x14ac:dyDescent="0.25">
      <c r="B424" s="271" t="s">
        <v>365</v>
      </c>
      <c r="C424" s="272" t="s">
        <v>364</v>
      </c>
      <c r="D424" s="275" t="s">
        <v>216</v>
      </c>
      <c r="E424" s="275">
        <v>41252.501111111109</v>
      </c>
      <c r="F424" s="276">
        <v>3</v>
      </c>
      <c r="G424" s="243">
        <f t="shared" si="7"/>
        <v>63</v>
      </c>
      <c r="H424" s="244"/>
      <c r="I424" s="71" t="e">
        <f>IF(COUNTIF((rName rData),H424),"","Name Error!")</f>
        <v>#NAME?</v>
      </c>
    </row>
    <row r="425" spans="2:9" s="126" customFormat="1" ht="15" customHeight="1" x14ac:dyDescent="0.25">
      <c r="B425" s="271" t="s">
        <v>352</v>
      </c>
      <c r="C425" s="272" t="s">
        <v>351</v>
      </c>
      <c r="D425" s="275" t="s">
        <v>216</v>
      </c>
      <c r="E425" s="275">
        <v>41252.541539351849</v>
      </c>
      <c r="F425" s="276">
        <v>5</v>
      </c>
      <c r="G425" s="243">
        <f t="shared" si="7"/>
        <v>63</v>
      </c>
      <c r="H425" s="244"/>
      <c r="I425" s="71" t="e">
        <f>IF(COUNTIF((rName rData),H425),"","Name Error!")</f>
        <v>#NAME?</v>
      </c>
    </row>
    <row r="426" spans="2:9" s="126" customFormat="1" ht="15" customHeight="1" x14ac:dyDescent="0.25">
      <c r="B426" s="271" t="s">
        <v>354</v>
      </c>
      <c r="C426" s="272" t="s">
        <v>353</v>
      </c>
      <c r="D426" s="275" t="s">
        <v>216</v>
      </c>
      <c r="E426" s="275">
        <v>41252.570150462961</v>
      </c>
      <c r="F426" s="276">
        <v>3</v>
      </c>
      <c r="G426" s="243">
        <f t="shared" si="7"/>
        <v>63</v>
      </c>
      <c r="H426" s="244"/>
      <c r="I426" s="71" t="e">
        <f>IF(COUNTIF((rName rData),H426),"","Name Error!")</f>
        <v>#NAME?</v>
      </c>
    </row>
    <row r="427" spans="2:9" s="126" customFormat="1" ht="15" customHeight="1" x14ac:dyDescent="0.25">
      <c r="B427" s="271" t="s">
        <v>333</v>
      </c>
      <c r="C427" s="272" t="s">
        <v>332</v>
      </c>
      <c r="D427" s="275" t="s">
        <v>216</v>
      </c>
      <c r="E427" s="275">
        <v>41252.579351851855</v>
      </c>
      <c r="F427" s="276">
        <v>3</v>
      </c>
      <c r="G427" s="243">
        <f t="shared" si="7"/>
        <v>63</v>
      </c>
      <c r="H427" s="244"/>
      <c r="I427" s="71" t="e">
        <f>IF(COUNTIF((rName rData),H427),"","Name Error!")</f>
        <v>#NAME?</v>
      </c>
    </row>
    <row r="428" spans="2:9" s="126" customFormat="1" ht="15" customHeight="1" x14ac:dyDescent="0.25">
      <c r="B428" s="271" t="s">
        <v>356</v>
      </c>
      <c r="C428" s="272" t="s">
        <v>355</v>
      </c>
      <c r="D428" s="275" t="s">
        <v>216</v>
      </c>
      <c r="E428" s="275">
        <v>41252.617175925923</v>
      </c>
      <c r="F428" s="276">
        <v>5</v>
      </c>
      <c r="G428" s="243">
        <f t="shared" si="7"/>
        <v>63</v>
      </c>
      <c r="H428" s="244"/>
      <c r="I428" s="71" t="e">
        <f>IF(COUNTIF((rName rData),H428),"","Name Error!")</f>
        <v>#NAME?</v>
      </c>
    </row>
    <row r="429" spans="2:9" s="126" customFormat="1" ht="15" customHeight="1" x14ac:dyDescent="0.25">
      <c r="B429" s="271" t="s">
        <v>337</v>
      </c>
      <c r="C429" s="272" t="s">
        <v>336</v>
      </c>
      <c r="D429" s="275" t="s">
        <v>216</v>
      </c>
      <c r="E429" s="275">
        <v>41252.629444444443</v>
      </c>
      <c r="F429" s="276">
        <v>2</v>
      </c>
      <c r="G429" s="243">
        <f t="shared" si="7"/>
        <v>63</v>
      </c>
      <c r="H429" s="244"/>
      <c r="I429" s="71" t="e">
        <f>IF(COUNTIF((rName rData),H429),"","Name Error!")</f>
        <v>#NAME?</v>
      </c>
    </row>
    <row r="430" spans="2:9" s="126" customFormat="1" ht="15" customHeight="1" x14ac:dyDescent="0.25">
      <c r="B430" s="271" t="s">
        <v>339</v>
      </c>
      <c r="C430" s="272" t="s">
        <v>338</v>
      </c>
      <c r="D430" s="275" t="s">
        <v>216</v>
      </c>
      <c r="E430" s="275">
        <v>41252.641817129632</v>
      </c>
      <c r="F430" s="276">
        <v>2</v>
      </c>
      <c r="G430" s="243">
        <f t="shared" si="7"/>
        <v>63</v>
      </c>
      <c r="H430" s="244"/>
      <c r="I430" s="71" t="e">
        <f>IF(COUNTIF((rName rData),H430),"","Name Error!")</f>
        <v>#NAME?</v>
      </c>
    </row>
    <row r="431" spans="2:9" s="126" customFormat="1" ht="15" customHeight="1" x14ac:dyDescent="0.25">
      <c r="B431" s="271" t="s">
        <v>371</v>
      </c>
      <c r="C431" s="272" t="s">
        <v>370</v>
      </c>
      <c r="D431" s="275" t="s">
        <v>216</v>
      </c>
      <c r="E431" s="275">
        <v>41252.646724537037</v>
      </c>
      <c r="F431" s="276">
        <v>3</v>
      </c>
      <c r="G431" s="243">
        <f t="shared" si="7"/>
        <v>63</v>
      </c>
      <c r="H431" s="244"/>
      <c r="I431" s="71" t="e">
        <f>IF(COUNTIF((rName rData),H431),"","Name Error!")</f>
        <v>#NAME?</v>
      </c>
    </row>
    <row r="432" spans="2:9" s="126" customFormat="1" ht="15" customHeight="1" x14ac:dyDescent="0.25">
      <c r="B432" s="271" t="s">
        <v>335</v>
      </c>
      <c r="C432" s="272" t="s">
        <v>334</v>
      </c>
      <c r="D432" s="275" t="s">
        <v>216</v>
      </c>
      <c r="E432" s="275">
        <v>41252.660879629628</v>
      </c>
      <c r="F432" s="276">
        <v>2</v>
      </c>
      <c r="G432" s="243">
        <f t="shared" si="7"/>
        <v>63</v>
      </c>
      <c r="H432" s="244"/>
      <c r="I432" s="71" t="e">
        <f>IF(COUNTIF((rName rData),H432),"","Name Error!")</f>
        <v>#NAME?</v>
      </c>
    </row>
    <row r="433" spans="2:9" s="126" customFormat="1" ht="15" customHeight="1" x14ac:dyDescent="0.25">
      <c r="B433" s="271" t="s">
        <v>345</v>
      </c>
      <c r="C433" s="272" t="s">
        <v>344</v>
      </c>
      <c r="D433" s="275" t="s">
        <v>216</v>
      </c>
      <c r="E433" s="275">
        <v>41252.696921296294</v>
      </c>
      <c r="F433" s="276">
        <v>2</v>
      </c>
      <c r="G433" s="243">
        <f t="shared" si="7"/>
        <v>63</v>
      </c>
      <c r="H433" s="244"/>
      <c r="I433" s="71" t="e">
        <f>IF(COUNTIF((rName rData),H433),"","Name Error!")</f>
        <v>#NAME?</v>
      </c>
    </row>
    <row r="434" spans="2:9" s="126" customFormat="1" ht="15" customHeight="1" x14ac:dyDescent="0.25">
      <c r="B434" s="271" t="s">
        <v>358</v>
      </c>
      <c r="C434" s="272" t="s">
        <v>357</v>
      </c>
      <c r="D434" s="275" t="s">
        <v>216</v>
      </c>
      <c r="E434" s="275">
        <v>41252.802453703705</v>
      </c>
      <c r="F434" s="276">
        <v>2</v>
      </c>
      <c r="G434" s="243">
        <f t="shared" si="7"/>
        <v>63</v>
      </c>
      <c r="H434" s="244"/>
      <c r="I434" s="71" t="e">
        <f>IF(COUNTIF((rName rData),H434),"","Name Error!")</f>
        <v>#NAME?</v>
      </c>
    </row>
    <row r="435" spans="2:9" s="126" customFormat="1" ht="15" customHeight="1" x14ac:dyDescent="0.25">
      <c r="B435" s="271" t="s">
        <v>328</v>
      </c>
      <c r="C435" s="272" t="s">
        <v>327</v>
      </c>
      <c r="D435" s="275" t="s">
        <v>216</v>
      </c>
      <c r="E435" s="275">
        <v>41252.808148148149</v>
      </c>
      <c r="F435" s="276">
        <v>2</v>
      </c>
      <c r="G435" s="243">
        <f t="shared" si="7"/>
        <v>63</v>
      </c>
      <c r="H435" s="244"/>
      <c r="I435" s="71" t="e">
        <f>IF(COUNTIF((rName rData),H435),"","Name Error!")</f>
        <v>#NAME?</v>
      </c>
    </row>
    <row r="436" spans="2:9" s="126" customFormat="1" ht="15" customHeight="1" x14ac:dyDescent="0.25">
      <c r="B436" s="271" t="s">
        <v>320</v>
      </c>
      <c r="C436" s="272" t="s">
        <v>319</v>
      </c>
      <c r="D436" s="275" t="s">
        <v>216</v>
      </c>
      <c r="E436" s="275">
        <v>41252.841990740744</v>
      </c>
      <c r="F436" s="276">
        <v>1</v>
      </c>
      <c r="G436" s="243">
        <f t="shared" si="7"/>
        <v>63</v>
      </c>
      <c r="H436" s="244"/>
      <c r="I436" s="71" t="e">
        <f>IF(COUNTIF((rName rData),H436),"","Name Error!")</f>
        <v>#NAME?</v>
      </c>
    </row>
    <row r="437" spans="2:9" s="126" customFormat="1" ht="15" customHeight="1" x14ac:dyDescent="0.25">
      <c r="B437" s="271" t="s">
        <v>322</v>
      </c>
      <c r="C437" s="272" t="s">
        <v>321</v>
      </c>
      <c r="D437" s="275" t="s">
        <v>216</v>
      </c>
      <c r="E437" s="275">
        <v>41252.855219907404</v>
      </c>
      <c r="F437" s="276">
        <v>3</v>
      </c>
      <c r="G437" s="243">
        <f t="shared" si="7"/>
        <v>63</v>
      </c>
      <c r="H437" s="244"/>
      <c r="I437" s="71" t="e">
        <f>IF(COUNTIF((rName rData),H437),"","Name Error!")</f>
        <v>#NAME?</v>
      </c>
    </row>
    <row r="438" spans="2:9" s="126" customFormat="1" ht="15" customHeight="1" x14ac:dyDescent="0.25">
      <c r="B438" s="271" t="s">
        <v>331</v>
      </c>
      <c r="C438" s="272" t="s">
        <v>330</v>
      </c>
      <c r="D438" s="275" t="s">
        <v>216</v>
      </c>
      <c r="E438" s="275">
        <v>41252.903749999998</v>
      </c>
      <c r="F438" s="276">
        <v>1</v>
      </c>
      <c r="G438" s="243">
        <f t="shared" si="7"/>
        <v>63</v>
      </c>
      <c r="H438" s="244"/>
      <c r="I438" s="71" t="e">
        <f>IF(COUNTIF((rName rData),H438),"","Name Error!")</f>
        <v>#NAME?</v>
      </c>
    </row>
    <row r="439" spans="2:9" s="126" customFormat="1" ht="15" customHeight="1" x14ac:dyDescent="0.25">
      <c r="B439" s="271" t="s">
        <v>360</v>
      </c>
      <c r="C439" s="272" t="s">
        <v>359</v>
      </c>
      <c r="D439" s="275" t="s">
        <v>216</v>
      </c>
      <c r="E439" s="275">
        <v>41252.939780092594</v>
      </c>
      <c r="F439" s="276">
        <v>2</v>
      </c>
      <c r="G439" s="243">
        <f t="shared" si="7"/>
        <v>63</v>
      </c>
      <c r="H439" s="244"/>
      <c r="I439" s="71" t="e">
        <f>IF(COUNTIF((rName rData),H439),"","Name Error!")</f>
        <v>#NAME?</v>
      </c>
    </row>
    <row r="440" spans="2:9" s="126" customFormat="1" ht="15" customHeight="1" x14ac:dyDescent="0.25">
      <c r="B440" s="271" t="s">
        <v>324</v>
      </c>
      <c r="C440" s="272" t="s">
        <v>323</v>
      </c>
      <c r="D440" s="275" t="s">
        <v>216</v>
      </c>
      <c r="E440" s="275">
        <v>41253.007719907408</v>
      </c>
      <c r="F440" s="276">
        <v>9</v>
      </c>
      <c r="G440" s="243">
        <f t="shared" si="7"/>
        <v>63</v>
      </c>
      <c r="H440" s="244"/>
      <c r="I440" s="71" t="e">
        <f>IF(COUNTIF((rName rData),H440),"","Name Error!")</f>
        <v>#NAME?</v>
      </c>
    </row>
    <row r="441" spans="2:9" s="126" customFormat="1" ht="15" customHeight="1" x14ac:dyDescent="0.25">
      <c r="B441" s="271" t="s">
        <v>371</v>
      </c>
      <c r="C441" s="272" t="s">
        <v>370</v>
      </c>
      <c r="D441" s="275" t="s">
        <v>216</v>
      </c>
      <c r="E441" s="275">
        <v>41253.098182870373</v>
      </c>
      <c r="F441" s="276">
        <v>6</v>
      </c>
      <c r="G441" s="243">
        <f t="shared" si="7"/>
        <v>63</v>
      </c>
      <c r="H441" s="244"/>
      <c r="I441" s="71" t="e">
        <f>IF(COUNTIF((rName rData),H441),"","Name Error!")</f>
        <v>#NAME?</v>
      </c>
    </row>
    <row r="442" spans="2:9" s="126" customFormat="1" ht="15" customHeight="1" x14ac:dyDescent="0.25">
      <c r="B442" s="271" t="s">
        <v>354</v>
      </c>
      <c r="C442" s="272" t="s">
        <v>353</v>
      </c>
      <c r="D442" s="275" t="s">
        <v>216</v>
      </c>
      <c r="E442" s="275">
        <v>41253.298368055555</v>
      </c>
      <c r="F442" s="276">
        <v>7</v>
      </c>
      <c r="G442" s="243">
        <f t="shared" si="7"/>
        <v>63</v>
      </c>
      <c r="H442" s="244"/>
      <c r="I442" s="71" t="e">
        <f>IF(COUNTIF((rName rData),H442),"","Name Error!")</f>
        <v>#NAME?</v>
      </c>
    </row>
    <row r="443" spans="2:9" s="126" customFormat="1" ht="15" customHeight="1" x14ac:dyDescent="0.25">
      <c r="B443" s="271" t="s">
        <v>360</v>
      </c>
      <c r="C443" s="272" t="s">
        <v>359</v>
      </c>
      <c r="D443" s="275" t="s">
        <v>216</v>
      </c>
      <c r="E443" s="275">
        <v>41253.302141203705</v>
      </c>
      <c r="F443" s="276">
        <v>9</v>
      </c>
      <c r="G443" s="243">
        <f t="shared" si="7"/>
        <v>63</v>
      </c>
      <c r="H443" s="244"/>
      <c r="I443" s="71" t="e">
        <f>IF(COUNTIF((rName rData),H443),"","Name Error!")</f>
        <v>#NAME?</v>
      </c>
    </row>
    <row r="444" spans="2:9" s="126" customFormat="1" ht="15" customHeight="1" x14ac:dyDescent="0.25">
      <c r="B444" s="271" t="s">
        <v>362</v>
      </c>
      <c r="C444" s="272" t="s">
        <v>361</v>
      </c>
      <c r="D444" s="275" t="s">
        <v>216</v>
      </c>
      <c r="E444" s="275">
        <v>41253.407430555555</v>
      </c>
      <c r="F444" s="276">
        <v>5</v>
      </c>
      <c r="G444" s="243">
        <f t="shared" si="7"/>
        <v>63</v>
      </c>
      <c r="H444" s="244"/>
      <c r="I444" s="71" t="e">
        <f>IF(COUNTIF((rName rData),H444),"","Name Error!")</f>
        <v>#NAME?</v>
      </c>
    </row>
    <row r="445" spans="2:9" s="126" customFormat="1" ht="15" customHeight="1" x14ac:dyDescent="0.25">
      <c r="B445" s="271" t="s">
        <v>326</v>
      </c>
      <c r="C445" s="272" t="s">
        <v>325</v>
      </c>
      <c r="D445" s="275" t="s">
        <v>216</v>
      </c>
      <c r="E445" s="275">
        <v>41253.408692129633</v>
      </c>
      <c r="F445" s="276">
        <v>4</v>
      </c>
      <c r="G445" s="243">
        <f t="shared" si="7"/>
        <v>63</v>
      </c>
      <c r="H445" s="244"/>
      <c r="I445" s="71" t="e">
        <f>IF(COUNTIF((rName rData),H445),"","Name Error!")</f>
        <v>#NAME?</v>
      </c>
    </row>
    <row r="446" spans="2:9" s="126" customFormat="1" ht="15" customHeight="1" x14ac:dyDescent="0.25">
      <c r="B446" s="271" t="s">
        <v>320</v>
      </c>
      <c r="C446" s="272" t="s">
        <v>319</v>
      </c>
      <c r="D446" s="275" t="s">
        <v>216</v>
      </c>
      <c r="E446" s="275">
        <v>41253.40960648148</v>
      </c>
      <c r="F446" s="276">
        <v>9</v>
      </c>
      <c r="G446" s="243">
        <f t="shared" si="7"/>
        <v>63</v>
      </c>
      <c r="H446" s="244"/>
      <c r="I446" s="71" t="e">
        <f>IF(COUNTIF((rName rData),H446),"","Name Error!")</f>
        <v>#NAME?</v>
      </c>
    </row>
    <row r="447" spans="2:9" s="126" customFormat="1" ht="15" customHeight="1" x14ac:dyDescent="0.25">
      <c r="B447" s="271" t="s">
        <v>337</v>
      </c>
      <c r="C447" s="272" t="s">
        <v>336</v>
      </c>
      <c r="D447" s="275" t="s">
        <v>216</v>
      </c>
      <c r="E447" s="275">
        <v>41253.409768518519</v>
      </c>
      <c r="F447" s="276">
        <v>12</v>
      </c>
      <c r="G447" s="243">
        <f t="shared" si="7"/>
        <v>63</v>
      </c>
      <c r="H447" s="244"/>
      <c r="I447" s="71" t="e">
        <f>IF(COUNTIF((rName rData),H447),"","Name Error!")</f>
        <v>#NAME?</v>
      </c>
    </row>
    <row r="448" spans="2:9" s="126" customFormat="1" ht="15" customHeight="1" x14ac:dyDescent="0.25">
      <c r="B448" s="271" t="s">
        <v>279</v>
      </c>
      <c r="C448" s="272" t="s">
        <v>280</v>
      </c>
      <c r="D448" s="275" t="s">
        <v>216</v>
      </c>
      <c r="E448" s="275">
        <v>41253.412152777775</v>
      </c>
      <c r="F448" s="276">
        <v>6</v>
      </c>
      <c r="G448" s="243">
        <f t="shared" si="7"/>
        <v>63</v>
      </c>
      <c r="H448" s="244"/>
      <c r="I448" s="71" t="e">
        <f>IF(COUNTIF((rName rData),H448),"","Name Error!")</f>
        <v>#NAME?</v>
      </c>
    </row>
    <row r="449" spans="2:9" s="126" customFormat="1" ht="15" customHeight="1" x14ac:dyDescent="0.25">
      <c r="B449" s="271" t="s">
        <v>352</v>
      </c>
      <c r="C449" s="272" t="s">
        <v>351</v>
      </c>
      <c r="D449" s="275" t="s">
        <v>216</v>
      </c>
      <c r="E449" s="275">
        <v>41253.413530092592</v>
      </c>
      <c r="F449" s="276">
        <v>8</v>
      </c>
      <c r="G449" s="243">
        <f t="shared" si="7"/>
        <v>63</v>
      </c>
      <c r="H449" s="244"/>
      <c r="I449" s="71" t="e">
        <f>IF(COUNTIF((rName rData),H449),"","Name Error!")</f>
        <v>#NAME?</v>
      </c>
    </row>
    <row r="450" spans="2:9" s="126" customFormat="1" ht="15" customHeight="1" x14ac:dyDescent="0.25">
      <c r="B450" s="271" t="s">
        <v>322</v>
      </c>
      <c r="C450" s="272" t="s">
        <v>321</v>
      </c>
      <c r="D450" s="275" t="s">
        <v>216</v>
      </c>
      <c r="E450" s="275">
        <v>41253.4140162037</v>
      </c>
      <c r="F450" s="276">
        <v>4</v>
      </c>
      <c r="G450" s="243">
        <f t="shared" si="7"/>
        <v>63</v>
      </c>
      <c r="H450" s="244"/>
      <c r="I450" s="71" t="e">
        <f>IF(COUNTIF((rName rData),H450),"","Name Error!")</f>
        <v>#NAME?</v>
      </c>
    </row>
    <row r="451" spans="2:9" s="126" customFormat="1" ht="15" customHeight="1" x14ac:dyDescent="0.25">
      <c r="B451" s="271" t="s">
        <v>356</v>
      </c>
      <c r="C451" s="272" t="s">
        <v>355</v>
      </c>
      <c r="D451" s="275" t="s">
        <v>216</v>
      </c>
      <c r="E451" s="275">
        <v>41253.41443287037</v>
      </c>
      <c r="F451" s="276">
        <v>7</v>
      </c>
      <c r="G451" s="243">
        <f t="shared" si="7"/>
        <v>63</v>
      </c>
      <c r="H451" s="244"/>
      <c r="I451" s="71" t="e">
        <f>IF(COUNTIF((rName rData),H451),"","Name Error!")</f>
        <v>#NAME?</v>
      </c>
    </row>
    <row r="452" spans="2:9" s="126" customFormat="1" ht="15" customHeight="1" x14ac:dyDescent="0.25">
      <c r="B452" s="271" t="s">
        <v>335</v>
      </c>
      <c r="C452" s="272" t="s">
        <v>334</v>
      </c>
      <c r="D452" s="275" t="s">
        <v>216</v>
      </c>
      <c r="E452" s="275">
        <v>41253.416504629633</v>
      </c>
      <c r="F452" s="276">
        <v>3</v>
      </c>
      <c r="G452" s="243">
        <f t="shared" si="7"/>
        <v>63</v>
      </c>
      <c r="H452" s="244"/>
      <c r="I452" s="71" t="e">
        <f>IF(COUNTIF((rName rData),H452),"","Name Error!")</f>
        <v>#NAME?</v>
      </c>
    </row>
    <row r="453" spans="2:9" s="126" customFormat="1" ht="15" customHeight="1" x14ac:dyDescent="0.25">
      <c r="B453" s="271" t="s">
        <v>339</v>
      </c>
      <c r="C453" s="272" t="s">
        <v>338</v>
      </c>
      <c r="D453" s="275" t="s">
        <v>216</v>
      </c>
      <c r="E453" s="275">
        <v>41253.418483796297</v>
      </c>
      <c r="F453" s="276">
        <v>4</v>
      </c>
      <c r="G453" s="243">
        <f t="shared" si="7"/>
        <v>63</v>
      </c>
      <c r="H453" s="244"/>
      <c r="I453" s="71" t="e">
        <f>IF(COUNTIF((rName rData),H453),"","Name Error!")</f>
        <v>#NAME?</v>
      </c>
    </row>
    <row r="454" spans="2:9" s="126" customFormat="1" ht="15" customHeight="1" x14ac:dyDescent="0.25">
      <c r="B454" s="271" t="s">
        <v>345</v>
      </c>
      <c r="C454" s="272" t="s">
        <v>344</v>
      </c>
      <c r="D454" s="275" t="s">
        <v>216</v>
      </c>
      <c r="E454" s="275">
        <v>41253.419039351851</v>
      </c>
      <c r="F454" s="276">
        <v>5</v>
      </c>
      <c r="G454" s="243">
        <f t="shared" si="7"/>
        <v>63</v>
      </c>
      <c r="H454" s="244"/>
      <c r="I454" s="71" t="e">
        <f>IF(COUNTIF((rName rData),H454),"","Name Error!")</f>
        <v>#NAME?</v>
      </c>
    </row>
    <row r="455" spans="2:9" s="126" customFormat="1" ht="15" customHeight="1" x14ac:dyDescent="0.25">
      <c r="B455" s="271" t="s">
        <v>358</v>
      </c>
      <c r="C455" s="272" t="s">
        <v>357</v>
      </c>
      <c r="D455" s="275" t="s">
        <v>216</v>
      </c>
      <c r="E455" s="275">
        <v>41253.475555555553</v>
      </c>
      <c r="F455" s="276">
        <v>5</v>
      </c>
      <c r="G455" s="243">
        <f t="shared" si="7"/>
        <v>63</v>
      </c>
      <c r="H455" s="244"/>
      <c r="I455" s="71" t="e">
        <f>IF(COUNTIF((rName rData),H455),"","Name Error!")</f>
        <v>#NAME?</v>
      </c>
    </row>
    <row r="456" spans="2:9" s="126" customFormat="1" ht="15" customHeight="1" x14ac:dyDescent="0.25">
      <c r="B456" s="271" t="s">
        <v>267</v>
      </c>
      <c r="C456" s="272" t="s">
        <v>268</v>
      </c>
      <c r="D456" s="275" t="s">
        <v>216</v>
      </c>
      <c r="E456" s="275">
        <v>41253.476643518516</v>
      </c>
      <c r="F456" s="276">
        <v>5</v>
      </c>
      <c r="G456" s="243">
        <f t="shared" si="7"/>
        <v>63</v>
      </c>
      <c r="H456" s="244"/>
      <c r="I456" s="71" t="e">
        <f>IF(COUNTIF((rName rData),H456),"","Name Error!")</f>
        <v>#NAME?</v>
      </c>
    </row>
    <row r="457" spans="2:9" s="126" customFormat="1" ht="15" customHeight="1" x14ac:dyDescent="0.25">
      <c r="B457" s="271" t="s">
        <v>369</v>
      </c>
      <c r="C457" s="272" t="s">
        <v>368</v>
      </c>
      <c r="D457" s="275" t="s">
        <v>216</v>
      </c>
      <c r="E457" s="275">
        <v>41253.477442129632</v>
      </c>
      <c r="F457" s="276">
        <v>3</v>
      </c>
      <c r="G457" s="243">
        <f t="shared" si="7"/>
        <v>63</v>
      </c>
      <c r="H457" s="244"/>
      <c r="I457" s="71" t="e">
        <f>IF(COUNTIF((rName rData),H457),"","Name Error!")</f>
        <v>#NAME?</v>
      </c>
    </row>
    <row r="458" spans="2:9" s="126" customFormat="1" ht="15" customHeight="1" x14ac:dyDescent="0.25">
      <c r="B458" s="271" t="s">
        <v>331</v>
      </c>
      <c r="C458" s="272" t="s">
        <v>330</v>
      </c>
      <c r="D458" s="275" t="s">
        <v>216</v>
      </c>
      <c r="E458" s="275">
        <v>41253.477800925924</v>
      </c>
      <c r="F458" s="276">
        <v>6</v>
      </c>
      <c r="G458" s="243">
        <f t="shared" ref="G458:G521" si="8">TRUNC((E458-start)/7)+1</f>
        <v>63</v>
      </c>
      <c r="H458" s="244"/>
      <c r="I458" s="71" t="e">
        <f>IF(COUNTIF((rName rData),H458),"","Name Error!")</f>
        <v>#NAME?</v>
      </c>
    </row>
    <row r="459" spans="2:9" s="126" customFormat="1" ht="15" customHeight="1" x14ac:dyDescent="0.25">
      <c r="B459" s="271" t="s">
        <v>341</v>
      </c>
      <c r="C459" s="272" t="s">
        <v>340</v>
      </c>
      <c r="D459" s="275" t="s">
        <v>216</v>
      </c>
      <c r="E459" s="275">
        <v>41253.477893518517</v>
      </c>
      <c r="F459" s="276">
        <v>7</v>
      </c>
      <c r="G459" s="243">
        <f t="shared" si="8"/>
        <v>63</v>
      </c>
      <c r="H459" s="244"/>
      <c r="I459" s="71" t="e">
        <f>IF(COUNTIF((rName rData),H459),"","Name Error!")</f>
        <v>#NAME?</v>
      </c>
    </row>
    <row r="460" spans="2:9" s="126" customFormat="1" ht="15" customHeight="1" x14ac:dyDescent="0.25">
      <c r="B460" s="271" t="s">
        <v>350</v>
      </c>
      <c r="C460" s="272" t="s">
        <v>349</v>
      </c>
      <c r="D460" s="275" t="s">
        <v>216</v>
      </c>
      <c r="E460" s="275">
        <v>41253.523553240739</v>
      </c>
      <c r="F460" s="276">
        <v>4</v>
      </c>
      <c r="G460" s="243">
        <f t="shared" si="8"/>
        <v>63</v>
      </c>
      <c r="H460" s="244"/>
      <c r="I460" s="71" t="e">
        <f>IF(COUNTIF((rName rData),H460),"","Name Error!")</f>
        <v>#NAME?</v>
      </c>
    </row>
    <row r="461" spans="2:9" s="126" customFormat="1" ht="15" customHeight="1" x14ac:dyDescent="0.25">
      <c r="B461" s="271" t="s">
        <v>367</v>
      </c>
      <c r="C461" s="272" t="s">
        <v>366</v>
      </c>
      <c r="D461" s="275" t="s">
        <v>216</v>
      </c>
      <c r="E461" s="275">
        <v>41253.555706018517</v>
      </c>
      <c r="F461" s="276">
        <v>1</v>
      </c>
      <c r="G461" s="243">
        <f t="shared" si="8"/>
        <v>63</v>
      </c>
      <c r="H461" s="244"/>
      <c r="I461" s="71" t="e">
        <f>IF(COUNTIF((rName rData),H461),"","Name Error!")</f>
        <v>#NAME?</v>
      </c>
    </row>
    <row r="462" spans="2:9" s="126" customFormat="1" ht="15" customHeight="1" x14ac:dyDescent="0.25">
      <c r="B462" s="271" t="s">
        <v>328</v>
      </c>
      <c r="C462" s="272" t="s">
        <v>327</v>
      </c>
      <c r="D462" s="275" t="s">
        <v>216</v>
      </c>
      <c r="E462" s="275">
        <v>41253.567025462966</v>
      </c>
      <c r="F462" s="276">
        <v>3</v>
      </c>
      <c r="G462" s="243">
        <f t="shared" si="8"/>
        <v>63</v>
      </c>
      <c r="H462" s="244"/>
      <c r="I462" s="71" t="e">
        <f>IF(COUNTIF((rName rData),H462),"","Name Error!")</f>
        <v>#NAME?</v>
      </c>
    </row>
    <row r="463" spans="2:9" s="126" customFormat="1" ht="15" customHeight="1" x14ac:dyDescent="0.25">
      <c r="B463" s="271" t="s">
        <v>343</v>
      </c>
      <c r="C463" s="272" t="s">
        <v>342</v>
      </c>
      <c r="D463" s="275" t="s">
        <v>216</v>
      </c>
      <c r="E463" s="275">
        <v>41253.568425925929</v>
      </c>
      <c r="F463" s="276">
        <v>3</v>
      </c>
      <c r="G463" s="243">
        <f t="shared" si="8"/>
        <v>63</v>
      </c>
      <c r="H463" s="244"/>
      <c r="I463" s="71" t="e">
        <f>IF(COUNTIF((rName rData),H463),"","Name Error!")</f>
        <v>#NAME?</v>
      </c>
    </row>
    <row r="464" spans="2:9" s="126" customFormat="1" ht="15" customHeight="1" x14ac:dyDescent="0.25">
      <c r="B464" s="271" t="s">
        <v>333</v>
      </c>
      <c r="C464" s="272" t="s">
        <v>332</v>
      </c>
      <c r="D464" s="275" t="s">
        <v>216</v>
      </c>
      <c r="E464" s="275">
        <v>41253.665405092594</v>
      </c>
      <c r="F464" s="276">
        <v>2</v>
      </c>
      <c r="G464" s="243">
        <f t="shared" si="8"/>
        <v>63</v>
      </c>
      <c r="H464" s="244"/>
      <c r="I464" s="71" t="e">
        <f>IF(COUNTIF((rName rData),H464),"","Name Error!")</f>
        <v>#NAME?</v>
      </c>
    </row>
    <row r="465" spans="2:9" s="126" customFormat="1" ht="15" customHeight="1" x14ac:dyDescent="0.25">
      <c r="B465" s="271" t="s">
        <v>365</v>
      </c>
      <c r="C465" s="272" t="s">
        <v>364</v>
      </c>
      <c r="D465" s="275" t="s">
        <v>216</v>
      </c>
      <c r="E465" s="275">
        <v>41253.865601851852</v>
      </c>
      <c r="F465" s="276">
        <v>1</v>
      </c>
      <c r="G465" s="243">
        <f t="shared" si="8"/>
        <v>63</v>
      </c>
      <c r="H465" s="244"/>
      <c r="I465" s="71" t="e">
        <f>IF(COUNTIF((rName rData),H465),"","Name Error!")</f>
        <v>#NAME?</v>
      </c>
    </row>
    <row r="466" spans="2:9" s="126" customFormat="1" ht="15" customHeight="1" x14ac:dyDescent="0.25">
      <c r="B466" s="271" t="s">
        <v>324</v>
      </c>
      <c r="C466" s="272" t="s">
        <v>323</v>
      </c>
      <c r="D466" s="275" t="s">
        <v>216</v>
      </c>
      <c r="E466" s="275">
        <v>41254.000925925924</v>
      </c>
      <c r="F466" s="276">
        <v>5</v>
      </c>
      <c r="G466" s="243">
        <f t="shared" si="8"/>
        <v>63</v>
      </c>
      <c r="H466" s="244"/>
      <c r="I466" s="71" t="e">
        <f>IF(COUNTIF((rName rData),H466),"","Name Error!")</f>
        <v>#NAME?</v>
      </c>
    </row>
    <row r="467" spans="2:9" s="126" customFormat="1" ht="15" customHeight="1" x14ac:dyDescent="0.25">
      <c r="B467" s="271" t="s">
        <v>322</v>
      </c>
      <c r="C467" s="272" t="s">
        <v>321</v>
      </c>
      <c r="D467" s="275" t="s">
        <v>216</v>
      </c>
      <c r="E467" s="275">
        <v>41254.003194444442</v>
      </c>
      <c r="F467" s="276">
        <v>3</v>
      </c>
      <c r="G467" s="243">
        <f t="shared" si="8"/>
        <v>63</v>
      </c>
      <c r="H467" s="244"/>
      <c r="I467" s="71" t="e">
        <f>IF(COUNTIF((rName rData),H467),"","Name Error!")</f>
        <v>#NAME?</v>
      </c>
    </row>
    <row r="468" spans="2:9" s="126" customFormat="1" ht="15" customHeight="1" x14ac:dyDescent="0.25">
      <c r="B468" s="271" t="s">
        <v>345</v>
      </c>
      <c r="C468" s="272" t="s">
        <v>344</v>
      </c>
      <c r="D468" s="275" t="s">
        <v>216</v>
      </c>
      <c r="E468" s="275">
        <v>41254.021458333336</v>
      </c>
      <c r="F468" s="276">
        <v>4</v>
      </c>
      <c r="G468" s="243">
        <f t="shared" si="8"/>
        <v>63</v>
      </c>
      <c r="H468" s="244"/>
      <c r="I468" s="71" t="e">
        <f>IF(COUNTIF((rName rData),H468),"","Name Error!")</f>
        <v>#NAME?</v>
      </c>
    </row>
    <row r="469" spans="2:9" s="126" customFormat="1" ht="15" customHeight="1" x14ac:dyDescent="0.25">
      <c r="B469" s="271" t="s">
        <v>333</v>
      </c>
      <c r="C469" s="272" t="s">
        <v>332</v>
      </c>
      <c r="D469" s="275" t="s">
        <v>216</v>
      </c>
      <c r="E469" s="275">
        <v>41254.033483796295</v>
      </c>
      <c r="F469" s="276">
        <v>5</v>
      </c>
      <c r="G469" s="243">
        <f t="shared" si="8"/>
        <v>63</v>
      </c>
      <c r="H469" s="244"/>
      <c r="I469" s="71" t="e">
        <f>IF(COUNTIF((rName rData),H469),"","Name Error!")</f>
        <v>#NAME?</v>
      </c>
    </row>
    <row r="470" spans="2:9" s="126" customFormat="1" ht="15" customHeight="1" x14ac:dyDescent="0.25">
      <c r="B470" s="271" t="s">
        <v>362</v>
      </c>
      <c r="C470" s="272" t="s">
        <v>361</v>
      </c>
      <c r="D470" s="275" t="s">
        <v>216</v>
      </c>
      <c r="E470" s="275">
        <v>41254.037974537037</v>
      </c>
      <c r="F470" s="276">
        <v>5</v>
      </c>
      <c r="G470" s="243">
        <f t="shared" si="8"/>
        <v>63</v>
      </c>
      <c r="H470" s="244"/>
      <c r="I470" s="71" t="e">
        <f>IF(COUNTIF((rName rData),H470),"","Name Error!")</f>
        <v>#NAME?</v>
      </c>
    </row>
    <row r="471" spans="2:9" s="126" customFormat="1" ht="15" customHeight="1" x14ac:dyDescent="0.25">
      <c r="B471" s="271" t="s">
        <v>337</v>
      </c>
      <c r="C471" s="272" t="s">
        <v>336</v>
      </c>
      <c r="D471" s="275" t="s">
        <v>216</v>
      </c>
      <c r="E471" s="275">
        <v>41254.04074074074</v>
      </c>
      <c r="F471" s="276">
        <v>3</v>
      </c>
      <c r="G471" s="243">
        <f t="shared" si="8"/>
        <v>63</v>
      </c>
      <c r="H471" s="244"/>
      <c r="I471" s="71" t="e">
        <f>IF(COUNTIF((rName rData),H471),"","Name Error!")</f>
        <v>#NAME?</v>
      </c>
    </row>
    <row r="472" spans="2:9" s="126" customFormat="1" ht="15" customHeight="1" x14ac:dyDescent="0.25">
      <c r="B472" s="271" t="s">
        <v>354</v>
      </c>
      <c r="C472" s="272" t="s">
        <v>353</v>
      </c>
      <c r="D472" s="275" t="s">
        <v>216</v>
      </c>
      <c r="E472" s="275">
        <v>41254.295520833337</v>
      </c>
      <c r="F472" s="276">
        <v>3</v>
      </c>
      <c r="G472" s="243">
        <f t="shared" si="8"/>
        <v>63</v>
      </c>
      <c r="H472" s="244"/>
      <c r="I472" s="71" t="e">
        <f>IF(COUNTIF((rName rData),H472),"","Name Error!")</f>
        <v>#NAME?</v>
      </c>
    </row>
    <row r="473" spans="2:9" s="126" customFormat="1" ht="15" customHeight="1" x14ac:dyDescent="0.25">
      <c r="B473" s="271" t="s">
        <v>356</v>
      </c>
      <c r="C473" s="272" t="s">
        <v>355</v>
      </c>
      <c r="D473" s="275" t="s">
        <v>216</v>
      </c>
      <c r="E473" s="275">
        <v>41254.298043981478</v>
      </c>
      <c r="F473" s="276">
        <v>5</v>
      </c>
      <c r="G473" s="243">
        <f t="shared" si="8"/>
        <v>63</v>
      </c>
      <c r="H473" s="244"/>
      <c r="I473" s="71" t="e">
        <f>IF(COUNTIF((rName rData),H473),"","Name Error!")</f>
        <v>#NAME?</v>
      </c>
    </row>
    <row r="474" spans="2:9" s="126" customFormat="1" ht="15" customHeight="1" x14ac:dyDescent="0.25">
      <c r="B474" s="271" t="s">
        <v>326</v>
      </c>
      <c r="C474" s="272" t="s">
        <v>325</v>
      </c>
      <c r="D474" s="275" t="s">
        <v>216</v>
      </c>
      <c r="E474" s="275">
        <v>41254.318726851852</v>
      </c>
      <c r="F474" s="276">
        <v>5</v>
      </c>
      <c r="G474" s="243">
        <f t="shared" si="8"/>
        <v>63</v>
      </c>
      <c r="H474" s="244"/>
      <c r="I474" s="71" t="e">
        <f>IF(COUNTIF((rName rData),H474),"","Name Error!")</f>
        <v>#NAME?</v>
      </c>
    </row>
    <row r="475" spans="2:9" s="126" customFormat="1" ht="15" customHeight="1" x14ac:dyDescent="0.25">
      <c r="B475" s="271" t="s">
        <v>360</v>
      </c>
      <c r="C475" s="272" t="s">
        <v>359</v>
      </c>
      <c r="D475" s="275" t="s">
        <v>216</v>
      </c>
      <c r="E475" s="275">
        <v>41254.322314814817</v>
      </c>
      <c r="F475" s="276">
        <v>7</v>
      </c>
      <c r="G475" s="243">
        <f t="shared" si="8"/>
        <v>63</v>
      </c>
      <c r="H475" s="244"/>
      <c r="I475" s="71" t="e">
        <f>IF(COUNTIF((rName rData),H475),"","Name Error!")</f>
        <v>#NAME?</v>
      </c>
    </row>
    <row r="476" spans="2:9" s="126" customFormat="1" ht="15" customHeight="1" x14ac:dyDescent="0.25">
      <c r="B476" s="271" t="s">
        <v>341</v>
      </c>
      <c r="C476" s="272" t="s">
        <v>340</v>
      </c>
      <c r="D476" s="275" t="s">
        <v>216</v>
      </c>
      <c r="E476" s="275">
        <v>41254.332939814813</v>
      </c>
      <c r="F476" s="276">
        <v>4</v>
      </c>
      <c r="G476" s="243">
        <f t="shared" si="8"/>
        <v>63</v>
      </c>
      <c r="H476" s="244"/>
      <c r="I476" s="71" t="e">
        <f>IF(COUNTIF((rName rData),H476),"","Name Error!")</f>
        <v>#NAME?</v>
      </c>
    </row>
    <row r="477" spans="2:9" s="126" customFormat="1" ht="15" customHeight="1" x14ac:dyDescent="0.25">
      <c r="B477" s="271" t="s">
        <v>331</v>
      </c>
      <c r="C477" s="272" t="s">
        <v>330</v>
      </c>
      <c r="D477" s="275" t="s">
        <v>216</v>
      </c>
      <c r="E477" s="275">
        <v>41254.410486111112</v>
      </c>
      <c r="F477" s="276">
        <v>4</v>
      </c>
      <c r="G477" s="243">
        <f t="shared" si="8"/>
        <v>63</v>
      </c>
      <c r="H477" s="244"/>
      <c r="I477" s="71" t="e">
        <f>IF(COUNTIF((rName rData),H477),"","Name Error!")</f>
        <v>#NAME?</v>
      </c>
    </row>
    <row r="478" spans="2:9" s="126" customFormat="1" ht="15" customHeight="1" x14ac:dyDescent="0.25">
      <c r="B478" s="271" t="s">
        <v>350</v>
      </c>
      <c r="C478" s="272" t="s">
        <v>349</v>
      </c>
      <c r="D478" s="275" t="s">
        <v>216</v>
      </c>
      <c r="E478" s="275">
        <v>41254.411562499998</v>
      </c>
      <c r="F478" s="276">
        <v>5</v>
      </c>
      <c r="G478" s="243">
        <f t="shared" si="8"/>
        <v>63</v>
      </c>
      <c r="H478" s="244"/>
      <c r="I478" s="71" t="e">
        <f>IF(COUNTIF((rName rData),H478),"","Name Error!")</f>
        <v>#NAME?</v>
      </c>
    </row>
    <row r="479" spans="2:9" s="126" customFormat="1" ht="15" customHeight="1" x14ac:dyDescent="0.25">
      <c r="B479" s="271" t="s">
        <v>352</v>
      </c>
      <c r="C479" s="272" t="s">
        <v>351</v>
      </c>
      <c r="D479" s="275" t="s">
        <v>216</v>
      </c>
      <c r="E479" s="275">
        <v>41254.411736111113</v>
      </c>
      <c r="F479" s="276">
        <v>4</v>
      </c>
      <c r="G479" s="243">
        <f t="shared" si="8"/>
        <v>63</v>
      </c>
      <c r="H479" s="244"/>
      <c r="I479" s="71" t="e">
        <f>IF(COUNTIF((rName rData),H479),"","Name Error!")</f>
        <v>#NAME?</v>
      </c>
    </row>
    <row r="480" spans="2:9" s="126" customFormat="1" ht="15" customHeight="1" x14ac:dyDescent="0.25">
      <c r="B480" s="271" t="s">
        <v>369</v>
      </c>
      <c r="C480" s="272" t="s">
        <v>368</v>
      </c>
      <c r="D480" s="275" t="s">
        <v>216</v>
      </c>
      <c r="E480" s="275">
        <v>41254.4141087963</v>
      </c>
      <c r="F480" s="276">
        <v>3</v>
      </c>
      <c r="G480" s="243">
        <f t="shared" si="8"/>
        <v>63</v>
      </c>
      <c r="H480" s="244"/>
      <c r="I480" s="71" t="e">
        <f>IF(COUNTIF((rName rData),H480),"","Name Error!")</f>
        <v>#NAME?</v>
      </c>
    </row>
    <row r="481" spans="2:9" s="126" customFormat="1" ht="15" customHeight="1" x14ac:dyDescent="0.25">
      <c r="B481" s="271" t="s">
        <v>335</v>
      </c>
      <c r="C481" s="272" t="s">
        <v>334</v>
      </c>
      <c r="D481" s="275" t="s">
        <v>216</v>
      </c>
      <c r="E481" s="275">
        <v>41254.414988425924</v>
      </c>
      <c r="F481" s="276">
        <v>4</v>
      </c>
      <c r="G481" s="243">
        <f t="shared" si="8"/>
        <v>63</v>
      </c>
      <c r="H481" s="244"/>
      <c r="I481" s="71" t="e">
        <f>IF(COUNTIF((rName rData),H481),"","Name Error!")</f>
        <v>#NAME?</v>
      </c>
    </row>
    <row r="482" spans="2:9" s="126" customFormat="1" ht="15" customHeight="1" x14ac:dyDescent="0.25">
      <c r="B482" s="271" t="s">
        <v>365</v>
      </c>
      <c r="C482" s="272" t="s">
        <v>364</v>
      </c>
      <c r="D482" s="275" t="s">
        <v>216</v>
      </c>
      <c r="E482" s="275">
        <v>41254.415879629632</v>
      </c>
      <c r="F482" s="276">
        <v>4</v>
      </c>
      <c r="G482" s="243">
        <f t="shared" si="8"/>
        <v>63</v>
      </c>
      <c r="H482" s="244"/>
      <c r="I482" s="71" t="e">
        <f>IF(COUNTIF((rName rData),H482),"","Name Error!")</f>
        <v>#NAME?</v>
      </c>
    </row>
    <row r="483" spans="2:9" s="126" customFormat="1" ht="15" customHeight="1" x14ac:dyDescent="0.25">
      <c r="B483" s="271" t="s">
        <v>367</v>
      </c>
      <c r="C483" s="272" t="s">
        <v>366</v>
      </c>
      <c r="D483" s="275" t="s">
        <v>216</v>
      </c>
      <c r="E483" s="275">
        <v>41254.419907407406</v>
      </c>
      <c r="F483" s="276">
        <v>2</v>
      </c>
      <c r="G483" s="243">
        <f t="shared" si="8"/>
        <v>63</v>
      </c>
      <c r="H483" s="244"/>
      <c r="I483" s="71" t="e">
        <f>IF(COUNTIF((rName rData),H483),"","Name Error!")</f>
        <v>#NAME?</v>
      </c>
    </row>
    <row r="484" spans="2:9" s="126" customFormat="1" ht="15" customHeight="1" x14ac:dyDescent="0.25">
      <c r="B484" s="271" t="s">
        <v>279</v>
      </c>
      <c r="C484" s="272" t="s">
        <v>280</v>
      </c>
      <c r="D484" s="275" t="s">
        <v>216</v>
      </c>
      <c r="E484" s="275">
        <v>41254.421631944446</v>
      </c>
      <c r="F484" s="276">
        <v>4</v>
      </c>
      <c r="G484" s="243">
        <f t="shared" si="8"/>
        <v>63</v>
      </c>
      <c r="H484" s="244"/>
      <c r="I484" s="71" t="e">
        <f>IF(COUNTIF((rName rData),H484),"","Name Error!")</f>
        <v>#NAME?</v>
      </c>
    </row>
    <row r="485" spans="2:9" s="126" customFormat="1" ht="15" customHeight="1" x14ac:dyDescent="0.25">
      <c r="B485" s="271" t="s">
        <v>339</v>
      </c>
      <c r="C485" s="272" t="s">
        <v>338</v>
      </c>
      <c r="D485" s="275" t="s">
        <v>216</v>
      </c>
      <c r="E485" s="275">
        <v>41254.422407407408</v>
      </c>
      <c r="F485" s="276">
        <v>3</v>
      </c>
      <c r="G485" s="243">
        <f t="shared" si="8"/>
        <v>63</v>
      </c>
      <c r="H485" s="244"/>
      <c r="I485" s="71" t="e">
        <f>IF(COUNTIF((rName rData),H485),"","Name Error!")</f>
        <v>#NAME?</v>
      </c>
    </row>
    <row r="486" spans="2:9" s="126" customFormat="1" ht="15" customHeight="1" x14ac:dyDescent="0.25">
      <c r="B486" s="271" t="s">
        <v>267</v>
      </c>
      <c r="C486" s="272" t="s">
        <v>268</v>
      </c>
      <c r="D486" s="275" t="s">
        <v>216</v>
      </c>
      <c r="E486" s="275">
        <v>41254.422615740739</v>
      </c>
      <c r="F486" s="276">
        <v>4</v>
      </c>
      <c r="G486" s="243">
        <f t="shared" si="8"/>
        <v>63</v>
      </c>
      <c r="H486" s="244"/>
      <c r="I486" s="71" t="e">
        <f>IF(COUNTIF((rName rData),H486),"","Name Error!")</f>
        <v>#NAME?</v>
      </c>
    </row>
    <row r="487" spans="2:9" s="126" customFormat="1" ht="15" customHeight="1" x14ac:dyDescent="0.25">
      <c r="B487" s="271" t="s">
        <v>328</v>
      </c>
      <c r="C487" s="272" t="s">
        <v>327</v>
      </c>
      <c r="D487" s="275" t="s">
        <v>216</v>
      </c>
      <c r="E487" s="275">
        <v>41254.477662037039</v>
      </c>
      <c r="F487" s="276">
        <v>5</v>
      </c>
      <c r="G487" s="243">
        <f t="shared" si="8"/>
        <v>63</v>
      </c>
      <c r="H487" s="244"/>
      <c r="I487" s="71" t="e">
        <f>IF(COUNTIF((rName rData),H487),"","Name Error!")</f>
        <v>#NAME?</v>
      </c>
    </row>
    <row r="488" spans="2:9" s="126" customFormat="1" ht="15" customHeight="1" x14ac:dyDescent="0.25">
      <c r="B488" s="271" t="s">
        <v>358</v>
      </c>
      <c r="C488" s="272" t="s">
        <v>357</v>
      </c>
      <c r="D488" s="275" t="s">
        <v>216</v>
      </c>
      <c r="E488" s="275">
        <v>41254.477835648147</v>
      </c>
      <c r="F488" s="276">
        <v>5</v>
      </c>
      <c r="G488" s="243">
        <f t="shared" si="8"/>
        <v>63</v>
      </c>
      <c r="H488" s="244"/>
      <c r="I488" s="71" t="e">
        <f>IF(COUNTIF((rName rData),H488),"","Name Error!")</f>
        <v>#NAME?</v>
      </c>
    </row>
    <row r="489" spans="2:9" s="126" customFormat="1" ht="15" customHeight="1" x14ac:dyDescent="0.25">
      <c r="B489" s="271" t="s">
        <v>343</v>
      </c>
      <c r="C489" s="272" t="s">
        <v>342</v>
      </c>
      <c r="D489" s="275" t="s">
        <v>216</v>
      </c>
      <c r="E489" s="275">
        <v>41254.580625000002</v>
      </c>
      <c r="F489" s="276">
        <v>2</v>
      </c>
      <c r="G489" s="243">
        <f t="shared" si="8"/>
        <v>63</v>
      </c>
      <c r="H489" s="244"/>
      <c r="I489" s="71" t="e">
        <f>IF(COUNTIF((rName rData),H489),"","Name Error!")</f>
        <v>#NAME?</v>
      </c>
    </row>
    <row r="490" spans="2:9" s="126" customFormat="1" ht="15" customHeight="1" x14ac:dyDescent="0.25">
      <c r="B490" s="271" t="s">
        <v>371</v>
      </c>
      <c r="C490" s="272" t="s">
        <v>370</v>
      </c>
      <c r="D490" s="275" t="s">
        <v>216</v>
      </c>
      <c r="E490" s="275">
        <v>41254.582974537036</v>
      </c>
      <c r="F490" s="276">
        <v>2</v>
      </c>
      <c r="G490" s="243">
        <f t="shared" si="8"/>
        <v>63</v>
      </c>
      <c r="H490" s="244"/>
      <c r="I490" s="71" t="e">
        <f>IF(COUNTIF((rName rData),H490),"","Name Error!")</f>
        <v>#NAME?</v>
      </c>
    </row>
    <row r="491" spans="2:9" s="126" customFormat="1" ht="15" customHeight="1" x14ac:dyDescent="0.25">
      <c r="B491" s="271" t="s">
        <v>320</v>
      </c>
      <c r="C491" s="272" t="s">
        <v>319</v>
      </c>
      <c r="D491" s="275" t="s">
        <v>216</v>
      </c>
      <c r="E491" s="275">
        <v>41254.679108796299</v>
      </c>
      <c r="F491" s="276">
        <v>2</v>
      </c>
      <c r="G491" s="243">
        <f t="shared" si="8"/>
        <v>63</v>
      </c>
      <c r="H491" s="244"/>
      <c r="I491" s="71" t="e">
        <f>IF(COUNTIF((rName rData),H491),"","Name Error!")</f>
        <v>#NAME?</v>
      </c>
    </row>
    <row r="492" spans="2:9" s="126" customFormat="1" ht="15" customHeight="1" x14ac:dyDescent="0.25">
      <c r="B492" s="271" t="s">
        <v>324</v>
      </c>
      <c r="C492" s="272" t="s">
        <v>323</v>
      </c>
      <c r="D492" s="275" t="s">
        <v>216</v>
      </c>
      <c r="E492" s="275">
        <v>41255.297361111108</v>
      </c>
      <c r="F492" s="276">
        <v>5</v>
      </c>
      <c r="G492" s="243">
        <f t="shared" si="8"/>
        <v>63</v>
      </c>
      <c r="H492" s="244"/>
      <c r="I492" s="71" t="e">
        <f>IF(COUNTIF((rName rData),H492),"","Name Error!")</f>
        <v>#NAME?</v>
      </c>
    </row>
    <row r="493" spans="2:9" s="126" customFormat="1" ht="15" customHeight="1" x14ac:dyDescent="0.25">
      <c r="B493" s="271" t="s">
        <v>352</v>
      </c>
      <c r="C493" s="272" t="s">
        <v>351</v>
      </c>
      <c r="D493" s="275" t="s">
        <v>216</v>
      </c>
      <c r="E493" s="275">
        <v>41255.318935185183</v>
      </c>
      <c r="F493" s="276">
        <v>5</v>
      </c>
      <c r="G493" s="243">
        <f t="shared" si="8"/>
        <v>63</v>
      </c>
      <c r="H493" s="244"/>
      <c r="I493" s="71" t="e">
        <f>IF(COUNTIF((rName rData),H493),"","Name Error!")</f>
        <v>#NAME?</v>
      </c>
    </row>
    <row r="494" spans="2:9" s="126" customFormat="1" ht="15" customHeight="1" x14ac:dyDescent="0.25">
      <c r="B494" s="271" t="s">
        <v>279</v>
      </c>
      <c r="C494" s="272" t="s">
        <v>280</v>
      </c>
      <c r="D494" s="275" t="s">
        <v>216</v>
      </c>
      <c r="E494" s="275">
        <v>41255.356863425928</v>
      </c>
      <c r="F494" s="276">
        <v>4</v>
      </c>
      <c r="G494" s="243">
        <f t="shared" si="8"/>
        <v>63</v>
      </c>
      <c r="H494" s="244"/>
      <c r="I494" s="71" t="e">
        <f>IF(COUNTIF((rName rData),H494),"","Name Error!")</f>
        <v>#NAME?</v>
      </c>
    </row>
    <row r="495" spans="2:9" s="126" customFormat="1" ht="15" customHeight="1" x14ac:dyDescent="0.25">
      <c r="B495" s="271" t="s">
        <v>358</v>
      </c>
      <c r="C495" s="272" t="s">
        <v>357</v>
      </c>
      <c r="D495" s="275" t="s">
        <v>216</v>
      </c>
      <c r="E495" s="275">
        <v>41255.361539351848</v>
      </c>
      <c r="F495" s="276">
        <v>5</v>
      </c>
      <c r="G495" s="243">
        <f t="shared" si="8"/>
        <v>63</v>
      </c>
      <c r="H495" s="244"/>
      <c r="I495" s="71" t="e">
        <f>IF(COUNTIF((rName rData),H495),"","Name Error!")</f>
        <v>#NAME?</v>
      </c>
    </row>
    <row r="496" spans="2:9" s="126" customFormat="1" ht="15" customHeight="1" x14ac:dyDescent="0.25">
      <c r="B496" s="271" t="s">
        <v>369</v>
      </c>
      <c r="C496" s="272" t="s">
        <v>368</v>
      </c>
      <c r="D496" s="275" t="s">
        <v>216</v>
      </c>
      <c r="E496" s="275">
        <v>41255.380613425928</v>
      </c>
      <c r="F496" s="276">
        <v>4</v>
      </c>
      <c r="G496" s="243">
        <f t="shared" si="8"/>
        <v>63</v>
      </c>
      <c r="H496" s="244"/>
      <c r="I496" s="71" t="e">
        <f>IF(COUNTIF((rName rData),H496),"","Name Error!")</f>
        <v>#NAME?</v>
      </c>
    </row>
    <row r="497" spans="2:9" s="126" customFormat="1" ht="15" customHeight="1" x14ac:dyDescent="0.25">
      <c r="B497" s="271" t="s">
        <v>333</v>
      </c>
      <c r="C497" s="272" t="s">
        <v>332</v>
      </c>
      <c r="D497" s="275" t="s">
        <v>216</v>
      </c>
      <c r="E497" s="275">
        <v>41255.392743055556</v>
      </c>
      <c r="F497" s="276">
        <v>3</v>
      </c>
      <c r="G497" s="243">
        <f t="shared" si="8"/>
        <v>63</v>
      </c>
      <c r="H497" s="244"/>
      <c r="I497" s="71" t="e">
        <f>IF(COUNTIF((rName rData),H497),"","Name Error!")</f>
        <v>#NAME?</v>
      </c>
    </row>
    <row r="498" spans="2:9" s="126" customFormat="1" ht="15" customHeight="1" x14ac:dyDescent="0.25">
      <c r="B498" s="271" t="s">
        <v>360</v>
      </c>
      <c r="C498" s="272" t="s">
        <v>359</v>
      </c>
      <c r="D498" s="275" t="s">
        <v>216</v>
      </c>
      <c r="E498" s="275">
        <v>41255.412233796298</v>
      </c>
      <c r="F498" s="276">
        <v>7</v>
      </c>
      <c r="G498" s="243">
        <f t="shared" si="8"/>
        <v>63</v>
      </c>
      <c r="H498" s="244"/>
      <c r="I498" s="71" t="e">
        <f>IF(COUNTIF((rName rData),H498),"","Name Error!")</f>
        <v>#NAME?</v>
      </c>
    </row>
    <row r="499" spans="2:9" s="126" customFormat="1" ht="15" customHeight="1" x14ac:dyDescent="0.25">
      <c r="B499" s="271" t="s">
        <v>362</v>
      </c>
      <c r="C499" s="272" t="s">
        <v>361</v>
      </c>
      <c r="D499" s="275" t="s">
        <v>216</v>
      </c>
      <c r="E499" s="275">
        <v>41255.412268518521</v>
      </c>
      <c r="F499" s="276">
        <v>5</v>
      </c>
      <c r="G499" s="243">
        <f t="shared" si="8"/>
        <v>63</v>
      </c>
      <c r="H499" s="244"/>
      <c r="I499" s="71" t="e">
        <f>IF(COUNTIF((rName rData),H499),"","Name Error!")</f>
        <v>#NAME?</v>
      </c>
    </row>
    <row r="500" spans="2:9" s="126" customFormat="1" ht="15" customHeight="1" x14ac:dyDescent="0.25">
      <c r="B500" s="271" t="s">
        <v>331</v>
      </c>
      <c r="C500" s="272" t="s">
        <v>330</v>
      </c>
      <c r="D500" s="275" t="s">
        <v>216</v>
      </c>
      <c r="E500" s="275">
        <v>41255.414525462962</v>
      </c>
      <c r="F500" s="276">
        <v>4</v>
      </c>
      <c r="G500" s="243">
        <f t="shared" si="8"/>
        <v>63</v>
      </c>
      <c r="H500" s="244"/>
      <c r="I500" s="71" t="e">
        <f>IF(COUNTIF((rName rData),H500),"","Name Error!")</f>
        <v>#NAME?</v>
      </c>
    </row>
    <row r="501" spans="2:9" s="126" customFormat="1" ht="15" customHeight="1" x14ac:dyDescent="0.25">
      <c r="B501" s="271" t="s">
        <v>322</v>
      </c>
      <c r="C501" s="272" t="s">
        <v>321</v>
      </c>
      <c r="D501" s="275" t="s">
        <v>216</v>
      </c>
      <c r="E501" s="275">
        <v>41255.415081018517</v>
      </c>
      <c r="F501" s="276">
        <v>6</v>
      </c>
      <c r="G501" s="243">
        <f t="shared" si="8"/>
        <v>63</v>
      </c>
      <c r="H501" s="244"/>
      <c r="I501" s="71" t="e">
        <f>IF(COUNTIF((rName rData),H501),"","Name Error!")</f>
        <v>#NAME?</v>
      </c>
    </row>
    <row r="502" spans="2:9" s="126" customFormat="1" ht="15" customHeight="1" x14ac:dyDescent="0.25">
      <c r="B502" s="271" t="s">
        <v>371</v>
      </c>
      <c r="C502" s="272" t="s">
        <v>370</v>
      </c>
      <c r="D502" s="275" t="s">
        <v>216</v>
      </c>
      <c r="E502" s="275">
        <v>41255.473344907405</v>
      </c>
      <c r="F502" s="276">
        <v>4</v>
      </c>
      <c r="G502" s="243">
        <f t="shared" si="8"/>
        <v>63</v>
      </c>
      <c r="H502" s="244"/>
      <c r="I502" s="71" t="e">
        <f>IF(COUNTIF((rName rData),H502),"","Name Error!")</f>
        <v>#NAME?</v>
      </c>
    </row>
    <row r="503" spans="2:9" s="126" customFormat="1" ht="15" customHeight="1" x14ac:dyDescent="0.25">
      <c r="B503" s="271" t="s">
        <v>335</v>
      </c>
      <c r="C503" s="272" t="s">
        <v>334</v>
      </c>
      <c r="D503" s="275" t="s">
        <v>216</v>
      </c>
      <c r="E503" s="275">
        <v>41255.527337962965</v>
      </c>
      <c r="F503" s="276">
        <v>5</v>
      </c>
      <c r="G503" s="243">
        <f t="shared" si="8"/>
        <v>63</v>
      </c>
      <c r="H503" s="244"/>
      <c r="I503" s="71" t="e">
        <f>IF(COUNTIF((rName rData),H503),"","Name Error!")</f>
        <v>#NAME?</v>
      </c>
    </row>
    <row r="504" spans="2:9" s="126" customFormat="1" ht="15" customHeight="1" x14ac:dyDescent="0.25">
      <c r="B504" s="271" t="s">
        <v>337</v>
      </c>
      <c r="C504" s="272" t="s">
        <v>336</v>
      </c>
      <c r="D504" s="275" t="s">
        <v>216</v>
      </c>
      <c r="E504" s="275">
        <v>41255.556180555555</v>
      </c>
      <c r="F504" s="276">
        <v>5</v>
      </c>
      <c r="G504" s="243">
        <f t="shared" si="8"/>
        <v>63</v>
      </c>
      <c r="H504" s="244"/>
      <c r="I504" s="71" t="e">
        <f>IF(COUNTIF((rName rData),H504),"","Name Error!")</f>
        <v>#NAME?</v>
      </c>
    </row>
    <row r="505" spans="2:9" s="126" customFormat="1" ht="15" customHeight="1" x14ac:dyDescent="0.25">
      <c r="B505" s="271" t="s">
        <v>341</v>
      </c>
      <c r="C505" s="272" t="s">
        <v>340</v>
      </c>
      <c r="D505" s="275" t="s">
        <v>216</v>
      </c>
      <c r="E505" s="275">
        <v>41255.558865740742</v>
      </c>
      <c r="F505" s="276">
        <v>4</v>
      </c>
      <c r="G505" s="243">
        <f t="shared" si="8"/>
        <v>63</v>
      </c>
      <c r="H505" s="244"/>
      <c r="I505" s="71" t="e">
        <f>IF(COUNTIF((rName rData),H505),"","Name Error!")</f>
        <v>#NAME?</v>
      </c>
    </row>
    <row r="506" spans="2:9" s="126" customFormat="1" ht="15" customHeight="1" x14ac:dyDescent="0.25">
      <c r="B506" s="271" t="s">
        <v>354</v>
      </c>
      <c r="C506" s="272" t="s">
        <v>353</v>
      </c>
      <c r="D506" s="275" t="s">
        <v>216</v>
      </c>
      <c r="E506" s="275">
        <v>41255.562280092592</v>
      </c>
      <c r="F506" s="276">
        <v>4</v>
      </c>
      <c r="G506" s="243">
        <f t="shared" si="8"/>
        <v>63</v>
      </c>
      <c r="H506" s="244"/>
      <c r="I506" s="71" t="e">
        <f>IF(COUNTIF((rName rData),H506),"","Name Error!")</f>
        <v>#NAME?</v>
      </c>
    </row>
    <row r="507" spans="2:9" s="126" customFormat="1" ht="15" customHeight="1" x14ac:dyDescent="0.25">
      <c r="B507" s="271" t="s">
        <v>343</v>
      </c>
      <c r="C507" s="272" t="s">
        <v>342</v>
      </c>
      <c r="D507" s="275" t="s">
        <v>216</v>
      </c>
      <c r="E507" s="275">
        <v>41255.563587962963</v>
      </c>
      <c r="F507" s="276">
        <v>5</v>
      </c>
      <c r="G507" s="243">
        <f t="shared" si="8"/>
        <v>63</v>
      </c>
      <c r="H507" s="244"/>
      <c r="I507" s="71" t="e">
        <f>IF(COUNTIF((rName rData),H507),"","Name Error!")</f>
        <v>#NAME?</v>
      </c>
    </row>
    <row r="508" spans="2:9" s="126" customFormat="1" ht="15" customHeight="1" x14ac:dyDescent="0.25">
      <c r="B508" s="271" t="s">
        <v>339</v>
      </c>
      <c r="C508" s="272" t="s">
        <v>338</v>
      </c>
      <c r="D508" s="275" t="s">
        <v>216</v>
      </c>
      <c r="E508" s="275">
        <v>41255.56517361111</v>
      </c>
      <c r="F508" s="276">
        <v>5</v>
      </c>
      <c r="G508" s="243">
        <f t="shared" si="8"/>
        <v>63</v>
      </c>
      <c r="H508" s="244"/>
      <c r="I508" s="71" t="e">
        <f>IF(COUNTIF((rName rData),H508),"","Name Error!")</f>
        <v>#NAME?</v>
      </c>
    </row>
    <row r="509" spans="2:9" s="126" customFormat="1" ht="15" customHeight="1" x14ac:dyDescent="0.25">
      <c r="B509" s="271" t="s">
        <v>328</v>
      </c>
      <c r="C509" s="272" t="s">
        <v>327</v>
      </c>
      <c r="D509" s="275" t="s">
        <v>216</v>
      </c>
      <c r="E509" s="275">
        <v>41255.565879629627</v>
      </c>
      <c r="F509" s="276">
        <v>5</v>
      </c>
      <c r="G509" s="243">
        <f t="shared" si="8"/>
        <v>63</v>
      </c>
      <c r="H509" s="244"/>
      <c r="I509" s="71" t="e">
        <f>IF(COUNTIF((rName rData),H509),"","Name Error!")</f>
        <v>#NAME?</v>
      </c>
    </row>
    <row r="510" spans="2:9" s="126" customFormat="1" ht="15" customHeight="1" x14ac:dyDescent="0.25">
      <c r="B510" s="271" t="s">
        <v>367</v>
      </c>
      <c r="C510" s="272" t="s">
        <v>366</v>
      </c>
      <c r="D510" s="275" t="s">
        <v>216</v>
      </c>
      <c r="E510" s="275">
        <v>41255.566423611112</v>
      </c>
      <c r="F510" s="276">
        <v>2</v>
      </c>
      <c r="G510" s="243">
        <f t="shared" si="8"/>
        <v>63</v>
      </c>
      <c r="H510" s="244"/>
      <c r="I510" s="71" t="e">
        <f>IF(COUNTIF((rName rData),H510),"","Name Error!")</f>
        <v>#NAME?</v>
      </c>
    </row>
    <row r="511" spans="2:9" s="126" customFormat="1" ht="15" customHeight="1" x14ac:dyDescent="0.25">
      <c r="B511" s="271" t="s">
        <v>356</v>
      </c>
      <c r="C511" s="272" t="s">
        <v>355</v>
      </c>
      <c r="D511" s="275" t="s">
        <v>216</v>
      </c>
      <c r="E511" s="275">
        <v>41255.566516203704</v>
      </c>
      <c r="F511" s="276">
        <v>3</v>
      </c>
      <c r="G511" s="243">
        <f t="shared" si="8"/>
        <v>63</v>
      </c>
      <c r="H511" s="244"/>
      <c r="I511" s="71" t="e">
        <f>IF(COUNTIF((rName rData),H511),"","Name Error!")</f>
        <v>#NAME?</v>
      </c>
    </row>
    <row r="512" spans="2:9" s="126" customFormat="1" ht="15" customHeight="1" x14ac:dyDescent="0.25">
      <c r="B512" s="271" t="s">
        <v>350</v>
      </c>
      <c r="C512" s="272" t="s">
        <v>349</v>
      </c>
      <c r="D512" s="275" t="s">
        <v>216</v>
      </c>
      <c r="E512" s="275">
        <v>41255.568819444445</v>
      </c>
      <c r="F512" s="276">
        <v>3</v>
      </c>
      <c r="G512" s="243">
        <f t="shared" si="8"/>
        <v>63</v>
      </c>
      <c r="H512" s="244"/>
      <c r="I512" s="71" t="e">
        <f>IF(COUNTIF((rName rData),H512),"","Name Error!")</f>
        <v>#NAME?</v>
      </c>
    </row>
    <row r="513" spans="2:9" s="126" customFormat="1" ht="15" customHeight="1" x14ac:dyDescent="0.25">
      <c r="B513" s="271" t="s">
        <v>365</v>
      </c>
      <c r="C513" s="272" t="s">
        <v>364</v>
      </c>
      <c r="D513" s="275" t="s">
        <v>216</v>
      </c>
      <c r="E513" s="275">
        <v>41255.568912037037</v>
      </c>
      <c r="F513" s="276">
        <v>7</v>
      </c>
      <c r="G513" s="243">
        <f t="shared" si="8"/>
        <v>63</v>
      </c>
      <c r="H513" s="244"/>
      <c r="I513" s="71" t="e">
        <f>IF(COUNTIF((rName rData),H513),"","Name Error!")</f>
        <v>#NAME?</v>
      </c>
    </row>
    <row r="514" spans="2:9" s="126" customFormat="1" ht="15" customHeight="1" x14ac:dyDescent="0.25">
      <c r="B514" s="271" t="s">
        <v>326</v>
      </c>
      <c r="C514" s="272" t="s">
        <v>325</v>
      </c>
      <c r="D514" s="275" t="s">
        <v>216</v>
      </c>
      <c r="E514" s="275">
        <v>41255.568958333337</v>
      </c>
      <c r="F514" s="276">
        <v>3</v>
      </c>
      <c r="G514" s="243">
        <f t="shared" si="8"/>
        <v>63</v>
      </c>
      <c r="H514" s="244"/>
      <c r="I514" s="71" t="e">
        <f>IF(COUNTIF((rName rData),H514),"","Name Error!")</f>
        <v>#NAME?</v>
      </c>
    </row>
    <row r="515" spans="2:9" s="126" customFormat="1" ht="15" customHeight="1" x14ac:dyDescent="0.25">
      <c r="B515" s="271" t="s">
        <v>267</v>
      </c>
      <c r="C515" s="272" t="s">
        <v>268</v>
      </c>
      <c r="D515" s="275" t="s">
        <v>216</v>
      </c>
      <c r="E515" s="275">
        <v>41255.569907407407</v>
      </c>
      <c r="F515" s="276">
        <v>6</v>
      </c>
      <c r="G515" s="243">
        <f t="shared" si="8"/>
        <v>63</v>
      </c>
      <c r="H515" s="244"/>
      <c r="I515" s="71" t="e">
        <f>IF(COUNTIF((rName rData),H515),"","Name Error!")</f>
        <v>#NAME?</v>
      </c>
    </row>
    <row r="516" spans="2:9" s="126" customFormat="1" ht="15" customHeight="1" x14ac:dyDescent="0.25">
      <c r="B516" s="271" t="s">
        <v>345</v>
      </c>
      <c r="C516" s="272" t="s">
        <v>344</v>
      </c>
      <c r="D516" s="275" t="s">
        <v>216</v>
      </c>
      <c r="E516" s="275">
        <v>41255.579363425924</v>
      </c>
      <c r="F516" s="276">
        <v>2</v>
      </c>
      <c r="G516" s="243">
        <f t="shared" si="8"/>
        <v>63</v>
      </c>
      <c r="H516" s="244"/>
      <c r="I516" s="71" t="e">
        <f>IF(COUNTIF((rName rData),H516),"","Name Error!")</f>
        <v>#NAME?</v>
      </c>
    </row>
    <row r="517" spans="2:9" s="126" customFormat="1" ht="15" customHeight="1" x14ac:dyDescent="0.25">
      <c r="B517" s="271" t="s">
        <v>320</v>
      </c>
      <c r="C517" s="272" t="s">
        <v>319</v>
      </c>
      <c r="D517" s="275" t="s">
        <v>216</v>
      </c>
      <c r="E517" s="275">
        <v>41255.585046296299</v>
      </c>
      <c r="F517" s="276">
        <v>4</v>
      </c>
      <c r="G517" s="243">
        <f t="shared" si="8"/>
        <v>63</v>
      </c>
      <c r="H517" s="244"/>
      <c r="I517" s="71" t="e">
        <f>IF(COUNTIF((rName rData),H517),"","Name Error!")</f>
        <v>#NAME?</v>
      </c>
    </row>
    <row r="518" spans="2:9" s="126" customFormat="1" ht="15" customHeight="1" x14ac:dyDescent="0.25">
      <c r="B518" s="271" t="s">
        <v>328</v>
      </c>
      <c r="C518" s="272" t="s">
        <v>327</v>
      </c>
      <c r="D518" s="275" t="s">
        <v>216</v>
      </c>
      <c r="E518" s="275">
        <v>41256.029444444444</v>
      </c>
      <c r="F518" s="276">
        <v>8</v>
      </c>
      <c r="G518" s="243">
        <f t="shared" si="8"/>
        <v>63</v>
      </c>
      <c r="H518" s="244"/>
      <c r="I518" s="71" t="e">
        <f>IF(COUNTIF((rName rData),H518),"","Name Error!")</f>
        <v>#NAME?</v>
      </c>
    </row>
    <row r="519" spans="2:9" s="126" customFormat="1" ht="15" customHeight="1" x14ac:dyDescent="0.25">
      <c r="B519" s="271" t="s">
        <v>358</v>
      </c>
      <c r="C519" s="272" t="s">
        <v>357</v>
      </c>
      <c r="D519" s="275" t="s">
        <v>216</v>
      </c>
      <c r="E519" s="275">
        <v>41256.29892361111</v>
      </c>
      <c r="F519" s="276">
        <v>6</v>
      </c>
      <c r="G519" s="243">
        <f t="shared" si="8"/>
        <v>63</v>
      </c>
      <c r="H519" s="244"/>
      <c r="I519" s="71" t="e">
        <f>IF(COUNTIF((rName rData),H519),"","Name Error!")</f>
        <v>#NAME?</v>
      </c>
    </row>
    <row r="520" spans="2:9" s="126" customFormat="1" ht="15" customHeight="1" x14ac:dyDescent="0.25">
      <c r="B520" s="271" t="s">
        <v>343</v>
      </c>
      <c r="C520" s="272" t="s">
        <v>342</v>
      </c>
      <c r="D520" s="275" t="s">
        <v>216</v>
      </c>
      <c r="E520" s="275">
        <v>41256.320925925924</v>
      </c>
      <c r="F520" s="276">
        <v>7</v>
      </c>
      <c r="G520" s="243">
        <f t="shared" si="8"/>
        <v>63</v>
      </c>
      <c r="H520" s="244"/>
      <c r="I520" s="71" t="e">
        <f>IF(COUNTIF((rName rData),H520),"","Name Error!")</f>
        <v>#NAME?</v>
      </c>
    </row>
    <row r="521" spans="2:9" s="126" customFormat="1" ht="15" customHeight="1" x14ac:dyDescent="0.25">
      <c r="B521" s="271" t="s">
        <v>326</v>
      </c>
      <c r="C521" s="272" t="s">
        <v>325</v>
      </c>
      <c r="D521" s="275" t="s">
        <v>216</v>
      </c>
      <c r="E521" s="275">
        <v>41256.340590277781</v>
      </c>
      <c r="F521" s="276">
        <v>5</v>
      </c>
      <c r="G521" s="243">
        <f t="shared" si="8"/>
        <v>63</v>
      </c>
      <c r="H521" s="244"/>
      <c r="I521" s="71" t="e">
        <f>IF(COUNTIF((rName rData),H521),"","Name Error!")</f>
        <v>#NAME?</v>
      </c>
    </row>
    <row r="522" spans="2:9" s="126" customFormat="1" ht="15" customHeight="1" x14ac:dyDescent="0.25">
      <c r="B522" s="271" t="s">
        <v>320</v>
      </c>
      <c r="C522" s="272" t="s">
        <v>319</v>
      </c>
      <c r="D522" s="275" t="s">
        <v>216</v>
      </c>
      <c r="E522" s="275">
        <v>41256.398553240739</v>
      </c>
      <c r="F522" s="276">
        <v>5</v>
      </c>
      <c r="G522" s="243">
        <f t="shared" ref="G522:G585" si="9">TRUNC((E522-start)/7)+1</f>
        <v>63</v>
      </c>
      <c r="H522" s="244"/>
      <c r="I522" s="71" t="e">
        <f>IF(COUNTIF((rName rData),H522),"","Name Error!")</f>
        <v>#NAME?</v>
      </c>
    </row>
    <row r="523" spans="2:9" s="126" customFormat="1" ht="15" customHeight="1" x14ac:dyDescent="0.25">
      <c r="B523" s="271" t="s">
        <v>337</v>
      </c>
      <c r="C523" s="272" t="s">
        <v>336</v>
      </c>
      <c r="D523" s="275" t="s">
        <v>216</v>
      </c>
      <c r="E523" s="275">
        <v>41256.403483796297</v>
      </c>
      <c r="F523" s="276">
        <v>6</v>
      </c>
      <c r="G523" s="243">
        <f t="shared" si="9"/>
        <v>63</v>
      </c>
      <c r="H523" s="244"/>
      <c r="I523" s="71" t="e">
        <f>IF(COUNTIF((rName rData),H523),"","Name Error!")</f>
        <v>#NAME?</v>
      </c>
    </row>
    <row r="524" spans="2:9" s="126" customFormat="1" ht="15" customHeight="1" x14ac:dyDescent="0.25">
      <c r="B524" s="271" t="s">
        <v>324</v>
      </c>
      <c r="C524" s="272" t="s">
        <v>323</v>
      </c>
      <c r="D524" s="275" t="s">
        <v>216</v>
      </c>
      <c r="E524" s="275">
        <v>41256.403900462959</v>
      </c>
      <c r="F524" s="276">
        <v>5</v>
      </c>
      <c r="G524" s="243">
        <f t="shared" si="9"/>
        <v>63</v>
      </c>
      <c r="H524" s="244"/>
      <c r="I524" s="71" t="e">
        <f>IF(COUNTIF((rName rData),H524),"","Name Error!")</f>
        <v>#NAME?</v>
      </c>
    </row>
    <row r="525" spans="2:9" s="126" customFormat="1" ht="15" customHeight="1" x14ac:dyDescent="0.25">
      <c r="B525" s="271" t="s">
        <v>362</v>
      </c>
      <c r="C525" s="272" t="s">
        <v>361</v>
      </c>
      <c r="D525" s="275" t="s">
        <v>216</v>
      </c>
      <c r="E525" s="275">
        <v>41256.406261574077</v>
      </c>
      <c r="F525" s="276">
        <v>6</v>
      </c>
      <c r="G525" s="243">
        <f t="shared" si="9"/>
        <v>63</v>
      </c>
      <c r="H525" s="244"/>
      <c r="I525" s="71" t="e">
        <f>IF(COUNTIF((rName rData),H525),"","Name Error!")</f>
        <v>#NAME?</v>
      </c>
    </row>
    <row r="526" spans="2:9" s="126" customFormat="1" ht="15" customHeight="1" x14ac:dyDescent="0.25">
      <c r="B526" s="271" t="s">
        <v>331</v>
      </c>
      <c r="C526" s="272" t="s">
        <v>330</v>
      </c>
      <c r="D526" s="275" t="s">
        <v>216</v>
      </c>
      <c r="E526" s="275">
        <v>41256.40865740741</v>
      </c>
      <c r="F526" s="276">
        <v>7</v>
      </c>
      <c r="G526" s="243">
        <f t="shared" si="9"/>
        <v>63</v>
      </c>
      <c r="H526" s="244"/>
      <c r="I526" s="71" t="e">
        <f>IF(COUNTIF((rName rData),H526),"","Name Error!")</f>
        <v>#NAME?</v>
      </c>
    </row>
    <row r="527" spans="2:9" s="126" customFormat="1" ht="15" customHeight="1" x14ac:dyDescent="0.25">
      <c r="B527" s="271" t="s">
        <v>352</v>
      </c>
      <c r="C527" s="272" t="s">
        <v>351</v>
      </c>
      <c r="D527" s="275" t="s">
        <v>216</v>
      </c>
      <c r="E527" s="275">
        <v>41256.411481481482</v>
      </c>
      <c r="F527" s="276">
        <v>4</v>
      </c>
      <c r="G527" s="243">
        <f t="shared" si="9"/>
        <v>63</v>
      </c>
      <c r="H527" s="244"/>
      <c r="I527" s="71" t="e">
        <f>IF(COUNTIF((rName rData),H527),"","Name Error!")</f>
        <v>#NAME?</v>
      </c>
    </row>
    <row r="528" spans="2:9" s="126" customFormat="1" ht="15" customHeight="1" x14ac:dyDescent="0.25">
      <c r="B528" s="271" t="s">
        <v>322</v>
      </c>
      <c r="C528" s="272" t="s">
        <v>321</v>
      </c>
      <c r="D528" s="275" t="s">
        <v>216</v>
      </c>
      <c r="E528" s="275">
        <v>41256.412511574075</v>
      </c>
      <c r="F528" s="276">
        <v>5</v>
      </c>
      <c r="G528" s="243">
        <f t="shared" si="9"/>
        <v>63</v>
      </c>
      <c r="H528" s="244"/>
      <c r="I528" s="71" t="e">
        <f>IF(COUNTIF((rName rData),H528),"","Name Error!")</f>
        <v>#NAME?</v>
      </c>
    </row>
    <row r="529" spans="2:9" s="126" customFormat="1" ht="15" customHeight="1" x14ac:dyDescent="0.25">
      <c r="B529" s="271" t="s">
        <v>354</v>
      </c>
      <c r="C529" s="272" t="s">
        <v>353</v>
      </c>
      <c r="D529" s="275" t="s">
        <v>216</v>
      </c>
      <c r="E529" s="275">
        <v>41256.413854166669</v>
      </c>
      <c r="F529" s="276">
        <v>5</v>
      </c>
      <c r="G529" s="243">
        <f t="shared" si="9"/>
        <v>63</v>
      </c>
      <c r="H529" s="244"/>
      <c r="I529" s="71" t="e">
        <f>IF(COUNTIF((rName rData),H529),"","Name Error!")</f>
        <v>#NAME?</v>
      </c>
    </row>
    <row r="530" spans="2:9" s="126" customFormat="1" ht="15" customHeight="1" x14ac:dyDescent="0.25">
      <c r="B530" s="271" t="s">
        <v>356</v>
      </c>
      <c r="C530" s="272" t="s">
        <v>355</v>
      </c>
      <c r="D530" s="275" t="s">
        <v>216</v>
      </c>
      <c r="E530" s="275">
        <v>41256.423564814817</v>
      </c>
      <c r="F530" s="276">
        <v>4</v>
      </c>
      <c r="G530" s="243">
        <f t="shared" si="9"/>
        <v>63</v>
      </c>
      <c r="H530" s="244"/>
      <c r="I530" s="71" t="e">
        <f>IF(COUNTIF((rName rData),H530),"","Name Error!")</f>
        <v>#NAME?</v>
      </c>
    </row>
    <row r="531" spans="2:9" s="126" customFormat="1" ht="15" customHeight="1" x14ac:dyDescent="0.25">
      <c r="B531" s="271" t="s">
        <v>339</v>
      </c>
      <c r="C531" s="272" t="s">
        <v>338</v>
      </c>
      <c r="D531" s="275" t="s">
        <v>216</v>
      </c>
      <c r="E531" s="275">
        <v>41256.424432870372</v>
      </c>
      <c r="F531" s="276">
        <v>6</v>
      </c>
      <c r="G531" s="243">
        <f t="shared" si="9"/>
        <v>63</v>
      </c>
      <c r="H531" s="244"/>
      <c r="I531" s="71" t="e">
        <f>IF(COUNTIF((rName rData),H531),"","Name Error!")</f>
        <v>#NAME?</v>
      </c>
    </row>
    <row r="532" spans="2:9" s="126" customFormat="1" ht="15" customHeight="1" x14ac:dyDescent="0.25">
      <c r="B532" s="271" t="s">
        <v>345</v>
      </c>
      <c r="C532" s="272" t="s">
        <v>344</v>
      </c>
      <c r="D532" s="275" t="s">
        <v>216</v>
      </c>
      <c r="E532" s="275">
        <v>41256.474166666667</v>
      </c>
      <c r="F532" s="276">
        <v>5</v>
      </c>
      <c r="G532" s="243">
        <f t="shared" si="9"/>
        <v>63</v>
      </c>
      <c r="H532" s="244"/>
      <c r="I532" s="71" t="e">
        <f>IF(COUNTIF((rName rData),H532),"","Name Error!")</f>
        <v>#NAME?</v>
      </c>
    </row>
    <row r="533" spans="2:9" s="126" customFormat="1" ht="15" customHeight="1" x14ac:dyDescent="0.25">
      <c r="B533" s="271" t="s">
        <v>341</v>
      </c>
      <c r="C533" s="272" t="s">
        <v>340</v>
      </c>
      <c r="D533" s="275" t="s">
        <v>216</v>
      </c>
      <c r="E533" s="275">
        <v>41256.474166666667</v>
      </c>
      <c r="F533" s="276">
        <v>6</v>
      </c>
      <c r="G533" s="243">
        <f t="shared" si="9"/>
        <v>63</v>
      </c>
      <c r="H533" s="244"/>
      <c r="I533" s="71" t="e">
        <f>IF(COUNTIF((rName rData),H533),"","Name Error!")</f>
        <v>#NAME?</v>
      </c>
    </row>
    <row r="534" spans="2:9" s="126" customFormat="1" ht="15" customHeight="1" x14ac:dyDescent="0.25">
      <c r="B534" s="271" t="s">
        <v>369</v>
      </c>
      <c r="C534" s="272" t="s">
        <v>368</v>
      </c>
      <c r="D534" s="275" t="s">
        <v>216</v>
      </c>
      <c r="E534" s="275">
        <v>41256.47451388889</v>
      </c>
      <c r="F534" s="276">
        <v>3</v>
      </c>
      <c r="G534" s="243">
        <f t="shared" si="9"/>
        <v>63</v>
      </c>
      <c r="H534" s="244"/>
      <c r="I534" s="71" t="e">
        <f>IF(COUNTIF((rName rData),H534),"","Name Error!")</f>
        <v>#NAME?</v>
      </c>
    </row>
    <row r="535" spans="2:9" s="126" customFormat="1" ht="15" customHeight="1" x14ac:dyDescent="0.25">
      <c r="B535" s="271" t="s">
        <v>367</v>
      </c>
      <c r="C535" s="272" t="s">
        <v>366</v>
      </c>
      <c r="D535" s="275" t="s">
        <v>216</v>
      </c>
      <c r="E535" s="275">
        <v>41256.475497685184</v>
      </c>
      <c r="F535" s="276">
        <v>2</v>
      </c>
      <c r="G535" s="243">
        <f t="shared" si="9"/>
        <v>63</v>
      </c>
      <c r="H535" s="244"/>
      <c r="I535" s="71" t="e">
        <f>IF(COUNTIF((rName rData),H535),"","Name Error!")</f>
        <v>#NAME?</v>
      </c>
    </row>
    <row r="536" spans="2:9" s="126" customFormat="1" ht="15" customHeight="1" x14ac:dyDescent="0.25">
      <c r="B536" s="271" t="s">
        <v>279</v>
      </c>
      <c r="C536" s="272" t="s">
        <v>280</v>
      </c>
      <c r="D536" s="275" t="s">
        <v>216</v>
      </c>
      <c r="E536" s="275">
        <v>41256.561493055553</v>
      </c>
      <c r="F536" s="276">
        <v>2</v>
      </c>
      <c r="G536" s="243">
        <f t="shared" si="9"/>
        <v>63</v>
      </c>
      <c r="H536" s="244"/>
      <c r="I536" s="71" t="e">
        <f>IF(COUNTIF((rName rData),H536),"","Name Error!")</f>
        <v>#NAME?</v>
      </c>
    </row>
    <row r="537" spans="2:9" s="126" customFormat="1" ht="15" customHeight="1" x14ac:dyDescent="0.25">
      <c r="B537" s="271" t="s">
        <v>360</v>
      </c>
      <c r="C537" s="272" t="s">
        <v>359</v>
      </c>
      <c r="D537" s="275" t="s">
        <v>216</v>
      </c>
      <c r="E537" s="275">
        <v>41256.568240740744</v>
      </c>
      <c r="F537" s="276">
        <v>4</v>
      </c>
      <c r="G537" s="243">
        <f t="shared" si="9"/>
        <v>63</v>
      </c>
      <c r="H537" s="244"/>
      <c r="I537" s="71" t="e">
        <f>IF(COUNTIF((rName rData),H537),"","Name Error!")</f>
        <v>#NAME?</v>
      </c>
    </row>
    <row r="538" spans="2:9" s="126" customFormat="1" ht="15" customHeight="1" x14ac:dyDescent="0.25">
      <c r="B538" s="271" t="s">
        <v>365</v>
      </c>
      <c r="C538" s="272" t="s">
        <v>364</v>
      </c>
      <c r="D538" s="275" t="s">
        <v>216</v>
      </c>
      <c r="E538" s="275">
        <v>41256.572175925925</v>
      </c>
      <c r="F538" s="276">
        <v>2</v>
      </c>
      <c r="G538" s="243">
        <f t="shared" si="9"/>
        <v>63</v>
      </c>
      <c r="H538" s="244"/>
      <c r="I538" s="71" t="e">
        <f>IF(COUNTIF((rName rData),H538),"","Name Error!")</f>
        <v>#NAME?</v>
      </c>
    </row>
    <row r="539" spans="2:9" s="126" customFormat="1" ht="15" customHeight="1" x14ac:dyDescent="0.25">
      <c r="B539" s="271" t="s">
        <v>333</v>
      </c>
      <c r="C539" s="272" t="s">
        <v>332</v>
      </c>
      <c r="D539" s="275" t="s">
        <v>216</v>
      </c>
      <c r="E539" s="275">
        <v>41256.573611111111</v>
      </c>
      <c r="F539" s="276">
        <v>3</v>
      </c>
      <c r="G539" s="243">
        <f t="shared" si="9"/>
        <v>63</v>
      </c>
      <c r="H539" s="244"/>
      <c r="I539" s="71" t="e">
        <f>IF(COUNTIF((rName rData),H539),"","Name Error!")</f>
        <v>#NAME?</v>
      </c>
    </row>
    <row r="540" spans="2:9" s="126" customFormat="1" ht="15" customHeight="1" x14ac:dyDescent="0.25">
      <c r="B540" s="271" t="s">
        <v>350</v>
      </c>
      <c r="C540" s="272" t="s">
        <v>349</v>
      </c>
      <c r="D540" s="275" t="s">
        <v>216</v>
      </c>
      <c r="E540" s="275">
        <v>41256.573946759258</v>
      </c>
      <c r="F540" s="276">
        <v>4</v>
      </c>
      <c r="G540" s="243">
        <f t="shared" si="9"/>
        <v>63</v>
      </c>
      <c r="H540" s="244"/>
      <c r="I540" s="71" t="e">
        <f>IF(COUNTIF((rName rData),H540),"","Name Error!")</f>
        <v>#NAME?</v>
      </c>
    </row>
    <row r="541" spans="2:9" s="126" customFormat="1" ht="15" customHeight="1" x14ac:dyDescent="0.25">
      <c r="B541" s="271" t="s">
        <v>267</v>
      </c>
      <c r="C541" s="272" t="s">
        <v>268</v>
      </c>
      <c r="D541" s="275" t="s">
        <v>216</v>
      </c>
      <c r="E541" s="275">
        <v>41256.573958333334</v>
      </c>
      <c r="F541" s="276">
        <v>4</v>
      </c>
      <c r="G541" s="243">
        <f t="shared" si="9"/>
        <v>63</v>
      </c>
      <c r="H541" s="244"/>
      <c r="I541" s="71" t="e">
        <f>IF(COUNTIF((rName rData),H541),"","Name Error!")</f>
        <v>#NAME?</v>
      </c>
    </row>
    <row r="542" spans="2:9" s="126" customFormat="1" ht="15" customHeight="1" x14ac:dyDescent="0.25">
      <c r="B542" s="271" t="s">
        <v>371</v>
      </c>
      <c r="C542" s="272" t="s">
        <v>370</v>
      </c>
      <c r="D542" s="275" t="s">
        <v>216</v>
      </c>
      <c r="E542" s="275">
        <v>41256.574791666666</v>
      </c>
      <c r="F542" s="276">
        <v>3</v>
      </c>
      <c r="G542" s="243">
        <f t="shared" si="9"/>
        <v>63</v>
      </c>
      <c r="H542" s="244"/>
      <c r="I542" s="71" t="e">
        <f>IF(COUNTIF((rName rData),H542),"","Name Error!")</f>
        <v>#NAME?</v>
      </c>
    </row>
    <row r="543" spans="2:9" s="126" customFormat="1" ht="15" customHeight="1" x14ac:dyDescent="0.25">
      <c r="B543" s="271" t="s">
        <v>335</v>
      </c>
      <c r="C543" s="272" t="s">
        <v>334</v>
      </c>
      <c r="D543" s="275" t="s">
        <v>216</v>
      </c>
      <c r="E543" s="275">
        <v>41256.577337962961</v>
      </c>
      <c r="F543" s="276">
        <v>3</v>
      </c>
      <c r="G543" s="243">
        <f t="shared" si="9"/>
        <v>63</v>
      </c>
      <c r="H543" s="244"/>
      <c r="I543" s="71" t="e">
        <f>IF(COUNTIF((rName rData),H543),"","Name Error!")</f>
        <v>#NAME?</v>
      </c>
    </row>
    <row r="544" spans="2:9" s="126" customFormat="1" ht="15" customHeight="1" x14ac:dyDescent="0.25">
      <c r="B544" s="271" t="s">
        <v>324</v>
      </c>
      <c r="C544" s="272" t="s">
        <v>323</v>
      </c>
      <c r="D544" s="275" t="s">
        <v>216</v>
      </c>
      <c r="E544" s="275">
        <v>41257.004479166666</v>
      </c>
      <c r="F544" s="276">
        <v>6</v>
      </c>
      <c r="G544" s="243">
        <f t="shared" si="9"/>
        <v>63</v>
      </c>
      <c r="H544" s="244"/>
      <c r="I544" s="71" t="e">
        <f>IF(COUNTIF((rName rData),H544),"","Name Error!")</f>
        <v>#NAME?</v>
      </c>
    </row>
    <row r="545" spans="2:9" s="126" customFormat="1" ht="15" customHeight="1" x14ac:dyDescent="0.25">
      <c r="B545" s="271" t="s">
        <v>356</v>
      </c>
      <c r="C545" s="272" t="s">
        <v>355</v>
      </c>
      <c r="D545" s="275" t="s">
        <v>216</v>
      </c>
      <c r="E545" s="275">
        <v>41257.234965277778</v>
      </c>
      <c r="F545" s="276">
        <v>2</v>
      </c>
      <c r="G545" s="243">
        <f t="shared" si="9"/>
        <v>63</v>
      </c>
      <c r="H545" s="244"/>
      <c r="I545" s="71" t="e">
        <f>IF(COUNTIF((rName rData),H545),"","Name Error!")</f>
        <v>#NAME?</v>
      </c>
    </row>
    <row r="546" spans="2:9" s="126" customFormat="1" ht="15" customHeight="1" x14ac:dyDescent="0.25">
      <c r="B546" s="271" t="s">
        <v>337</v>
      </c>
      <c r="C546" s="272" t="s">
        <v>336</v>
      </c>
      <c r="D546" s="275" t="s">
        <v>216</v>
      </c>
      <c r="E546" s="275">
        <v>41257.301099537035</v>
      </c>
      <c r="F546" s="276">
        <v>2</v>
      </c>
      <c r="G546" s="243">
        <f t="shared" si="9"/>
        <v>63</v>
      </c>
      <c r="H546" s="244"/>
      <c r="I546" s="71" t="e">
        <f>IF(COUNTIF((rName rData),H546),"","Name Error!")</f>
        <v>#NAME?</v>
      </c>
    </row>
    <row r="547" spans="2:9" s="126" customFormat="1" ht="15" customHeight="1" x14ac:dyDescent="0.25">
      <c r="B547" s="271" t="s">
        <v>326</v>
      </c>
      <c r="C547" s="272" t="s">
        <v>325</v>
      </c>
      <c r="D547" s="275" t="s">
        <v>216</v>
      </c>
      <c r="E547" s="275">
        <v>41257.35255787037</v>
      </c>
      <c r="F547" s="276">
        <v>6</v>
      </c>
      <c r="G547" s="243">
        <f t="shared" si="9"/>
        <v>63</v>
      </c>
      <c r="H547" s="244"/>
      <c r="I547" s="71" t="e">
        <f>IF(COUNTIF((rName rData),H547),"","Name Error!")</f>
        <v>#NAME?</v>
      </c>
    </row>
    <row r="548" spans="2:9" s="126" customFormat="1" ht="15" customHeight="1" x14ac:dyDescent="0.25">
      <c r="B548" s="271" t="s">
        <v>267</v>
      </c>
      <c r="C548" s="272" t="s">
        <v>268</v>
      </c>
      <c r="D548" s="275" t="s">
        <v>216</v>
      </c>
      <c r="E548" s="275">
        <v>41257.368368055555</v>
      </c>
      <c r="F548" s="276">
        <v>5</v>
      </c>
      <c r="G548" s="243">
        <f t="shared" si="9"/>
        <v>63</v>
      </c>
      <c r="H548" s="244"/>
      <c r="I548" s="71" t="e">
        <f>IF(COUNTIF((rName rData),H548),"","Name Error!")</f>
        <v>#NAME?</v>
      </c>
    </row>
    <row r="549" spans="2:9" s="126" customFormat="1" ht="15" customHeight="1" x14ac:dyDescent="0.25">
      <c r="B549" s="271" t="s">
        <v>331</v>
      </c>
      <c r="C549" s="272" t="s">
        <v>330</v>
      </c>
      <c r="D549" s="275" t="s">
        <v>216</v>
      </c>
      <c r="E549" s="275">
        <v>41257.551377314812</v>
      </c>
      <c r="F549" s="276">
        <v>4</v>
      </c>
      <c r="G549" s="243">
        <f t="shared" si="9"/>
        <v>63</v>
      </c>
      <c r="H549" s="244"/>
      <c r="I549" s="71" t="e">
        <f>IF(COUNTIF((rName rData),H549),"","Name Error!")</f>
        <v>#NAME?</v>
      </c>
    </row>
    <row r="550" spans="2:9" s="126" customFormat="1" ht="15" customHeight="1" x14ac:dyDescent="0.25">
      <c r="B550" s="271" t="s">
        <v>362</v>
      </c>
      <c r="C550" s="272" t="s">
        <v>361</v>
      </c>
      <c r="D550" s="275" t="s">
        <v>216</v>
      </c>
      <c r="E550" s="275">
        <v>41257.556423611109</v>
      </c>
      <c r="F550" s="276">
        <v>3</v>
      </c>
      <c r="G550" s="243">
        <f t="shared" si="9"/>
        <v>63</v>
      </c>
      <c r="H550" s="244"/>
      <c r="I550" s="71" t="e">
        <f>IF(COUNTIF((rName rData),H550),"","Name Error!")</f>
        <v>#NAME?</v>
      </c>
    </row>
    <row r="551" spans="2:9" s="126" customFormat="1" ht="15" customHeight="1" x14ac:dyDescent="0.25">
      <c r="B551" s="271" t="s">
        <v>322</v>
      </c>
      <c r="C551" s="272" t="s">
        <v>321</v>
      </c>
      <c r="D551" s="275" t="s">
        <v>216</v>
      </c>
      <c r="E551" s="275">
        <v>41257.56759259259</v>
      </c>
      <c r="F551" s="276">
        <v>3</v>
      </c>
      <c r="G551" s="243">
        <f t="shared" si="9"/>
        <v>63</v>
      </c>
      <c r="H551" s="244"/>
      <c r="I551" s="71" t="e">
        <f>IF(COUNTIF((rName rData),H551),"","Name Error!")</f>
        <v>#NAME?</v>
      </c>
    </row>
    <row r="552" spans="2:9" s="126" customFormat="1" ht="15" customHeight="1" x14ac:dyDescent="0.25">
      <c r="B552" s="271" t="s">
        <v>279</v>
      </c>
      <c r="C552" s="272" t="s">
        <v>280</v>
      </c>
      <c r="D552" s="275" t="s">
        <v>216</v>
      </c>
      <c r="E552" s="275">
        <v>41257.567719907405</v>
      </c>
      <c r="F552" s="276">
        <v>2</v>
      </c>
      <c r="G552" s="243">
        <f t="shared" si="9"/>
        <v>63</v>
      </c>
      <c r="H552" s="244"/>
      <c r="I552" s="71" t="e">
        <f>IF(COUNTIF((rName rData),H552),"","Name Error!")</f>
        <v>#NAME?</v>
      </c>
    </row>
    <row r="553" spans="2:9" s="126" customFormat="1" ht="15" customHeight="1" x14ac:dyDescent="0.25">
      <c r="B553" s="271" t="s">
        <v>339</v>
      </c>
      <c r="C553" s="272" t="s">
        <v>338</v>
      </c>
      <c r="D553" s="275" t="s">
        <v>216</v>
      </c>
      <c r="E553" s="275">
        <v>41257.569872685184</v>
      </c>
      <c r="F553" s="276">
        <v>2</v>
      </c>
      <c r="G553" s="243">
        <f t="shared" si="9"/>
        <v>63</v>
      </c>
      <c r="H553" s="244"/>
      <c r="I553" s="71" t="e">
        <f>IF(COUNTIF((rName rData),H553),"","Name Error!")</f>
        <v>#NAME?</v>
      </c>
    </row>
    <row r="554" spans="2:9" s="126" customFormat="1" ht="15" customHeight="1" x14ac:dyDescent="0.25">
      <c r="B554" s="271" t="s">
        <v>341</v>
      </c>
      <c r="C554" s="272" t="s">
        <v>340</v>
      </c>
      <c r="D554" s="275" t="s">
        <v>216</v>
      </c>
      <c r="E554" s="275">
        <v>41257.570104166669</v>
      </c>
      <c r="F554" s="276">
        <v>2</v>
      </c>
      <c r="G554" s="243">
        <f t="shared" si="9"/>
        <v>63</v>
      </c>
      <c r="H554" s="244"/>
      <c r="I554" s="71" t="e">
        <f>IF(COUNTIF((rName rData),H554),"","Name Error!")</f>
        <v>#NAME?</v>
      </c>
    </row>
    <row r="555" spans="2:9" s="126" customFormat="1" ht="15" customHeight="1" x14ac:dyDescent="0.25">
      <c r="B555" s="271" t="s">
        <v>369</v>
      </c>
      <c r="C555" s="272" t="s">
        <v>368</v>
      </c>
      <c r="D555" s="275" t="s">
        <v>216</v>
      </c>
      <c r="E555" s="275">
        <v>41257.593043981484</v>
      </c>
      <c r="F555" s="276">
        <v>4</v>
      </c>
      <c r="G555" s="243">
        <f t="shared" si="9"/>
        <v>63</v>
      </c>
      <c r="H555" s="244"/>
      <c r="I555" s="71" t="e">
        <f>IF(COUNTIF((rName rData),H555),"","Name Error!")</f>
        <v>#NAME?</v>
      </c>
    </row>
    <row r="556" spans="2:9" s="126" customFormat="1" ht="15" customHeight="1" x14ac:dyDescent="0.25">
      <c r="B556" s="271" t="s">
        <v>367</v>
      </c>
      <c r="C556" s="272" t="s">
        <v>366</v>
      </c>
      <c r="D556" s="275" t="s">
        <v>216</v>
      </c>
      <c r="E556" s="275">
        <v>41257.594861111109</v>
      </c>
      <c r="F556" s="276">
        <v>2</v>
      </c>
      <c r="G556" s="243">
        <f t="shared" si="9"/>
        <v>63</v>
      </c>
      <c r="H556" s="244"/>
      <c r="I556" s="71" t="e">
        <f>IF(COUNTIF((rName rData),H556),"","Name Error!")</f>
        <v>#NAME?</v>
      </c>
    </row>
    <row r="557" spans="2:9" s="126" customFormat="1" ht="15" customHeight="1" x14ac:dyDescent="0.25">
      <c r="B557" s="271" t="s">
        <v>352</v>
      </c>
      <c r="C557" s="272" t="s">
        <v>351</v>
      </c>
      <c r="D557" s="275" t="s">
        <v>216</v>
      </c>
      <c r="E557" s="275">
        <v>41257.595879629633</v>
      </c>
      <c r="F557" s="276">
        <v>4</v>
      </c>
      <c r="G557" s="243">
        <f t="shared" si="9"/>
        <v>63</v>
      </c>
      <c r="H557" s="244"/>
      <c r="I557" s="71" t="e">
        <f>IF(COUNTIF((rName rData),H557),"","Name Error!")</f>
        <v>#NAME?</v>
      </c>
    </row>
    <row r="558" spans="2:9" s="126" customFormat="1" ht="15" customHeight="1" x14ac:dyDescent="0.25">
      <c r="B558" s="271" t="s">
        <v>354</v>
      </c>
      <c r="C558" s="272" t="s">
        <v>353</v>
      </c>
      <c r="D558" s="275" t="s">
        <v>216</v>
      </c>
      <c r="E558" s="275">
        <v>41257.596655092595</v>
      </c>
      <c r="F558" s="276">
        <v>3</v>
      </c>
      <c r="G558" s="243">
        <f t="shared" si="9"/>
        <v>63</v>
      </c>
      <c r="H558" s="244"/>
      <c r="I558" s="71" t="e">
        <f>IF(COUNTIF((rName rData),H558),"","Name Error!")</f>
        <v>#NAME?</v>
      </c>
    </row>
    <row r="559" spans="2:9" s="126" customFormat="1" ht="15" customHeight="1" x14ac:dyDescent="0.25">
      <c r="B559" s="271" t="s">
        <v>350</v>
      </c>
      <c r="C559" s="272" t="s">
        <v>349</v>
      </c>
      <c r="D559" s="275" t="s">
        <v>216</v>
      </c>
      <c r="E559" s="275">
        <v>41257.600127314814</v>
      </c>
      <c r="F559" s="276">
        <v>2</v>
      </c>
      <c r="G559" s="243">
        <f t="shared" si="9"/>
        <v>63</v>
      </c>
      <c r="H559" s="244"/>
      <c r="I559" s="71" t="e">
        <f>IF(COUNTIF((rName rData),H559),"","Name Error!")</f>
        <v>#NAME?</v>
      </c>
    </row>
    <row r="560" spans="2:9" s="126" customFormat="1" ht="15" customHeight="1" x14ac:dyDescent="0.25">
      <c r="B560" s="271" t="s">
        <v>328</v>
      </c>
      <c r="C560" s="272" t="s">
        <v>327</v>
      </c>
      <c r="D560" s="275" t="s">
        <v>216</v>
      </c>
      <c r="E560" s="275">
        <v>41257.601053240738</v>
      </c>
      <c r="F560" s="276">
        <v>2</v>
      </c>
      <c r="G560" s="243">
        <f t="shared" si="9"/>
        <v>63</v>
      </c>
      <c r="H560" s="244"/>
      <c r="I560" s="71" t="e">
        <f>IF(COUNTIF((rName rData),H560),"","Name Error!")</f>
        <v>#NAME?</v>
      </c>
    </row>
    <row r="561" spans="2:9" s="126" customFormat="1" ht="15" customHeight="1" x14ac:dyDescent="0.25">
      <c r="B561" s="271" t="s">
        <v>345</v>
      </c>
      <c r="C561" s="272" t="s">
        <v>344</v>
      </c>
      <c r="D561" s="275" t="s">
        <v>216</v>
      </c>
      <c r="E561" s="275">
        <v>41257.602060185185</v>
      </c>
      <c r="F561" s="276">
        <v>3</v>
      </c>
      <c r="G561" s="243">
        <f t="shared" si="9"/>
        <v>63</v>
      </c>
      <c r="H561" s="244"/>
      <c r="I561" s="71" t="e">
        <f>IF(COUNTIF((rName rData),H561),"","Name Error!")</f>
        <v>#NAME?</v>
      </c>
    </row>
    <row r="562" spans="2:9" s="126" customFormat="1" ht="15" customHeight="1" x14ac:dyDescent="0.25">
      <c r="B562" s="271" t="s">
        <v>335</v>
      </c>
      <c r="C562" s="272" t="s">
        <v>334</v>
      </c>
      <c r="D562" s="275" t="s">
        <v>216</v>
      </c>
      <c r="E562" s="275">
        <v>41257.607951388891</v>
      </c>
      <c r="F562" s="276">
        <v>4</v>
      </c>
      <c r="G562" s="243">
        <f t="shared" si="9"/>
        <v>63</v>
      </c>
      <c r="H562" s="244"/>
      <c r="I562" s="71" t="e">
        <f>IF(COUNTIF((rName rData),H562),"","Name Error!")</f>
        <v>#NAME?</v>
      </c>
    </row>
    <row r="563" spans="2:9" s="126" customFormat="1" ht="15" customHeight="1" x14ac:dyDescent="0.25">
      <c r="B563" s="271" t="s">
        <v>333</v>
      </c>
      <c r="C563" s="272" t="s">
        <v>332</v>
      </c>
      <c r="D563" s="275" t="s">
        <v>216</v>
      </c>
      <c r="E563" s="275">
        <v>41257.612928240742</v>
      </c>
      <c r="F563" s="276">
        <v>2</v>
      </c>
      <c r="G563" s="243">
        <f t="shared" si="9"/>
        <v>63</v>
      </c>
      <c r="H563" s="244"/>
      <c r="I563" s="71" t="e">
        <f>IF(COUNTIF((rName rData),H563),"","Name Error!")</f>
        <v>#NAME?</v>
      </c>
    </row>
    <row r="564" spans="2:9" s="126" customFormat="1" ht="15" customHeight="1" x14ac:dyDescent="0.25">
      <c r="B564" s="271" t="s">
        <v>371</v>
      </c>
      <c r="C564" s="272" t="s">
        <v>370</v>
      </c>
      <c r="D564" s="275" t="s">
        <v>216</v>
      </c>
      <c r="E564" s="275">
        <v>41257.61440972222</v>
      </c>
      <c r="F564" s="276">
        <v>2</v>
      </c>
      <c r="G564" s="243">
        <f t="shared" si="9"/>
        <v>63</v>
      </c>
      <c r="H564" s="244"/>
      <c r="I564" s="71" t="e">
        <f>IF(COUNTIF((rName rData),H564),"","Name Error!")</f>
        <v>#NAME?</v>
      </c>
    </row>
    <row r="565" spans="2:9" s="126" customFormat="1" ht="15" customHeight="1" x14ac:dyDescent="0.25">
      <c r="B565" s="271" t="s">
        <v>320</v>
      </c>
      <c r="C565" s="272" t="s">
        <v>319</v>
      </c>
      <c r="D565" s="275" t="s">
        <v>216</v>
      </c>
      <c r="E565" s="275">
        <v>41257.643819444442</v>
      </c>
      <c r="F565" s="276">
        <v>2</v>
      </c>
      <c r="G565" s="243">
        <f t="shared" si="9"/>
        <v>63</v>
      </c>
      <c r="H565" s="244"/>
      <c r="I565" s="71" t="e">
        <f>IF(COUNTIF((rName rData),H565),"","Name Error!")</f>
        <v>#NAME?</v>
      </c>
    </row>
    <row r="566" spans="2:9" s="126" customFormat="1" ht="15" customHeight="1" x14ac:dyDescent="0.25">
      <c r="B566" s="271" t="s">
        <v>343</v>
      </c>
      <c r="C566" s="272" t="s">
        <v>342</v>
      </c>
      <c r="D566" s="275" t="s">
        <v>216</v>
      </c>
      <c r="E566" s="275">
        <v>41257.654756944445</v>
      </c>
      <c r="F566" s="276">
        <v>5</v>
      </c>
      <c r="G566" s="243">
        <f t="shared" si="9"/>
        <v>63</v>
      </c>
      <c r="H566" s="244"/>
      <c r="I566" s="71" t="e">
        <f>IF(COUNTIF((rName rData),H566),"","Name Error!")</f>
        <v>#NAME?</v>
      </c>
    </row>
    <row r="567" spans="2:9" s="126" customFormat="1" ht="15" customHeight="1" x14ac:dyDescent="0.25">
      <c r="B567" s="271" t="s">
        <v>358</v>
      </c>
      <c r="C567" s="272" t="s">
        <v>357</v>
      </c>
      <c r="D567" s="275" t="s">
        <v>216</v>
      </c>
      <c r="E567" s="275">
        <v>41257.694085648145</v>
      </c>
      <c r="F567" s="276">
        <v>2</v>
      </c>
      <c r="G567" s="243">
        <f t="shared" si="9"/>
        <v>63</v>
      </c>
      <c r="H567" s="244"/>
      <c r="I567" s="71" t="e">
        <f>IF(COUNTIF((rName rData),H567),"","Name Error!")</f>
        <v>#NAME?</v>
      </c>
    </row>
    <row r="568" spans="2:9" s="126" customFormat="1" ht="15" customHeight="1" x14ac:dyDescent="0.25">
      <c r="B568" s="271" t="s">
        <v>360</v>
      </c>
      <c r="C568" s="272" t="s">
        <v>359</v>
      </c>
      <c r="D568" s="275" t="s">
        <v>216</v>
      </c>
      <c r="E568" s="275">
        <v>41257.72865740741</v>
      </c>
      <c r="F568" s="276">
        <v>4</v>
      </c>
      <c r="G568" s="243">
        <f t="shared" si="9"/>
        <v>63</v>
      </c>
      <c r="H568" s="244"/>
      <c r="I568" s="71" t="e">
        <f>IF(COUNTIF((rName rData),H568),"","Name Error!")</f>
        <v>#NAME?</v>
      </c>
    </row>
    <row r="569" spans="2:9" s="126" customFormat="1" ht="15" customHeight="1" x14ac:dyDescent="0.25">
      <c r="B569" s="271" t="s">
        <v>365</v>
      </c>
      <c r="C569" s="272" t="s">
        <v>364</v>
      </c>
      <c r="D569" s="275" t="s">
        <v>216</v>
      </c>
      <c r="E569" s="275">
        <v>41257.872048611112</v>
      </c>
      <c r="F569" s="276">
        <v>1</v>
      </c>
      <c r="G569" s="243">
        <f t="shared" si="9"/>
        <v>63</v>
      </c>
      <c r="H569" s="244"/>
      <c r="I569" s="71" t="e">
        <f>IF(COUNTIF((rName rData),H569),"","Name Error!")</f>
        <v>#NAME?</v>
      </c>
    </row>
    <row r="570" spans="2:9" s="126" customFormat="1" ht="15" customHeight="1" x14ac:dyDescent="0.25">
      <c r="B570" s="271" t="s">
        <v>343</v>
      </c>
      <c r="C570" s="272" t="s">
        <v>342</v>
      </c>
      <c r="D570" s="275" t="s">
        <v>216</v>
      </c>
      <c r="E570" s="275">
        <v>41258.289629629631</v>
      </c>
      <c r="F570" s="276">
        <v>4</v>
      </c>
      <c r="G570" s="243">
        <f t="shared" si="9"/>
        <v>64</v>
      </c>
      <c r="H570" s="244"/>
      <c r="I570" s="71" t="e">
        <f>IF(COUNTIF((rName rData),H570),"","Name Error!")</f>
        <v>#NAME?</v>
      </c>
    </row>
    <row r="571" spans="2:9" s="126" customFormat="1" ht="15" customHeight="1" x14ac:dyDescent="0.25">
      <c r="B571" s="271" t="s">
        <v>367</v>
      </c>
      <c r="C571" s="272" t="s">
        <v>366</v>
      </c>
      <c r="D571" s="275" t="s">
        <v>216</v>
      </c>
      <c r="E571" s="275">
        <v>41258.330428240741</v>
      </c>
      <c r="F571" s="276">
        <v>1</v>
      </c>
      <c r="G571" s="243">
        <f t="shared" si="9"/>
        <v>64</v>
      </c>
      <c r="H571" s="244"/>
      <c r="I571" s="71" t="e">
        <f>IF(COUNTIF((rName rData),H571),"","Name Error!")</f>
        <v>#NAME?</v>
      </c>
    </row>
    <row r="572" spans="2:9" s="126" customFormat="1" ht="15" customHeight="1" x14ac:dyDescent="0.25">
      <c r="B572" s="271" t="s">
        <v>369</v>
      </c>
      <c r="C572" s="272" t="s">
        <v>368</v>
      </c>
      <c r="D572" s="275" t="s">
        <v>216</v>
      </c>
      <c r="E572" s="275">
        <v>41258.355949074074</v>
      </c>
      <c r="F572" s="276">
        <v>3</v>
      </c>
      <c r="G572" s="243">
        <f t="shared" si="9"/>
        <v>64</v>
      </c>
      <c r="H572" s="244"/>
      <c r="I572" s="71" t="e">
        <f>IF(COUNTIF((rName rData),H572),"","Name Error!")</f>
        <v>#NAME?</v>
      </c>
    </row>
    <row r="573" spans="2:9" s="126" customFormat="1" ht="15" customHeight="1" x14ac:dyDescent="0.25">
      <c r="B573" s="271" t="s">
        <v>331</v>
      </c>
      <c r="C573" s="272" t="s">
        <v>330</v>
      </c>
      <c r="D573" s="275" t="s">
        <v>216</v>
      </c>
      <c r="E573" s="275">
        <v>41258.382025462961</v>
      </c>
      <c r="F573" s="276">
        <v>4</v>
      </c>
      <c r="G573" s="243">
        <f t="shared" si="9"/>
        <v>64</v>
      </c>
      <c r="H573" s="244"/>
      <c r="I573" s="71" t="e">
        <f>IF(COUNTIF((rName rData),H573),"","Name Error!")</f>
        <v>#NAME?</v>
      </c>
    </row>
    <row r="574" spans="2:9" s="126" customFormat="1" ht="15" customHeight="1" x14ac:dyDescent="0.25">
      <c r="B574" s="271" t="s">
        <v>360</v>
      </c>
      <c r="C574" s="272" t="s">
        <v>359</v>
      </c>
      <c r="D574" s="275" t="s">
        <v>216</v>
      </c>
      <c r="E574" s="275">
        <v>41258.386597222219</v>
      </c>
      <c r="F574" s="276">
        <v>5</v>
      </c>
      <c r="G574" s="243">
        <f t="shared" si="9"/>
        <v>64</v>
      </c>
      <c r="H574" s="244"/>
      <c r="I574" s="71" t="e">
        <f>IF(COUNTIF((rName rData),H574),"","Name Error!")</f>
        <v>#NAME?</v>
      </c>
    </row>
    <row r="575" spans="2:9" s="126" customFormat="1" ht="15" customHeight="1" x14ac:dyDescent="0.25">
      <c r="B575" s="271" t="s">
        <v>356</v>
      </c>
      <c r="C575" s="272" t="s">
        <v>355</v>
      </c>
      <c r="D575" s="275" t="s">
        <v>216</v>
      </c>
      <c r="E575" s="275">
        <v>41258.417187500003</v>
      </c>
      <c r="F575" s="276">
        <v>2</v>
      </c>
      <c r="G575" s="243">
        <f t="shared" si="9"/>
        <v>64</v>
      </c>
      <c r="H575" s="244"/>
      <c r="I575" s="71" t="e">
        <f>IF(COUNTIF((rName rData),H575),"","Name Error!")</f>
        <v>#NAME?</v>
      </c>
    </row>
    <row r="576" spans="2:9" s="126" customFormat="1" ht="15" customHeight="1" x14ac:dyDescent="0.25">
      <c r="B576" s="271" t="s">
        <v>362</v>
      </c>
      <c r="C576" s="272" t="s">
        <v>361</v>
      </c>
      <c r="D576" s="275" t="s">
        <v>216</v>
      </c>
      <c r="E576" s="275">
        <v>41258.417430555557</v>
      </c>
      <c r="F576" s="276">
        <v>2</v>
      </c>
      <c r="G576" s="243">
        <f t="shared" si="9"/>
        <v>64</v>
      </c>
      <c r="H576" s="244"/>
      <c r="I576" s="71" t="e">
        <f>IF(COUNTIF((rName rData),H576),"","Name Error!")</f>
        <v>#NAME?</v>
      </c>
    </row>
    <row r="577" spans="2:9" s="126" customFormat="1" ht="15" customHeight="1" x14ac:dyDescent="0.25">
      <c r="B577" s="271" t="s">
        <v>322</v>
      </c>
      <c r="C577" s="272" t="s">
        <v>321</v>
      </c>
      <c r="D577" s="275" t="s">
        <v>216</v>
      </c>
      <c r="E577" s="275">
        <v>41258.420046296298</v>
      </c>
      <c r="F577" s="276">
        <v>3</v>
      </c>
      <c r="G577" s="243">
        <f t="shared" si="9"/>
        <v>64</v>
      </c>
      <c r="H577" s="244"/>
      <c r="I577" s="71" t="e">
        <f>IF(COUNTIF((rName rData),H577),"","Name Error!")</f>
        <v>#NAME?</v>
      </c>
    </row>
    <row r="578" spans="2:9" s="126" customFormat="1" ht="15" customHeight="1" x14ac:dyDescent="0.25">
      <c r="B578" s="271" t="s">
        <v>324</v>
      </c>
      <c r="C578" s="272" t="s">
        <v>323</v>
      </c>
      <c r="D578" s="275" t="s">
        <v>216</v>
      </c>
      <c r="E578" s="275">
        <v>41258.456643518519</v>
      </c>
      <c r="F578" s="276">
        <v>1</v>
      </c>
      <c r="G578" s="243">
        <f t="shared" si="9"/>
        <v>64</v>
      </c>
      <c r="H578" s="244"/>
      <c r="I578" s="71" t="e">
        <f>IF(COUNTIF((rName rData),H578),"","Name Error!")</f>
        <v>#NAME?</v>
      </c>
    </row>
    <row r="579" spans="2:9" s="126" customFormat="1" ht="15" customHeight="1" x14ac:dyDescent="0.25">
      <c r="B579" s="271" t="s">
        <v>352</v>
      </c>
      <c r="C579" s="272" t="s">
        <v>351</v>
      </c>
      <c r="D579" s="275" t="s">
        <v>216</v>
      </c>
      <c r="E579" s="275">
        <v>41258.457071759258</v>
      </c>
      <c r="F579" s="276">
        <v>4</v>
      </c>
      <c r="G579" s="243">
        <f t="shared" si="9"/>
        <v>64</v>
      </c>
      <c r="H579" s="244"/>
      <c r="I579" s="71" t="e">
        <f>IF(COUNTIF((rName rData),H579),"","Name Error!")</f>
        <v>#NAME?</v>
      </c>
    </row>
    <row r="580" spans="2:9" s="126" customFormat="1" ht="15" customHeight="1" x14ac:dyDescent="0.25">
      <c r="B580" s="271" t="s">
        <v>267</v>
      </c>
      <c r="C580" s="272" t="s">
        <v>268</v>
      </c>
      <c r="D580" s="275" t="s">
        <v>216</v>
      </c>
      <c r="E580" s="275">
        <v>41258.457129629627</v>
      </c>
      <c r="F580" s="276">
        <v>2</v>
      </c>
      <c r="G580" s="243">
        <f t="shared" si="9"/>
        <v>64</v>
      </c>
      <c r="H580" s="244"/>
      <c r="I580" s="71" t="e">
        <f>IF(COUNTIF((rName rData),H580),"","Name Error!")</f>
        <v>#NAME?</v>
      </c>
    </row>
    <row r="581" spans="2:9" s="126" customFormat="1" ht="15" customHeight="1" x14ac:dyDescent="0.25">
      <c r="B581" s="271" t="s">
        <v>358</v>
      </c>
      <c r="C581" s="272" t="s">
        <v>357</v>
      </c>
      <c r="D581" s="275" t="s">
        <v>216</v>
      </c>
      <c r="E581" s="275">
        <v>41258.457719907405</v>
      </c>
      <c r="F581" s="276">
        <v>2</v>
      </c>
      <c r="G581" s="243">
        <f t="shared" si="9"/>
        <v>64</v>
      </c>
      <c r="H581" s="244"/>
      <c r="I581" s="71" t="e">
        <f>IF(COUNTIF((rName rData),H581),"","Name Error!")</f>
        <v>#NAME?</v>
      </c>
    </row>
    <row r="582" spans="2:9" s="126" customFormat="1" ht="15" customHeight="1" x14ac:dyDescent="0.25">
      <c r="B582" s="271" t="s">
        <v>341</v>
      </c>
      <c r="C582" s="272" t="s">
        <v>340</v>
      </c>
      <c r="D582" s="275" t="s">
        <v>216</v>
      </c>
      <c r="E582" s="275">
        <v>41258.458761574075</v>
      </c>
      <c r="F582" s="276">
        <v>2</v>
      </c>
      <c r="G582" s="243">
        <f t="shared" si="9"/>
        <v>64</v>
      </c>
      <c r="H582" s="244"/>
      <c r="I582" s="71" t="e">
        <f>IF(COUNTIF((rName rData),H582),"","Name Error!")</f>
        <v>#NAME?</v>
      </c>
    </row>
    <row r="583" spans="2:9" s="126" customFormat="1" ht="15" customHeight="1" x14ac:dyDescent="0.25">
      <c r="B583" s="271" t="s">
        <v>345</v>
      </c>
      <c r="C583" s="272" t="s">
        <v>344</v>
      </c>
      <c r="D583" s="275" t="s">
        <v>216</v>
      </c>
      <c r="E583" s="275">
        <v>41258.459189814814</v>
      </c>
      <c r="F583" s="276">
        <v>1</v>
      </c>
      <c r="G583" s="243">
        <f t="shared" si="9"/>
        <v>64</v>
      </c>
      <c r="H583" s="244"/>
      <c r="I583" s="71" t="e">
        <f>IF(COUNTIF((rName rData),H583),"","Name Error!")</f>
        <v>#NAME?</v>
      </c>
    </row>
    <row r="584" spans="2:9" s="126" customFormat="1" ht="15" customHeight="1" x14ac:dyDescent="0.25">
      <c r="B584" s="271" t="s">
        <v>328</v>
      </c>
      <c r="C584" s="272" t="s">
        <v>327</v>
      </c>
      <c r="D584" s="275" t="s">
        <v>216</v>
      </c>
      <c r="E584" s="275">
        <v>41258.462604166663</v>
      </c>
      <c r="F584" s="276">
        <v>3</v>
      </c>
      <c r="G584" s="243">
        <f t="shared" si="9"/>
        <v>64</v>
      </c>
      <c r="H584" s="244"/>
      <c r="I584" s="71" t="e">
        <f>IF(COUNTIF((rName rData),H584),"","Name Error!")</f>
        <v>#NAME?</v>
      </c>
    </row>
    <row r="585" spans="2:9" s="126" customFormat="1" ht="15" customHeight="1" x14ac:dyDescent="0.25">
      <c r="B585" s="271" t="s">
        <v>350</v>
      </c>
      <c r="C585" s="272" t="s">
        <v>349</v>
      </c>
      <c r="D585" s="275" t="s">
        <v>216</v>
      </c>
      <c r="E585" s="275">
        <v>41258.46435185185</v>
      </c>
      <c r="F585" s="276">
        <v>2</v>
      </c>
      <c r="G585" s="243">
        <f t="shared" si="9"/>
        <v>64</v>
      </c>
      <c r="H585" s="244"/>
      <c r="I585" s="71" t="e">
        <f>IF(COUNTIF((rName rData),H585),"","Name Error!")</f>
        <v>#NAME?</v>
      </c>
    </row>
    <row r="586" spans="2:9" s="126" customFormat="1" ht="15" customHeight="1" x14ac:dyDescent="0.25">
      <c r="B586" s="271" t="s">
        <v>339</v>
      </c>
      <c r="C586" s="272" t="s">
        <v>338</v>
      </c>
      <c r="D586" s="275" t="s">
        <v>216</v>
      </c>
      <c r="E586" s="275">
        <v>41258.466493055559</v>
      </c>
      <c r="F586" s="276">
        <v>3</v>
      </c>
      <c r="G586" s="243">
        <f t="shared" ref="G586:G649" si="10">TRUNC((E586-start)/7)+1</f>
        <v>64</v>
      </c>
      <c r="H586" s="244"/>
      <c r="I586" s="71" t="e">
        <f>IF(COUNTIF((rName rData),H586),"","Name Error!")</f>
        <v>#NAME?</v>
      </c>
    </row>
    <row r="587" spans="2:9" s="126" customFormat="1" ht="15" customHeight="1" x14ac:dyDescent="0.25">
      <c r="B587" s="271" t="s">
        <v>354</v>
      </c>
      <c r="C587" s="272" t="s">
        <v>353</v>
      </c>
      <c r="D587" s="275" t="s">
        <v>216</v>
      </c>
      <c r="E587" s="275">
        <v>41258.475706018522</v>
      </c>
      <c r="F587" s="276">
        <v>3</v>
      </c>
      <c r="G587" s="243">
        <f t="shared" si="10"/>
        <v>64</v>
      </c>
      <c r="H587" s="244"/>
      <c r="I587" s="71" t="e">
        <f>IF(COUNTIF((rName rData),H587),"","Name Error!")</f>
        <v>#NAME?</v>
      </c>
    </row>
    <row r="588" spans="2:9" s="126" customFormat="1" ht="15" customHeight="1" x14ac:dyDescent="0.25">
      <c r="B588" s="271" t="s">
        <v>326</v>
      </c>
      <c r="C588" s="272" t="s">
        <v>325</v>
      </c>
      <c r="D588" s="275" t="s">
        <v>216</v>
      </c>
      <c r="E588" s="275">
        <v>41258.476400462961</v>
      </c>
      <c r="F588" s="276">
        <v>1</v>
      </c>
      <c r="G588" s="243">
        <f t="shared" si="10"/>
        <v>64</v>
      </c>
      <c r="H588" s="244"/>
      <c r="I588" s="71" t="e">
        <f>IF(COUNTIF((rName rData),H588),"","Name Error!")</f>
        <v>#NAME?</v>
      </c>
    </row>
    <row r="589" spans="2:9" s="126" customFormat="1" ht="15" customHeight="1" x14ac:dyDescent="0.25">
      <c r="B589" s="271" t="s">
        <v>279</v>
      </c>
      <c r="C589" s="272" t="s">
        <v>280</v>
      </c>
      <c r="D589" s="275" t="s">
        <v>216</v>
      </c>
      <c r="E589" s="275">
        <v>41258.491469907407</v>
      </c>
      <c r="F589" s="276">
        <v>1</v>
      </c>
      <c r="G589" s="243">
        <f t="shared" si="10"/>
        <v>64</v>
      </c>
      <c r="H589" s="244"/>
      <c r="I589" s="71" t="e">
        <f>IF(COUNTIF((rName rData),H589),"","Name Error!")</f>
        <v>#NAME?</v>
      </c>
    </row>
    <row r="590" spans="2:9" s="126" customFormat="1" ht="15" customHeight="1" x14ac:dyDescent="0.25">
      <c r="B590" s="271" t="s">
        <v>371</v>
      </c>
      <c r="C590" s="272" t="s">
        <v>370</v>
      </c>
      <c r="D590" s="275" t="s">
        <v>216</v>
      </c>
      <c r="E590" s="275">
        <v>41258.516458333332</v>
      </c>
      <c r="F590" s="276">
        <v>1</v>
      </c>
      <c r="G590" s="243">
        <f t="shared" si="10"/>
        <v>64</v>
      </c>
      <c r="H590" s="244"/>
      <c r="I590" s="71" t="e">
        <f>IF(COUNTIF((rName rData),H590),"","Name Error!")</f>
        <v>#NAME?</v>
      </c>
    </row>
    <row r="591" spans="2:9" s="126" customFormat="1" ht="15" customHeight="1" x14ac:dyDescent="0.25">
      <c r="B591" s="271" t="s">
        <v>333</v>
      </c>
      <c r="C591" s="272" t="s">
        <v>332</v>
      </c>
      <c r="D591" s="275" t="s">
        <v>216</v>
      </c>
      <c r="E591" s="275">
        <v>41258.671087962961</v>
      </c>
      <c r="F591" s="276">
        <v>2</v>
      </c>
      <c r="G591" s="243">
        <f t="shared" si="10"/>
        <v>64</v>
      </c>
      <c r="H591" s="244"/>
      <c r="I591" s="71" t="e">
        <f>IF(COUNTIF((rName rData),H591),"","Name Error!")</f>
        <v>#NAME?</v>
      </c>
    </row>
    <row r="592" spans="2:9" s="126" customFormat="1" ht="15" customHeight="1" x14ac:dyDescent="0.25">
      <c r="B592" s="271" t="s">
        <v>320</v>
      </c>
      <c r="C592" s="272" t="s">
        <v>319</v>
      </c>
      <c r="D592" s="275" t="s">
        <v>216</v>
      </c>
      <c r="E592" s="275">
        <v>41258.696006944447</v>
      </c>
      <c r="F592" s="276">
        <v>1</v>
      </c>
      <c r="G592" s="243">
        <f t="shared" si="10"/>
        <v>64</v>
      </c>
      <c r="H592" s="244"/>
      <c r="I592" s="71" t="e">
        <f>IF(COUNTIF((rName rData),H592),"","Name Error!")</f>
        <v>#NAME?</v>
      </c>
    </row>
    <row r="593" spans="2:9" s="126" customFormat="1" ht="15" customHeight="1" x14ac:dyDescent="0.25">
      <c r="B593" s="271" t="s">
        <v>360</v>
      </c>
      <c r="C593" s="272" t="s">
        <v>359</v>
      </c>
      <c r="D593" s="275" t="s">
        <v>216</v>
      </c>
      <c r="E593" s="275">
        <v>41259.001747685186</v>
      </c>
      <c r="F593" s="276">
        <v>5</v>
      </c>
      <c r="G593" s="243">
        <f t="shared" si="10"/>
        <v>64</v>
      </c>
      <c r="H593" s="244"/>
      <c r="I593" s="71" t="e">
        <f>IF(COUNTIF((rName rData),H593),"","Name Error!")</f>
        <v>#NAME?</v>
      </c>
    </row>
    <row r="594" spans="2:9" s="126" customFormat="1" ht="15" customHeight="1" x14ac:dyDescent="0.25">
      <c r="B594" s="271" t="s">
        <v>339</v>
      </c>
      <c r="C594" s="272" t="s">
        <v>338</v>
      </c>
      <c r="D594" s="275" t="s">
        <v>216</v>
      </c>
      <c r="E594" s="275">
        <v>41259.081354166665</v>
      </c>
      <c r="F594" s="276">
        <v>3</v>
      </c>
      <c r="G594" s="243">
        <f t="shared" si="10"/>
        <v>64</v>
      </c>
      <c r="H594" s="244"/>
      <c r="I594" s="71" t="e">
        <f>IF(COUNTIF((rName rData),H594),"","Name Error!")</f>
        <v>#NAME?</v>
      </c>
    </row>
    <row r="595" spans="2:9" s="126" customFormat="1" ht="15" customHeight="1" x14ac:dyDescent="0.25">
      <c r="B595" s="271" t="s">
        <v>345</v>
      </c>
      <c r="C595" s="272" t="s">
        <v>344</v>
      </c>
      <c r="D595" s="275" t="s">
        <v>216</v>
      </c>
      <c r="E595" s="275">
        <v>41259.117523148147</v>
      </c>
      <c r="F595" s="276">
        <v>4</v>
      </c>
      <c r="G595" s="243">
        <f t="shared" si="10"/>
        <v>64</v>
      </c>
      <c r="H595" s="244"/>
      <c r="I595" s="71" t="e">
        <f>IF(COUNTIF((rName rData),H595),"","Name Error!")</f>
        <v>#NAME?</v>
      </c>
    </row>
    <row r="596" spans="2:9" s="126" customFormat="1" ht="15" customHeight="1" x14ac:dyDescent="0.25">
      <c r="B596" s="271" t="s">
        <v>371</v>
      </c>
      <c r="C596" s="272" t="s">
        <v>370</v>
      </c>
      <c r="D596" s="275" t="s">
        <v>216</v>
      </c>
      <c r="E596" s="275">
        <v>41259.130162037036</v>
      </c>
      <c r="F596" s="276">
        <v>2</v>
      </c>
      <c r="G596" s="243">
        <f t="shared" si="10"/>
        <v>64</v>
      </c>
      <c r="H596" s="244"/>
      <c r="I596" s="71" t="e">
        <f>IF(COUNTIF((rName rData),H596),"","Name Error!")</f>
        <v>#NAME?</v>
      </c>
    </row>
    <row r="597" spans="2:9" s="126" customFormat="1" ht="15" customHeight="1" x14ac:dyDescent="0.25">
      <c r="B597" s="271" t="s">
        <v>335</v>
      </c>
      <c r="C597" s="272" t="s">
        <v>334</v>
      </c>
      <c r="D597" s="275" t="s">
        <v>216</v>
      </c>
      <c r="E597" s="275">
        <v>41259.132870370369</v>
      </c>
      <c r="F597" s="276">
        <v>4</v>
      </c>
      <c r="G597" s="243">
        <f t="shared" si="10"/>
        <v>64</v>
      </c>
      <c r="H597" s="244"/>
      <c r="I597" s="71" t="e">
        <f>IF(COUNTIF((rName rData),H597),"","Name Error!")</f>
        <v>#NAME?</v>
      </c>
    </row>
    <row r="598" spans="2:9" s="126" customFormat="1" ht="15" customHeight="1" x14ac:dyDescent="0.25">
      <c r="B598" s="271" t="s">
        <v>267</v>
      </c>
      <c r="C598" s="272" t="s">
        <v>268</v>
      </c>
      <c r="D598" s="275" t="s">
        <v>216</v>
      </c>
      <c r="E598" s="275">
        <v>41259.229270833333</v>
      </c>
      <c r="F598" s="276">
        <v>5</v>
      </c>
      <c r="G598" s="243">
        <f t="shared" si="10"/>
        <v>64</v>
      </c>
      <c r="H598" s="244"/>
      <c r="I598" s="71" t="e">
        <f>IF(COUNTIF((rName rData),H598),"","Name Error!")</f>
        <v>#NAME?</v>
      </c>
    </row>
    <row r="599" spans="2:9" s="126" customFormat="1" ht="15" customHeight="1" x14ac:dyDescent="0.25">
      <c r="B599" s="271" t="s">
        <v>352</v>
      </c>
      <c r="C599" s="272" t="s">
        <v>351</v>
      </c>
      <c r="D599" s="275" t="s">
        <v>216</v>
      </c>
      <c r="E599" s="275">
        <v>41259.336342592593</v>
      </c>
      <c r="F599" s="276">
        <v>2</v>
      </c>
      <c r="G599" s="243">
        <f t="shared" si="10"/>
        <v>64</v>
      </c>
      <c r="H599" s="244"/>
      <c r="I599" s="71" t="e">
        <f>IF(COUNTIF((rName rData),H599),"","Name Error!")</f>
        <v>#NAME?</v>
      </c>
    </row>
    <row r="600" spans="2:9" s="126" customFormat="1" ht="15" customHeight="1" x14ac:dyDescent="0.25">
      <c r="B600" s="271" t="s">
        <v>369</v>
      </c>
      <c r="C600" s="272" t="s">
        <v>368</v>
      </c>
      <c r="D600" s="275" t="s">
        <v>216</v>
      </c>
      <c r="E600" s="275">
        <v>41259.368472222224</v>
      </c>
      <c r="F600" s="276">
        <v>3</v>
      </c>
      <c r="G600" s="243">
        <f t="shared" si="10"/>
        <v>64</v>
      </c>
      <c r="H600" s="244"/>
      <c r="I600" s="71" t="e">
        <f>IF(COUNTIF((rName rData),H600),"","Name Error!")</f>
        <v>#NAME?</v>
      </c>
    </row>
    <row r="601" spans="2:9" s="126" customFormat="1" ht="15" customHeight="1" x14ac:dyDescent="0.25">
      <c r="B601" s="271" t="s">
        <v>337</v>
      </c>
      <c r="C601" s="272" t="s">
        <v>336</v>
      </c>
      <c r="D601" s="275" t="s">
        <v>216</v>
      </c>
      <c r="E601" s="275">
        <v>41259.388194444444</v>
      </c>
      <c r="F601" s="276">
        <v>2</v>
      </c>
      <c r="G601" s="243">
        <f t="shared" si="10"/>
        <v>64</v>
      </c>
      <c r="H601" s="244"/>
      <c r="I601" s="71" t="e">
        <f>IF(COUNTIF((rName rData),H601),"","Name Error!")</f>
        <v>#NAME?</v>
      </c>
    </row>
    <row r="602" spans="2:9" s="126" customFormat="1" ht="15" customHeight="1" x14ac:dyDescent="0.25">
      <c r="B602" s="271" t="s">
        <v>343</v>
      </c>
      <c r="C602" s="272" t="s">
        <v>342</v>
      </c>
      <c r="D602" s="275" t="s">
        <v>216</v>
      </c>
      <c r="E602" s="275">
        <v>41259.404537037037</v>
      </c>
      <c r="F602" s="276">
        <v>5</v>
      </c>
      <c r="G602" s="243">
        <f t="shared" si="10"/>
        <v>64</v>
      </c>
      <c r="H602" s="244"/>
      <c r="I602" s="71" t="e">
        <f>IF(COUNTIF((rName rData),H602),"","Name Error!")</f>
        <v>#NAME?</v>
      </c>
    </row>
    <row r="603" spans="2:9" s="126" customFormat="1" ht="15" customHeight="1" x14ac:dyDescent="0.25">
      <c r="B603" s="271" t="s">
        <v>324</v>
      </c>
      <c r="C603" s="272" t="s">
        <v>323</v>
      </c>
      <c r="D603" s="275" t="s">
        <v>216</v>
      </c>
      <c r="E603" s="275">
        <v>41259.404895833337</v>
      </c>
      <c r="F603" s="276">
        <v>5</v>
      </c>
      <c r="G603" s="243">
        <f t="shared" si="10"/>
        <v>64</v>
      </c>
      <c r="H603" s="244"/>
      <c r="I603" s="71" t="e">
        <f>IF(COUNTIF((rName rData),H603),"","Name Error!")</f>
        <v>#NAME?</v>
      </c>
    </row>
    <row r="604" spans="2:9" s="126" customFormat="1" ht="15" customHeight="1" x14ac:dyDescent="0.25">
      <c r="B604" s="271" t="s">
        <v>362</v>
      </c>
      <c r="C604" s="272" t="s">
        <v>361</v>
      </c>
      <c r="D604" s="275" t="s">
        <v>216</v>
      </c>
      <c r="E604" s="275">
        <v>41259.406805555554</v>
      </c>
      <c r="F604" s="276">
        <v>5</v>
      </c>
      <c r="G604" s="243">
        <f t="shared" si="10"/>
        <v>64</v>
      </c>
      <c r="H604" s="244"/>
      <c r="I604" s="71" t="e">
        <f>IF(COUNTIF((rName rData),H604),"","Name Error!")</f>
        <v>#NAME?</v>
      </c>
    </row>
    <row r="605" spans="2:9" s="126" customFormat="1" ht="15" customHeight="1" x14ac:dyDescent="0.25">
      <c r="B605" s="271" t="s">
        <v>358</v>
      </c>
      <c r="C605" s="272" t="s">
        <v>357</v>
      </c>
      <c r="D605" s="275" t="s">
        <v>216</v>
      </c>
      <c r="E605" s="275">
        <v>41259.412199074075</v>
      </c>
      <c r="F605" s="276">
        <v>2</v>
      </c>
      <c r="G605" s="243">
        <f t="shared" si="10"/>
        <v>64</v>
      </c>
      <c r="H605" s="244"/>
      <c r="I605" s="71" t="e">
        <f>IF(COUNTIF((rName rData),H605),"","Name Error!")</f>
        <v>#NAME?</v>
      </c>
    </row>
    <row r="606" spans="2:9" s="126" customFormat="1" ht="15" customHeight="1" x14ac:dyDescent="0.25">
      <c r="B606" s="271" t="s">
        <v>328</v>
      </c>
      <c r="C606" s="272" t="s">
        <v>327</v>
      </c>
      <c r="D606" s="275" t="s">
        <v>216</v>
      </c>
      <c r="E606" s="275">
        <v>41259.413240740738</v>
      </c>
      <c r="F606" s="276">
        <v>3</v>
      </c>
      <c r="G606" s="243">
        <f t="shared" si="10"/>
        <v>64</v>
      </c>
      <c r="H606" s="244"/>
      <c r="I606" s="71" t="e">
        <f>IF(COUNTIF((rName rData),H606),"","Name Error!")</f>
        <v>#NAME?</v>
      </c>
    </row>
    <row r="607" spans="2:9" s="126" customFormat="1" ht="15" customHeight="1" x14ac:dyDescent="0.25">
      <c r="B607" s="271" t="s">
        <v>326</v>
      </c>
      <c r="C607" s="272" t="s">
        <v>325</v>
      </c>
      <c r="D607" s="275" t="s">
        <v>216</v>
      </c>
      <c r="E607" s="275">
        <v>41259.413425925923</v>
      </c>
      <c r="F607" s="276">
        <v>4</v>
      </c>
      <c r="G607" s="243">
        <f t="shared" si="10"/>
        <v>64</v>
      </c>
      <c r="H607" s="244"/>
      <c r="I607" s="71" t="e">
        <f>IF(COUNTIF((rName rData),H607),"","Name Error!")</f>
        <v>#NAME?</v>
      </c>
    </row>
    <row r="608" spans="2:9" s="126" customFormat="1" ht="15" customHeight="1" x14ac:dyDescent="0.25">
      <c r="B608" s="271" t="s">
        <v>350</v>
      </c>
      <c r="C608" s="272" t="s">
        <v>349</v>
      </c>
      <c r="D608" s="275" t="s">
        <v>216</v>
      </c>
      <c r="E608" s="275">
        <v>41259.417696759258</v>
      </c>
      <c r="F608" s="276">
        <v>3</v>
      </c>
      <c r="G608" s="243">
        <f t="shared" si="10"/>
        <v>64</v>
      </c>
      <c r="H608" s="244"/>
      <c r="I608" s="71" t="e">
        <f>IF(COUNTIF((rName rData),H608),"","Name Error!")</f>
        <v>#NAME?</v>
      </c>
    </row>
    <row r="609" spans="2:9" s="126" customFormat="1" ht="15" customHeight="1" x14ac:dyDescent="0.25">
      <c r="B609" s="271" t="s">
        <v>365</v>
      </c>
      <c r="C609" s="272" t="s">
        <v>364</v>
      </c>
      <c r="D609" s="275" t="s">
        <v>216</v>
      </c>
      <c r="E609" s="275">
        <v>41259.458715277775</v>
      </c>
      <c r="F609" s="276">
        <v>2</v>
      </c>
      <c r="G609" s="243">
        <f t="shared" si="10"/>
        <v>64</v>
      </c>
      <c r="H609" s="244"/>
      <c r="I609" s="71" t="e">
        <f>IF(COUNTIF((rName rData),H609),"","Name Error!")</f>
        <v>#NAME?</v>
      </c>
    </row>
    <row r="610" spans="2:9" s="126" customFormat="1" ht="15" customHeight="1" x14ac:dyDescent="0.25">
      <c r="B610" s="271" t="s">
        <v>354</v>
      </c>
      <c r="C610" s="272" t="s">
        <v>353</v>
      </c>
      <c r="D610" s="275" t="s">
        <v>216</v>
      </c>
      <c r="E610" s="275">
        <v>41259.463275462964</v>
      </c>
      <c r="F610" s="276">
        <v>4</v>
      </c>
      <c r="G610" s="243">
        <f t="shared" si="10"/>
        <v>64</v>
      </c>
      <c r="H610" s="244"/>
      <c r="I610" s="71" t="e">
        <f>IF(COUNTIF((rName rData),H610),"","Name Error!")</f>
        <v>#NAME?</v>
      </c>
    </row>
    <row r="611" spans="2:9" s="126" customFormat="1" ht="15" customHeight="1" x14ac:dyDescent="0.25">
      <c r="B611" s="271" t="s">
        <v>322</v>
      </c>
      <c r="C611" s="272" t="s">
        <v>321</v>
      </c>
      <c r="D611" s="275" t="s">
        <v>216</v>
      </c>
      <c r="E611" s="275">
        <v>41259.470185185186</v>
      </c>
      <c r="F611" s="276">
        <v>4</v>
      </c>
      <c r="G611" s="243">
        <f t="shared" si="10"/>
        <v>64</v>
      </c>
      <c r="H611" s="244"/>
      <c r="I611" s="71" t="e">
        <f>IF(COUNTIF((rName rData),H611),"","Name Error!")</f>
        <v>#NAME?</v>
      </c>
    </row>
    <row r="612" spans="2:9" s="126" customFormat="1" ht="15" customHeight="1" x14ac:dyDescent="0.25">
      <c r="B612" s="271" t="s">
        <v>331</v>
      </c>
      <c r="C612" s="272" t="s">
        <v>330</v>
      </c>
      <c r="D612" s="275" t="s">
        <v>216</v>
      </c>
      <c r="E612" s="275">
        <v>41259.485798611109</v>
      </c>
      <c r="F612" s="276">
        <v>5</v>
      </c>
      <c r="G612" s="243">
        <f t="shared" si="10"/>
        <v>64</v>
      </c>
      <c r="H612" s="244"/>
      <c r="I612" s="71" t="e">
        <f>IF(COUNTIF((rName rData),H612),"","Name Error!")</f>
        <v>#NAME?</v>
      </c>
    </row>
    <row r="613" spans="2:9" s="126" customFormat="1" ht="15" customHeight="1" x14ac:dyDescent="0.25">
      <c r="B613" s="271" t="s">
        <v>279</v>
      </c>
      <c r="C613" s="272" t="s">
        <v>280</v>
      </c>
      <c r="D613" s="275" t="s">
        <v>216</v>
      </c>
      <c r="E613" s="275">
        <v>41259.541319444441</v>
      </c>
      <c r="F613" s="276">
        <v>3</v>
      </c>
      <c r="G613" s="243">
        <f t="shared" si="10"/>
        <v>64</v>
      </c>
      <c r="H613" s="244"/>
      <c r="I613" s="71" t="e">
        <f>IF(COUNTIF((rName rData),H613),"","Name Error!")</f>
        <v>#NAME?</v>
      </c>
    </row>
    <row r="614" spans="2:9" s="126" customFormat="1" ht="15" customHeight="1" x14ac:dyDescent="0.25">
      <c r="B614" s="271" t="s">
        <v>356</v>
      </c>
      <c r="C614" s="272" t="s">
        <v>355</v>
      </c>
      <c r="D614" s="275" t="s">
        <v>216</v>
      </c>
      <c r="E614" s="275">
        <v>41259.595370370371</v>
      </c>
      <c r="F614" s="276">
        <v>2</v>
      </c>
      <c r="G614" s="243">
        <f t="shared" si="10"/>
        <v>64</v>
      </c>
      <c r="H614" s="244"/>
      <c r="I614" s="71" t="e">
        <f>IF(COUNTIF((rName rData),H614),"","Name Error!")</f>
        <v>#NAME?</v>
      </c>
    </row>
    <row r="615" spans="2:9" s="126" customFormat="1" ht="15" customHeight="1" x14ac:dyDescent="0.25">
      <c r="B615" s="271" t="s">
        <v>341</v>
      </c>
      <c r="C615" s="272" t="s">
        <v>340</v>
      </c>
      <c r="D615" s="275" t="s">
        <v>216</v>
      </c>
      <c r="E615" s="275">
        <v>41259.651516203703</v>
      </c>
      <c r="F615" s="276">
        <v>3</v>
      </c>
      <c r="G615" s="243">
        <f t="shared" si="10"/>
        <v>64</v>
      </c>
      <c r="H615" s="244"/>
      <c r="I615" s="71" t="e">
        <f>IF(COUNTIF((rName rData),H615),"","Name Error!")</f>
        <v>#NAME?</v>
      </c>
    </row>
    <row r="616" spans="2:9" s="126" customFormat="1" ht="15" customHeight="1" x14ac:dyDescent="0.25">
      <c r="B616" s="271" t="s">
        <v>320</v>
      </c>
      <c r="C616" s="272" t="s">
        <v>319</v>
      </c>
      <c r="D616" s="275" t="s">
        <v>216</v>
      </c>
      <c r="E616" s="275">
        <v>41259.739930555559</v>
      </c>
      <c r="F616" s="276">
        <v>1</v>
      </c>
      <c r="G616" s="243">
        <f t="shared" si="10"/>
        <v>64</v>
      </c>
      <c r="H616" s="244"/>
      <c r="I616" s="71" t="e">
        <f>IF(COUNTIF((rName rData),H616),"","Name Error!")</f>
        <v>#NAME?</v>
      </c>
    </row>
    <row r="617" spans="2:9" s="126" customFormat="1" ht="15" customHeight="1" x14ac:dyDescent="0.25">
      <c r="B617" s="271" t="s">
        <v>367</v>
      </c>
      <c r="C617" s="272" t="s">
        <v>366</v>
      </c>
      <c r="D617" s="275" t="s">
        <v>216</v>
      </c>
      <c r="E617" s="275">
        <v>41259.86209490741</v>
      </c>
      <c r="F617" s="276">
        <v>1</v>
      </c>
      <c r="G617" s="243">
        <f t="shared" si="10"/>
        <v>64</v>
      </c>
      <c r="H617" s="244"/>
      <c r="I617" s="71" t="e">
        <f>IF(COUNTIF((rName rData),H617),"","Name Error!")</f>
        <v>#NAME?</v>
      </c>
    </row>
    <row r="618" spans="2:9" s="126" customFormat="1" ht="15" customHeight="1" x14ac:dyDescent="0.25">
      <c r="B618" s="271" t="s">
        <v>337</v>
      </c>
      <c r="C618" s="272" t="s">
        <v>336</v>
      </c>
      <c r="D618" s="275" t="s">
        <v>216</v>
      </c>
      <c r="E618" s="275">
        <v>41260.000428240739</v>
      </c>
      <c r="F618" s="276">
        <v>4</v>
      </c>
      <c r="G618" s="243">
        <f t="shared" si="10"/>
        <v>64</v>
      </c>
      <c r="H618" s="244"/>
      <c r="I618" s="71" t="e">
        <f>IF(COUNTIF((rName rData),H618),"","Name Error!")</f>
        <v>#NAME?</v>
      </c>
    </row>
    <row r="619" spans="2:9" s="126" customFormat="1" ht="15" customHeight="1" x14ac:dyDescent="0.25">
      <c r="B619" s="271" t="s">
        <v>354</v>
      </c>
      <c r="C619" s="272" t="s">
        <v>353</v>
      </c>
      <c r="D619" s="275" t="s">
        <v>216</v>
      </c>
      <c r="E619" s="275">
        <v>41260.009363425925</v>
      </c>
      <c r="F619" s="276">
        <v>8</v>
      </c>
      <c r="G619" s="243">
        <f t="shared" si="10"/>
        <v>64</v>
      </c>
      <c r="H619" s="244"/>
      <c r="I619" s="71" t="e">
        <f>IF(COUNTIF((rName rData),H619),"","Name Error!")</f>
        <v>#NAME?</v>
      </c>
    </row>
    <row r="620" spans="2:9" s="126" customFormat="1" ht="15" customHeight="1" x14ac:dyDescent="0.25">
      <c r="B620" s="271" t="s">
        <v>324</v>
      </c>
      <c r="C620" s="272" t="s">
        <v>323</v>
      </c>
      <c r="D620" s="275" t="s">
        <v>216</v>
      </c>
      <c r="E620" s="275">
        <v>41260.05060185185</v>
      </c>
      <c r="F620" s="276">
        <v>4</v>
      </c>
      <c r="G620" s="243">
        <f t="shared" si="10"/>
        <v>64</v>
      </c>
      <c r="H620" s="244"/>
      <c r="I620" s="71" t="e">
        <f>IF(COUNTIF((rName rData),H620),"","Name Error!")</f>
        <v>#NAME?</v>
      </c>
    </row>
    <row r="621" spans="2:9" s="126" customFormat="1" ht="15" customHeight="1" x14ac:dyDescent="0.25">
      <c r="B621" s="271" t="s">
        <v>356</v>
      </c>
      <c r="C621" s="272" t="s">
        <v>355</v>
      </c>
      <c r="D621" s="275" t="s">
        <v>216</v>
      </c>
      <c r="E621" s="275">
        <v>41260.1015162037</v>
      </c>
      <c r="F621" s="276">
        <v>4</v>
      </c>
      <c r="G621" s="243">
        <f t="shared" si="10"/>
        <v>64</v>
      </c>
      <c r="H621" s="244"/>
      <c r="I621" s="71" t="e">
        <f>IF(COUNTIF((rName rData),H621),"","Name Error!")</f>
        <v>#NAME?</v>
      </c>
    </row>
    <row r="622" spans="2:9" s="126" customFormat="1" ht="15" customHeight="1" x14ac:dyDescent="0.25">
      <c r="B622" s="271" t="s">
        <v>360</v>
      </c>
      <c r="C622" s="272" t="s">
        <v>359</v>
      </c>
      <c r="D622" s="275" t="s">
        <v>216</v>
      </c>
      <c r="E622" s="275">
        <v>41260.254236111112</v>
      </c>
      <c r="F622" s="276">
        <v>5</v>
      </c>
      <c r="G622" s="243">
        <f t="shared" si="10"/>
        <v>64</v>
      </c>
      <c r="H622" s="244"/>
      <c r="I622" s="71" t="e">
        <f>IF(COUNTIF((rName rData),H622),"","Name Error!")</f>
        <v>#NAME?</v>
      </c>
    </row>
    <row r="623" spans="2:9" s="126" customFormat="1" ht="15" customHeight="1" x14ac:dyDescent="0.25">
      <c r="B623" s="271" t="s">
        <v>343</v>
      </c>
      <c r="C623" s="272" t="s">
        <v>342</v>
      </c>
      <c r="D623" s="275" t="s">
        <v>216</v>
      </c>
      <c r="E623" s="275">
        <v>41260.265555555554</v>
      </c>
      <c r="F623" s="276">
        <v>2</v>
      </c>
      <c r="G623" s="243">
        <f t="shared" si="10"/>
        <v>64</v>
      </c>
      <c r="H623" s="244"/>
      <c r="I623" s="71" t="e">
        <f>IF(COUNTIF((rName rData),H623),"","Name Error!")</f>
        <v>#NAME?</v>
      </c>
    </row>
    <row r="624" spans="2:9" s="126" customFormat="1" ht="15" customHeight="1" x14ac:dyDescent="0.25">
      <c r="B624" s="271" t="s">
        <v>369</v>
      </c>
      <c r="C624" s="272" t="s">
        <v>368</v>
      </c>
      <c r="D624" s="275" t="s">
        <v>216</v>
      </c>
      <c r="E624" s="275">
        <v>41260.317164351851</v>
      </c>
      <c r="F624" s="276">
        <v>4</v>
      </c>
      <c r="G624" s="243">
        <f t="shared" si="10"/>
        <v>64</v>
      </c>
      <c r="H624" s="244"/>
      <c r="I624" s="71" t="e">
        <f>IF(COUNTIF((rName rData),H624),"","Name Error!")</f>
        <v>#NAME?</v>
      </c>
    </row>
    <row r="625" spans="2:9" s="126" customFormat="1" ht="15" customHeight="1" x14ac:dyDescent="0.25">
      <c r="B625" s="271" t="s">
        <v>362</v>
      </c>
      <c r="C625" s="272" t="s">
        <v>361</v>
      </c>
      <c r="D625" s="275" t="s">
        <v>216</v>
      </c>
      <c r="E625" s="275">
        <v>41260.31925925926</v>
      </c>
      <c r="F625" s="276">
        <v>5</v>
      </c>
      <c r="G625" s="243">
        <f t="shared" si="10"/>
        <v>64</v>
      </c>
      <c r="H625" s="244"/>
      <c r="I625" s="71" t="e">
        <f>IF(COUNTIF((rName rData),H625),"","Name Error!")</f>
        <v>#NAME?</v>
      </c>
    </row>
    <row r="626" spans="2:9" s="126" customFormat="1" ht="15" customHeight="1" x14ac:dyDescent="0.25">
      <c r="B626" s="271" t="s">
        <v>352</v>
      </c>
      <c r="C626" s="272" t="s">
        <v>351</v>
      </c>
      <c r="D626" s="275" t="s">
        <v>216</v>
      </c>
      <c r="E626" s="275">
        <v>41260.338182870371</v>
      </c>
      <c r="F626" s="276">
        <v>5</v>
      </c>
      <c r="G626" s="243">
        <f t="shared" si="10"/>
        <v>64</v>
      </c>
      <c r="H626" s="244"/>
      <c r="I626" s="71" t="e">
        <f>IF(COUNTIF((rName rData),H626),"","Name Error!")</f>
        <v>#NAME?</v>
      </c>
    </row>
    <row r="627" spans="2:9" s="126" customFormat="1" ht="15" customHeight="1" x14ac:dyDescent="0.25">
      <c r="B627" s="271" t="s">
        <v>341</v>
      </c>
      <c r="C627" s="272" t="s">
        <v>340</v>
      </c>
      <c r="D627" s="275" t="s">
        <v>216</v>
      </c>
      <c r="E627" s="275">
        <v>41260.341249999998</v>
      </c>
      <c r="F627" s="276">
        <v>4</v>
      </c>
      <c r="G627" s="243">
        <f t="shared" si="10"/>
        <v>64</v>
      </c>
      <c r="H627" s="244"/>
      <c r="I627" s="71" t="e">
        <f>IF(COUNTIF((rName rData),H627),"","Name Error!")</f>
        <v>#NAME?</v>
      </c>
    </row>
    <row r="628" spans="2:9" s="126" customFormat="1" ht="15" customHeight="1" x14ac:dyDescent="0.25">
      <c r="B628" s="271" t="s">
        <v>371</v>
      </c>
      <c r="C628" s="272" t="s">
        <v>370</v>
      </c>
      <c r="D628" s="275" t="s">
        <v>216</v>
      </c>
      <c r="E628" s="275">
        <v>41260.372650462959</v>
      </c>
      <c r="F628" s="276">
        <v>1</v>
      </c>
      <c r="G628" s="243">
        <f t="shared" si="10"/>
        <v>64</v>
      </c>
      <c r="H628" s="244"/>
      <c r="I628" s="71" t="e">
        <f>IF(COUNTIF((rName rData),H628),"","Name Error!")</f>
        <v>#NAME?</v>
      </c>
    </row>
    <row r="629" spans="2:9" s="126" customFormat="1" ht="15" customHeight="1" x14ac:dyDescent="0.25">
      <c r="B629" s="271" t="s">
        <v>322</v>
      </c>
      <c r="C629" s="272" t="s">
        <v>321</v>
      </c>
      <c r="D629" s="275" t="s">
        <v>216</v>
      </c>
      <c r="E629" s="275">
        <v>41260.375775462962</v>
      </c>
      <c r="F629" s="276">
        <v>3</v>
      </c>
      <c r="G629" s="243">
        <f t="shared" si="10"/>
        <v>64</v>
      </c>
      <c r="H629" s="244"/>
      <c r="I629" s="71" t="e">
        <f>IF(COUNTIF((rName rData),H629),"","Name Error!")</f>
        <v>#NAME?</v>
      </c>
    </row>
    <row r="630" spans="2:9" s="126" customFormat="1" ht="15" customHeight="1" x14ac:dyDescent="0.25">
      <c r="B630" s="271" t="s">
        <v>333</v>
      </c>
      <c r="C630" s="272" t="s">
        <v>332</v>
      </c>
      <c r="D630" s="275" t="s">
        <v>216</v>
      </c>
      <c r="E630" s="275">
        <v>41260.387395833335</v>
      </c>
      <c r="F630" s="276">
        <v>3</v>
      </c>
      <c r="G630" s="243">
        <f t="shared" si="10"/>
        <v>64</v>
      </c>
      <c r="H630" s="244"/>
      <c r="I630" s="71" t="e">
        <f>IF(COUNTIF((rName rData),H630),"","Name Error!")</f>
        <v>#NAME?</v>
      </c>
    </row>
    <row r="631" spans="2:9" s="126" customFormat="1" ht="15" customHeight="1" x14ac:dyDescent="0.25">
      <c r="B631" s="271" t="s">
        <v>267</v>
      </c>
      <c r="C631" s="272" t="s">
        <v>268</v>
      </c>
      <c r="D631" s="275" t="s">
        <v>216</v>
      </c>
      <c r="E631" s="275">
        <v>41260.390023148146</v>
      </c>
      <c r="F631" s="276">
        <v>5</v>
      </c>
      <c r="G631" s="243">
        <f t="shared" si="10"/>
        <v>64</v>
      </c>
      <c r="H631" s="244"/>
      <c r="I631" s="71" t="e">
        <f>IF(COUNTIF((rName rData),H631),"","Name Error!")</f>
        <v>#NAME?</v>
      </c>
    </row>
    <row r="632" spans="2:9" s="126" customFormat="1" ht="15" customHeight="1" x14ac:dyDescent="0.25">
      <c r="B632" s="271" t="s">
        <v>367</v>
      </c>
      <c r="C632" s="272" t="s">
        <v>366</v>
      </c>
      <c r="D632" s="275" t="s">
        <v>216</v>
      </c>
      <c r="E632" s="275">
        <v>41260.393055555556</v>
      </c>
      <c r="F632" s="276">
        <v>2</v>
      </c>
      <c r="G632" s="243">
        <f t="shared" si="10"/>
        <v>64</v>
      </c>
      <c r="H632" s="244"/>
      <c r="I632" s="71" t="e">
        <f>IF(COUNTIF((rName rData),H632),"","Name Error!")</f>
        <v>#NAME?</v>
      </c>
    </row>
    <row r="633" spans="2:9" s="126" customFormat="1" ht="15" customHeight="1" x14ac:dyDescent="0.25">
      <c r="B633" s="271" t="s">
        <v>279</v>
      </c>
      <c r="C633" s="272" t="s">
        <v>280</v>
      </c>
      <c r="D633" s="275" t="s">
        <v>216</v>
      </c>
      <c r="E633" s="275">
        <v>41260.39980324074</v>
      </c>
      <c r="F633" s="276">
        <v>2</v>
      </c>
      <c r="G633" s="243">
        <f t="shared" si="10"/>
        <v>64</v>
      </c>
      <c r="H633" s="244"/>
      <c r="I633" s="71" t="e">
        <f>IF(COUNTIF((rName rData),H633),"","Name Error!")</f>
        <v>#NAME?</v>
      </c>
    </row>
    <row r="634" spans="2:9" s="126" customFormat="1" ht="15" customHeight="1" x14ac:dyDescent="0.25">
      <c r="B634" s="271" t="s">
        <v>326</v>
      </c>
      <c r="C634" s="272" t="s">
        <v>325</v>
      </c>
      <c r="D634" s="275" t="s">
        <v>216</v>
      </c>
      <c r="E634" s="275">
        <v>41260.401956018519</v>
      </c>
      <c r="F634" s="276">
        <v>3</v>
      </c>
      <c r="G634" s="243">
        <f t="shared" si="10"/>
        <v>64</v>
      </c>
      <c r="H634" s="244"/>
      <c r="I634" s="71" t="e">
        <f>IF(COUNTIF((rName rData),H634),"","Name Error!")</f>
        <v>#NAME?</v>
      </c>
    </row>
    <row r="635" spans="2:9" s="126" customFormat="1" ht="15" customHeight="1" x14ac:dyDescent="0.25">
      <c r="B635" s="271" t="s">
        <v>320</v>
      </c>
      <c r="C635" s="272" t="s">
        <v>319</v>
      </c>
      <c r="D635" s="275" t="s">
        <v>216</v>
      </c>
      <c r="E635" s="275">
        <v>41260.407870370371</v>
      </c>
      <c r="F635" s="276">
        <v>2</v>
      </c>
      <c r="G635" s="243">
        <f t="shared" si="10"/>
        <v>64</v>
      </c>
      <c r="H635" s="244"/>
      <c r="I635" s="71" t="e">
        <f>IF(COUNTIF((rName rData),H635),"","Name Error!")</f>
        <v>#NAME?</v>
      </c>
    </row>
    <row r="636" spans="2:9" s="126" customFormat="1" ht="15" customHeight="1" x14ac:dyDescent="0.25">
      <c r="B636" s="271" t="s">
        <v>350</v>
      </c>
      <c r="C636" s="272" t="s">
        <v>349</v>
      </c>
      <c r="D636" s="275" t="s">
        <v>216</v>
      </c>
      <c r="E636" s="275">
        <v>41260.416087962964</v>
      </c>
      <c r="F636" s="276">
        <v>3</v>
      </c>
      <c r="G636" s="243">
        <f t="shared" si="10"/>
        <v>64</v>
      </c>
      <c r="H636" s="244"/>
      <c r="I636" s="71" t="e">
        <f>IF(COUNTIF((rName rData),H636),"","Name Error!")</f>
        <v>#NAME?</v>
      </c>
    </row>
    <row r="637" spans="2:9" s="126" customFormat="1" ht="15" customHeight="1" x14ac:dyDescent="0.25">
      <c r="B637" s="271" t="s">
        <v>331</v>
      </c>
      <c r="C637" s="272" t="s">
        <v>330</v>
      </c>
      <c r="D637" s="275" t="s">
        <v>216</v>
      </c>
      <c r="E637" s="275">
        <v>41260.416562500002</v>
      </c>
      <c r="F637" s="276">
        <v>4</v>
      </c>
      <c r="G637" s="243">
        <f t="shared" si="10"/>
        <v>64</v>
      </c>
      <c r="H637" s="244"/>
      <c r="I637" s="71" t="e">
        <f>IF(COUNTIF((rName rData),H637),"","Name Error!")</f>
        <v>#NAME?</v>
      </c>
    </row>
    <row r="638" spans="2:9" s="126" customFormat="1" ht="15" customHeight="1" x14ac:dyDescent="0.25">
      <c r="B638" s="271" t="s">
        <v>345</v>
      </c>
      <c r="C638" s="272" t="s">
        <v>344</v>
      </c>
      <c r="D638" s="275" t="s">
        <v>216</v>
      </c>
      <c r="E638" s="275">
        <v>41260.418310185189</v>
      </c>
      <c r="F638" s="276">
        <v>2</v>
      </c>
      <c r="G638" s="243">
        <f t="shared" si="10"/>
        <v>64</v>
      </c>
      <c r="H638" s="244"/>
      <c r="I638" s="71" t="e">
        <f>IF(COUNTIF((rName rData),H638),"","Name Error!")</f>
        <v>#NAME?</v>
      </c>
    </row>
    <row r="639" spans="2:9" s="126" customFormat="1" ht="15" customHeight="1" x14ac:dyDescent="0.25">
      <c r="B639" s="271" t="s">
        <v>339</v>
      </c>
      <c r="C639" s="272" t="s">
        <v>338</v>
      </c>
      <c r="D639" s="275" t="s">
        <v>216</v>
      </c>
      <c r="E639" s="275">
        <v>41260.418946759259</v>
      </c>
      <c r="F639" s="276">
        <v>3</v>
      </c>
      <c r="G639" s="243">
        <f t="shared" si="10"/>
        <v>64</v>
      </c>
      <c r="H639" s="244"/>
      <c r="I639" s="71" t="e">
        <f>IF(COUNTIF((rName rData),H639),"","Name Error!")</f>
        <v>#NAME?</v>
      </c>
    </row>
    <row r="640" spans="2:9" s="126" customFormat="1" ht="15" customHeight="1" x14ac:dyDescent="0.25">
      <c r="B640" s="271" t="s">
        <v>328</v>
      </c>
      <c r="C640" s="272" t="s">
        <v>327</v>
      </c>
      <c r="D640" s="275" t="s">
        <v>216</v>
      </c>
      <c r="E640" s="275">
        <v>41260.451435185183</v>
      </c>
      <c r="F640" s="276">
        <v>4</v>
      </c>
      <c r="G640" s="243">
        <f t="shared" si="10"/>
        <v>64</v>
      </c>
      <c r="H640" s="244"/>
      <c r="I640" s="71" t="e">
        <f>IF(COUNTIF((rName rData),H640),"","Name Error!")</f>
        <v>#NAME?</v>
      </c>
    </row>
    <row r="641" spans="2:9" s="126" customFormat="1" ht="15" customHeight="1" x14ac:dyDescent="0.25">
      <c r="B641" s="271" t="s">
        <v>358</v>
      </c>
      <c r="C641" s="272" t="s">
        <v>357</v>
      </c>
      <c r="D641" s="275" t="s">
        <v>216</v>
      </c>
      <c r="E641" s="275">
        <v>41260.452662037038</v>
      </c>
      <c r="F641" s="276">
        <v>2</v>
      </c>
      <c r="G641" s="243">
        <f t="shared" si="10"/>
        <v>64</v>
      </c>
      <c r="H641" s="244"/>
      <c r="I641" s="71" t="e">
        <f>IF(COUNTIF((rName rData),H641),"","Name Error!")</f>
        <v>#NAME?</v>
      </c>
    </row>
    <row r="642" spans="2:9" s="126" customFormat="1" ht="15" customHeight="1" x14ac:dyDescent="0.25">
      <c r="B642" s="271" t="s">
        <v>335</v>
      </c>
      <c r="C642" s="272" t="s">
        <v>334</v>
      </c>
      <c r="D642" s="275" t="s">
        <v>216</v>
      </c>
      <c r="E642" s="275">
        <v>41260.495717592596</v>
      </c>
      <c r="F642" s="276">
        <v>1</v>
      </c>
      <c r="G642" s="243">
        <f t="shared" si="10"/>
        <v>64</v>
      </c>
      <c r="H642" s="244"/>
      <c r="I642" s="71" t="e">
        <f>IF(COUNTIF((rName rData),H642),"","Name Error!")</f>
        <v>#NAME?</v>
      </c>
    </row>
    <row r="643" spans="2:9" s="126" customFormat="1" ht="15" customHeight="1" x14ac:dyDescent="0.25">
      <c r="B643" s="271" t="s">
        <v>365</v>
      </c>
      <c r="C643" s="272" t="s">
        <v>364</v>
      </c>
      <c r="D643" s="275" t="s">
        <v>216</v>
      </c>
      <c r="E643" s="275">
        <v>41260.546516203707</v>
      </c>
      <c r="F643" s="276">
        <v>1</v>
      </c>
      <c r="G643" s="243">
        <f t="shared" si="10"/>
        <v>64</v>
      </c>
      <c r="H643" s="244"/>
      <c r="I643" s="71" t="e">
        <f>IF(COUNTIF((rName rData),H643),"","Name Error!")</f>
        <v>#NAME?</v>
      </c>
    </row>
    <row r="644" spans="2:9" s="126" customFormat="1" ht="15" customHeight="1" x14ac:dyDescent="0.25">
      <c r="B644" s="271" t="s">
        <v>322</v>
      </c>
      <c r="C644" s="272" t="s">
        <v>321</v>
      </c>
      <c r="D644" s="275" t="s">
        <v>216</v>
      </c>
      <c r="E644" s="275">
        <v>41261.006053240744</v>
      </c>
      <c r="F644" s="276">
        <v>5</v>
      </c>
      <c r="G644" s="243">
        <f t="shared" si="10"/>
        <v>64</v>
      </c>
      <c r="H644" s="244"/>
      <c r="I644" s="71" t="e">
        <f>IF(COUNTIF((rName rData),H644),"","Name Error!")</f>
        <v>#NAME?</v>
      </c>
    </row>
    <row r="645" spans="2:9" s="126" customFormat="1" ht="15" customHeight="1" x14ac:dyDescent="0.25">
      <c r="B645" s="271" t="s">
        <v>331</v>
      </c>
      <c r="C645" s="272" t="s">
        <v>330</v>
      </c>
      <c r="D645" s="275" t="s">
        <v>216</v>
      </c>
      <c r="E645" s="275">
        <v>41261.008738425924</v>
      </c>
      <c r="F645" s="276">
        <v>6</v>
      </c>
      <c r="G645" s="243">
        <f t="shared" si="10"/>
        <v>64</v>
      </c>
      <c r="H645" s="244"/>
      <c r="I645" s="71" t="e">
        <f>IF(COUNTIF((rName rData),H645),"","Name Error!")</f>
        <v>#NAME?</v>
      </c>
    </row>
    <row r="646" spans="2:9" s="126" customFormat="1" ht="15" customHeight="1" x14ac:dyDescent="0.25">
      <c r="B646" s="271" t="s">
        <v>345</v>
      </c>
      <c r="C646" s="272" t="s">
        <v>344</v>
      </c>
      <c r="D646" s="275" t="s">
        <v>216</v>
      </c>
      <c r="E646" s="275">
        <v>41261.015196759261</v>
      </c>
      <c r="F646" s="276">
        <v>4</v>
      </c>
      <c r="G646" s="243">
        <f t="shared" si="10"/>
        <v>64</v>
      </c>
      <c r="H646" s="244"/>
      <c r="I646" s="71" t="e">
        <f>IF(COUNTIF((rName rData),H646),"","Name Error!")</f>
        <v>#NAME?</v>
      </c>
    </row>
    <row r="647" spans="2:9" s="126" customFormat="1" ht="15" customHeight="1" x14ac:dyDescent="0.25">
      <c r="B647" s="271" t="s">
        <v>328</v>
      </c>
      <c r="C647" s="272" t="s">
        <v>327</v>
      </c>
      <c r="D647" s="275" t="s">
        <v>216</v>
      </c>
      <c r="E647" s="275">
        <v>41261.035393518519</v>
      </c>
      <c r="F647" s="276">
        <v>6</v>
      </c>
      <c r="G647" s="243">
        <f t="shared" si="10"/>
        <v>64</v>
      </c>
      <c r="H647" s="244"/>
      <c r="I647" s="71" t="e">
        <f>IF(COUNTIF((rName rData),H647),"","Name Error!")</f>
        <v>#NAME?</v>
      </c>
    </row>
    <row r="648" spans="2:9" s="126" customFormat="1" ht="15" customHeight="1" x14ac:dyDescent="0.25">
      <c r="B648" s="271" t="s">
        <v>324</v>
      </c>
      <c r="C648" s="272" t="s">
        <v>323</v>
      </c>
      <c r="D648" s="275" t="s">
        <v>216</v>
      </c>
      <c r="E648" s="275">
        <v>41261.055428240739</v>
      </c>
      <c r="F648" s="276">
        <v>5</v>
      </c>
      <c r="G648" s="243">
        <f t="shared" si="10"/>
        <v>64</v>
      </c>
      <c r="H648" s="244"/>
      <c r="I648" s="71" t="e">
        <f>IF(COUNTIF((rName rData),H648),"","Name Error!")</f>
        <v>#NAME?</v>
      </c>
    </row>
    <row r="649" spans="2:9" s="126" customFormat="1" ht="15" customHeight="1" x14ac:dyDescent="0.25">
      <c r="B649" s="271" t="s">
        <v>339</v>
      </c>
      <c r="C649" s="272" t="s">
        <v>338</v>
      </c>
      <c r="D649" s="275" t="s">
        <v>216</v>
      </c>
      <c r="E649" s="275">
        <v>41261.057199074072</v>
      </c>
      <c r="F649" s="276">
        <v>5</v>
      </c>
      <c r="G649" s="243">
        <f t="shared" si="10"/>
        <v>64</v>
      </c>
      <c r="H649" s="244"/>
      <c r="I649" s="71" t="e">
        <f>IF(COUNTIF((rName rData),H649),"","Name Error!")</f>
        <v>#NAME?</v>
      </c>
    </row>
    <row r="650" spans="2:9" s="126" customFormat="1" ht="15" customHeight="1" x14ac:dyDescent="0.25">
      <c r="B650" s="271" t="s">
        <v>356</v>
      </c>
      <c r="C650" s="272" t="s">
        <v>355</v>
      </c>
      <c r="D650" s="275" t="s">
        <v>216</v>
      </c>
      <c r="E650" s="275">
        <v>41261.10428240741</v>
      </c>
      <c r="F650" s="276">
        <v>1</v>
      </c>
      <c r="G650" s="243">
        <f t="shared" ref="G650:G713" si="11">TRUNC((E650-start)/7)+1</f>
        <v>64</v>
      </c>
      <c r="H650" s="244"/>
      <c r="I650" s="71" t="e">
        <f>IF(COUNTIF((rName rData),H650),"","Name Error!")</f>
        <v>#NAME?</v>
      </c>
    </row>
    <row r="651" spans="2:9" s="126" customFormat="1" ht="15" customHeight="1" x14ac:dyDescent="0.25">
      <c r="B651" s="271" t="s">
        <v>279</v>
      </c>
      <c r="C651" s="272" t="s">
        <v>280</v>
      </c>
      <c r="D651" s="275" t="s">
        <v>216</v>
      </c>
      <c r="E651" s="275">
        <v>41261.117013888892</v>
      </c>
      <c r="F651" s="276">
        <v>3</v>
      </c>
      <c r="G651" s="243">
        <f t="shared" si="11"/>
        <v>64</v>
      </c>
      <c r="H651" s="244"/>
      <c r="I651" s="71" t="e">
        <f>IF(COUNTIF((rName rData),H651),"","Name Error!")</f>
        <v>#NAME?</v>
      </c>
    </row>
    <row r="652" spans="2:9" s="126" customFormat="1" ht="15" customHeight="1" x14ac:dyDescent="0.25">
      <c r="B652" s="271" t="s">
        <v>343</v>
      </c>
      <c r="C652" s="272" t="s">
        <v>342</v>
      </c>
      <c r="D652" s="275" t="s">
        <v>216</v>
      </c>
      <c r="E652" s="275">
        <v>41261.263090277775</v>
      </c>
      <c r="F652" s="276">
        <v>1</v>
      </c>
      <c r="G652" s="243">
        <f t="shared" si="11"/>
        <v>64</v>
      </c>
      <c r="H652" s="244"/>
      <c r="I652" s="71" t="e">
        <f>IF(COUNTIF((rName rData),H652),"","Name Error!")</f>
        <v>#NAME?</v>
      </c>
    </row>
    <row r="653" spans="2:9" s="126" customFormat="1" ht="15" customHeight="1" x14ac:dyDescent="0.25">
      <c r="B653" s="271" t="s">
        <v>267</v>
      </c>
      <c r="C653" s="272" t="s">
        <v>268</v>
      </c>
      <c r="D653" s="275" t="s">
        <v>216</v>
      </c>
      <c r="E653" s="275">
        <v>41261.287210648145</v>
      </c>
      <c r="F653" s="276">
        <v>4</v>
      </c>
      <c r="G653" s="243">
        <f t="shared" si="11"/>
        <v>64</v>
      </c>
      <c r="H653" s="244"/>
      <c r="I653" s="71" t="e">
        <f>IF(COUNTIF((rName rData),H653),"","Name Error!")</f>
        <v>#NAME?</v>
      </c>
    </row>
    <row r="654" spans="2:9" s="126" customFormat="1" ht="15" customHeight="1" x14ac:dyDescent="0.25">
      <c r="B654" s="271" t="s">
        <v>326</v>
      </c>
      <c r="C654" s="272" t="s">
        <v>325</v>
      </c>
      <c r="D654" s="275" t="s">
        <v>216</v>
      </c>
      <c r="E654" s="275">
        <v>41261.288356481484</v>
      </c>
      <c r="F654" s="276">
        <v>4</v>
      </c>
      <c r="G654" s="243">
        <f t="shared" si="11"/>
        <v>64</v>
      </c>
      <c r="H654" s="244"/>
      <c r="I654" s="71" t="e">
        <f>IF(COUNTIF((rName rData),H654),"","Name Error!")</f>
        <v>#NAME?</v>
      </c>
    </row>
    <row r="655" spans="2:9" s="126" customFormat="1" ht="15" customHeight="1" x14ac:dyDescent="0.25">
      <c r="B655" s="271" t="s">
        <v>354</v>
      </c>
      <c r="C655" s="272" t="s">
        <v>353</v>
      </c>
      <c r="D655" s="275" t="s">
        <v>216</v>
      </c>
      <c r="E655" s="275">
        <v>41261.333958333336</v>
      </c>
      <c r="F655" s="276">
        <v>4</v>
      </c>
      <c r="G655" s="243">
        <f t="shared" si="11"/>
        <v>64</v>
      </c>
      <c r="H655" s="244"/>
      <c r="I655" s="71" t="e">
        <f>IF(COUNTIF((rName rData),H655),"","Name Error!")</f>
        <v>#NAME?</v>
      </c>
    </row>
    <row r="656" spans="2:9" s="126" customFormat="1" ht="15" customHeight="1" x14ac:dyDescent="0.25">
      <c r="B656" s="271" t="s">
        <v>337</v>
      </c>
      <c r="C656" s="272" t="s">
        <v>336</v>
      </c>
      <c r="D656" s="275" t="s">
        <v>216</v>
      </c>
      <c r="E656" s="275">
        <v>41261.337557870371</v>
      </c>
      <c r="F656" s="276">
        <v>1</v>
      </c>
      <c r="G656" s="243">
        <f t="shared" si="11"/>
        <v>64</v>
      </c>
      <c r="H656" s="244"/>
      <c r="I656" s="71" t="e">
        <f>IF(COUNTIF((rName rData),H656),"","Name Error!")</f>
        <v>#NAME?</v>
      </c>
    </row>
    <row r="657" spans="2:9" s="126" customFormat="1" ht="15" customHeight="1" x14ac:dyDescent="0.25">
      <c r="B657" s="271" t="s">
        <v>352</v>
      </c>
      <c r="C657" s="272" t="s">
        <v>351</v>
      </c>
      <c r="D657" s="275" t="s">
        <v>216</v>
      </c>
      <c r="E657" s="275">
        <v>41261.345613425925</v>
      </c>
      <c r="F657" s="276">
        <v>3</v>
      </c>
      <c r="G657" s="243">
        <f t="shared" si="11"/>
        <v>64</v>
      </c>
      <c r="H657" s="244"/>
      <c r="I657" s="71" t="e">
        <f>IF(COUNTIF((rName rData),H657),"","Name Error!")</f>
        <v>#NAME?</v>
      </c>
    </row>
    <row r="658" spans="2:9" s="126" customFormat="1" ht="15" customHeight="1" x14ac:dyDescent="0.25">
      <c r="B658" s="271" t="s">
        <v>369</v>
      </c>
      <c r="C658" s="272" t="s">
        <v>368</v>
      </c>
      <c r="D658" s="275" t="s">
        <v>216</v>
      </c>
      <c r="E658" s="275">
        <v>41261.348368055558</v>
      </c>
      <c r="F658" s="276">
        <v>2</v>
      </c>
      <c r="G658" s="243">
        <f t="shared" si="11"/>
        <v>64</v>
      </c>
      <c r="H658" s="244"/>
      <c r="I658" s="71" t="e">
        <f>IF(COUNTIF((rName rData),H658),"","Name Error!")</f>
        <v>#NAME?</v>
      </c>
    </row>
    <row r="659" spans="2:9" s="126" customFormat="1" ht="15" customHeight="1" x14ac:dyDescent="0.25">
      <c r="B659" s="271" t="s">
        <v>341</v>
      </c>
      <c r="C659" s="272" t="s">
        <v>340</v>
      </c>
      <c r="D659" s="275" t="s">
        <v>216</v>
      </c>
      <c r="E659" s="275">
        <v>41261.35015046296</v>
      </c>
      <c r="F659" s="276">
        <v>4</v>
      </c>
      <c r="G659" s="243">
        <f t="shared" si="11"/>
        <v>64</v>
      </c>
      <c r="H659" s="244"/>
      <c r="I659" s="71" t="e">
        <f>IF(COUNTIF((rName rData),H659),"","Name Error!")</f>
        <v>#NAME?</v>
      </c>
    </row>
    <row r="660" spans="2:9" s="126" customFormat="1" ht="15" customHeight="1" x14ac:dyDescent="0.25">
      <c r="B660" s="271" t="s">
        <v>362</v>
      </c>
      <c r="C660" s="272" t="s">
        <v>361</v>
      </c>
      <c r="D660" s="275" t="s">
        <v>216</v>
      </c>
      <c r="E660" s="275">
        <v>41261.366851851853</v>
      </c>
      <c r="F660" s="276">
        <v>4</v>
      </c>
      <c r="G660" s="243">
        <f t="shared" si="11"/>
        <v>64</v>
      </c>
      <c r="H660" s="244"/>
      <c r="I660" s="71" t="e">
        <f>IF(COUNTIF((rName rData),H660),"","Name Error!")</f>
        <v>#NAME?</v>
      </c>
    </row>
    <row r="661" spans="2:9" s="126" customFormat="1" ht="15" customHeight="1" x14ac:dyDescent="0.25">
      <c r="B661" s="271" t="s">
        <v>371</v>
      </c>
      <c r="C661" s="272" t="s">
        <v>370</v>
      </c>
      <c r="D661" s="275" t="s">
        <v>216</v>
      </c>
      <c r="E661" s="275">
        <v>41261.372719907406</v>
      </c>
      <c r="F661" s="276">
        <v>3</v>
      </c>
      <c r="G661" s="243">
        <f t="shared" si="11"/>
        <v>64</v>
      </c>
      <c r="H661" s="244"/>
      <c r="I661" s="71" t="e">
        <f>IF(COUNTIF((rName rData),H661),"","Name Error!")</f>
        <v>#NAME?</v>
      </c>
    </row>
    <row r="662" spans="2:9" s="126" customFormat="1" ht="15" customHeight="1" x14ac:dyDescent="0.25">
      <c r="B662" s="271" t="s">
        <v>333</v>
      </c>
      <c r="C662" s="272" t="s">
        <v>332</v>
      </c>
      <c r="D662" s="275" t="s">
        <v>216</v>
      </c>
      <c r="E662" s="275">
        <v>41261.382916666669</v>
      </c>
      <c r="F662" s="276">
        <v>1</v>
      </c>
      <c r="G662" s="243">
        <f t="shared" si="11"/>
        <v>64</v>
      </c>
      <c r="H662" s="244"/>
      <c r="I662" s="71" t="e">
        <f>IF(COUNTIF((rName rData),H662),"","Name Error!")</f>
        <v>#NAME?</v>
      </c>
    </row>
    <row r="663" spans="2:9" s="126" customFormat="1" ht="15" customHeight="1" x14ac:dyDescent="0.25">
      <c r="B663" s="271" t="s">
        <v>358</v>
      </c>
      <c r="C663" s="272" t="s">
        <v>357</v>
      </c>
      <c r="D663" s="275" t="s">
        <v>216</v>
      </c>
      <c r="E663" s="275">
        <v>41261.390243055554</v>
      </c>
      <c r="F663" s="276">
        <v>10</v>
      </c>
      <c r="G663" s="243">
        <f t="shared" si="11"/>
        <v>64</v>
      </c>
      <c r="H663" s="244"/>
      <c r="I663" s="71" t="e">
        <f>IF(COUNTIF((rName rData),H663),"","Name Error!")</f>
        <v>#NAME?</v>
      </c>
    </row>
    <row r="664" spans="2:9" s="126" customFormat="1" ht="15" customHeight="1" x14ac:dyDescent="0.25">
      <c r="B664" s="271" t="s">
        <v>360</v>
      </c>
      <c r="C664" s="272" t="s">
        <v>359</v>
      </c>
      <c r="D664" s="275" t="s">
        <v>216</v>
      </c>
      <c r="E664" s="275">
        <v>41261.394328703704</v>
      </c>
      <c r="F664" s="276">
        <v>1</v>
      </c>
      <c r="G664" s="243">
        <f t="shared" si="11"/>
        <v>64</v>
      </c>
      <c r="H664" s="244"/>
      <c r="I664" s="71" t="e">
        <f>IF(COUNTIF((rName rData),H664),"","Name Error!")</f>
        <v>#NAME?</v>
      </c>
    </row>
    <row r="665" spans="2:9" s="126" customFormat="1" ht="15" customHeight="1" x14ac:dyDescent="0.25">
      <c r="B665" s="271" t="s">
        <v>350</v>
      </c>
      <c r="C665" s="272" t="s">
        <v>349</v>
      </c>
      <c r="D665" s="275" t="s">
        <v>216</v>
      </c>
      <c r="E665" s="275">
        <v>41261.400833333333</v>
      </c>
      <c r="F665" s="276">
        <v>3</v>
      </c>
      <c r="G665" s="243">
        <f t="shared" si="11"/>
        <v>64</v>
      </c>
      <c r="H665" s="244"/>
      <c r="I665" s="71" t="e">
        <f>IF(COUNTIF((rName rData),H665),"","Name Error!")</f>
        <v>#NAME?</v>
      </c>
    </row>
    <row r="666" spans="2:9" s="126" customFormat="1" ht="15" customHeight="1" x14ac:dyDescent="0.25">
      <c r="B666" s="271" t="s">
        <v>335</v>
      </c>
      <c r="C666" s="272" t="s">
        <v>334</v>
      </c>
      <c r="D666" s="275" t="s">
        <v>216</v>
      </c>
      <c r="E666" s="275">
        <v>41261.411712962959</v>
      </c>
      <c r="F666" s="276">
        <v>1</v>
      </c>
      <c r="G666" s="243">
        <f t="shared" si="11"/>
        <v>64</v>
      </c>
      <c r="H666" s="244"/>
      <c r="I666" s="71" t="e">
        <f>IF(COUNTIF((rName rData),H666),"","Name Error!")</f>
        <v>#NAME?</v>
      </c>
    </row>
    <row r="667" spans="2:9" s="126" customFormat="1" ht="15" customHeight="1" x14ac:dyDescent="0.25">
      <c r="B667" s="271" t="s">
        <v>367</v>
      </c>
      <c r="C667" s="272" t="s">
        <v>366</v>
      </c>
      <c r="D667" s="275" t="s">
        <v>216</v>
      </c>
      <c r="E667" s="275">
        <v>41261.479571759257</v>
      </c>
      <c r="F667" s="276">
        <v>2</v>
      </c>
      <c r="G667" s="243">
        <f t="shared" si="11"/>
        <v>64</v>
      </c>
      <c r="H667" s="244"/>
      <c r="I667" s="71" t="e">
        <f>IF(COUNTIF((rName rData),H667),"","Name Error!")</f>
        <v>#NAME?</v>
      </c>
    </row>
    <row r="668" spans="2:9" s="126" customFormat="1" ht="15" customHeight="1" x14ac:dyDescent="0.25">
      <c r="B668" s="271" t="s">
        <v>267</v>
      </c>
      <c r="C668" s="272" t="s">
        <v>268</v>
      </c>
      <c r="D668" s="275" t="s">
        <v>216</v>
      </c>
      <c r="E668" s="275">
        <v>41262.004861111112</v>
      </c>
      <c r="F668" s="276">
        <v>2</v>
      </c>
      <c r="G668" s="243">
        <f t="shared" si="11"/>
        <v>64</v>
      </c>
      <c r="H668" s="244"/>
      <c r="I668" s="71" t="e">
        <f>IF(COUNTIF((rName rData),H668),"","Name Error!")</f>
        <v>#NAME?</v>
      </c>
    </row>
    <row r="669" spans="2:9" s="126" customFormat="1" ht="15" customHeight="1" x14ac:dyDescent="0.25">
      <c r="B669" s="271" t="s">
        <v>335</v>
      </c>
      <c r="C669" s="272" t="s">
        <v>334</v>
      </c>
      <c r="D669" s="275" t="s">
        <v>216</v>
      </c>
      <c r="E669" s="275">
        <v>41262.056250000001</v>
      </c>
      <c r="F669" s="276">
        <v>1</v>
      </c>
      <c r="G669" s="243">
        <f t="shared" si="11"/>
        <v>64</v>
      </c>
      <c r="H669" s="244"/>
      <c r="I669" s="71" t="e">
        <f>IF(COUNTIF((rName rData),H669),"","Name Error!")</f>
        <v>#NAME?</v>
      </c>
    </row>
    <row r="670" spans="2:9" s="126" customFormat="1" ht="15" customHeight="1" x14ac:dyDescent="0.25">
      <c r="B670" s="271" t="s">
        <v>326</v>
      </c>
      <c r="C670" s="272" t="s">
        <v>325</v>
      </c>
      <c r="D670" s="275" t="s">
        <v>216</v>
      </c>
      <c r="E670" s="275">
        <v>41262.122858796298</v>
      </c>
      <c r="F670" s="276">
        <v>1</v>
      </c>
      <c r="G670" s="243">
        <f t="shared" si="11"/>
        <v>64</v>
      </c>
      <c r="H670" s="244"/>
      <c r="I670" s="71" t="e">
        <f>IF(COUNTIF((rName rData),H670),"","Name Error!")</f>
        <v>#NAME?</v>
      </c>
    </row>
    <row r="671" spans="2:9" s="126" customFormat="1" ht="15" customHeight="1" x14ac:dyDescent="0.25">
      <c r="B671" s="271" t="s">
        <v>362</v>
      </c>
      <c r="C671" s="272" t="s">
        <v>361</v>
      </c>
      <c r="D671" s="275" t="s">
        <v>216</v>
      </c>
      <c r="E671" s="275">
        <v>41262.302951388891</v>
      </c>
      <c r="F671" s="276">
        <v>2</v>
      </c>
      <c r="G671" s="243">
        <f t="shared" si="11"/>
        <v>64</v>
      </c>
      <c r="H671" s="244"/>
      <c r="I671" s="71" t="e">
        <f>IF(COUNTIF((rName rData),H671),"","Name Error!")</f>
        <v>#NAME?</v>
      </c>
    </row>
    <row r="672" spans="2:9" s="126" customFormat="1" ht="15" customHeight="1" x14ac:dyDescent="0.25">
      <c r="B672" s="271" t="s">
        <v>341</v>
      </c>
      <c r="C672" s="272" t="s">
        <v>340</v>
      </c>
      <c r="D672" s="275" t="s">
        <v>216</v>
      </c>
      <c r="E672" s="275">
        <v>41262.344328703701</v>
      </c>
      <c r="F672" s="276">
        <v>1</v>
      </c>
      <c r="G672" s="243">
        <f t="shared" si="11"/>
        <v>64</v>
      </c>
      <c r="H672" s="244"/>
      <c r="I672" s="71" t="e">
        <f>IF(COUNTIF((rName rData),H672),"","Name Error!")</f>
        <v>#NAME?</v>
      </c>
    </row>
    <row r="673" spans="2:9" s="126" customFormat="1" ht="15" customHeight="1" x14ac:dyDescent="0.25">
      <c r="B673" s="271" t="s">
        <v>350</v>
      </c>
      <c r="C673" s="272" t="s">
        <v>349</v>
      </c>
      <c r="D673" s="275" t="s">
        <v>216</v>
      </c>
      <c r="E673" s="275">
        <v>41262.387766203705</v>
      </c>
      <c r="F673" s="276">
        <v>1</v>
      </c>
      <c r="G673" s="243">
        <f t="shared" si="11"/>
        <v>64</v>
      </c>
      <c r="H673" s="244"/>
      <c r="I673" s="71" t="e">
        <f>IF(COUNTIF((rName rData),H673),"","Name Error!")</f>
        <v>#NAME?</v>
      </c>
    </row>
    <row r="674" spans="2:9" s="126" customFormat="1" ht="15" customHeight="1" x14ac:dyDescent="0.25">
      <c r="B674" s="271" t="s">
        <v>358</v>
      </c>
      <c r="C674" s="272" t="s">
        <v>357</v>
      </c>
      <c r="D674" s="275" t="s">
        <v>216</v>
      </c>
      <c r="E674" s="275">
        <v>41262.402453703704</v>
      </c>
      <c r="F674" s="276">
        <v>2</v>
      </c>
      <c r="G674" s="243">
        <f t="shared" si="11"/>
        <v>64</v>
      </c>
      <c r="H674" s="244"/>
      <c r="I674" s="71" t="e">
        <f>IF(COUNTIF((rName rData),H674),"","Name Error!")</f>
        <v>#NAME?</v>
      </c>
    </row>
    <row r="675" spans="2:9" s="126" customFormat="1" ht="15" customHeight="1" x14ac:dyDescent="0.25">
      <c r="B675" s="271" t="s">
        <v>369</v>
      </c>
      <c r="C675" s="272" t="s">
        <v>368</v>
      </c>
      <c r="D675" s="275" t="s">
        <v>216</v>
      </c>
      <c r="E675" s="275">
        <v>41262.417326388888</v>
      </c>
      <c r="F675" s="276">
        <v>3</v>
      </c>
      <c r="G675" s="243">
        <f t="shared" si="11"/>
        <v>64</v>
      </c>
      <c r="H675" s="244"/>
      <c r="I675" s="71" t="e">
        <f>IF(COUNTIF((rName rData),H675),"","Name Error!")</f>
        <v>#NAME?</v>
      </c>
    </row>
    <row r="676" spans="2:9" s="126" customFormat="1" ht="15" customHeight="1" x14ac:dyDescent="0.25">
      <c r="B676" s="271" t="s">
        <v>356</v>
      </c>
      <c r="C676" s="272" t="s">
        <v>355</v>
      </c>
      <c r="D676" s="275" t="s">
        <v>216</v>
      </c>
      <c r="E676" s="275">
        <v>41262.445231481484</v>
      </c>
      <c r="F676" s="276">
        <v>2</v>
      </c>
      <c r="G676" s="243">
        <f t="shared" si="11"/>
        <v>64</v>
      </c>
      <c r="H676" s="244"/>
      <c r="I676" s="71" t="e">
        <f>IF(COUNTIF((rName rData),H676),"","Name Error!")</f>
        <v>#NAME?</v>
      </c>
    </row>
    <row r="677" spans="2:9" s="126" customFormat="1" ht="15" customHeight="1" x14ac:dyDescent="0.25">
      <c r="B677" s="271" t="s">
        <v>367</v>
      </c>
      <c r="C677" s="272" t="s">
        <v>366</v>
      </c>
      <c r="D677" s="275" t="s">
        <v>216</v>
      </c>
      <c r="E677" s="275">
        <v>41262.471435185187</v>
      </c>
      <c r="F677" s="276">
        <v>1</v>
      </c>
      <c r="G677" s="243">
        <f t="shared" si="11"/>
        <v>64</v>
      </c>
      <c r="H677" s="244"/>
      <c r="I677" s="71" t="e">
        <f>IF(COUNTIF((rName rData),H677),"","Name Error!")</f>
        <v>#NAME?</v>
      </c>
    </row>
    <row r="678" spans="2:9" s="126" customFormat="1" ht="15" customHeight="1" x14ac:dyDescent="0.25">
      <c r="B678" s="271" t="s">
        <v>331</v>
      </c>
      <c r="C678" s="272" t="s">
        <v>330</v>
      </c>
      <c r="D678" s="275" t="s">
        <v>216</v>
      </c>
      <c r="E678" s="275">
        <v>41262.501898148148</v>
      </c>
      <c r="F678" s="276">
        <v>2</v>
      </c>
      <c r="G678" s="243">
        <f t="shared" si="11"/>
        <v>64</v>
      </c>
      <c r="H678" s="244"/>
      <c r="I678" s="71" t="e">
        <f>IF(COUNTIF((rName rData),H678),"","Name Error!")</f>
        <v>#NAME?</v>
      </c>
    </row>
    <row r="679" spans="2:9" s="126" customFormat="1" ht="15" customHeight="1" x14ac:dyDescent="0.25">
      <c r="B679" s="271" t="s">
        <v>328</v>
      </c>
      <c r="C679" s="272" t="s">
        <v>327</v>
      </c>
      <c r="D679" s="275" t="s">
        <v>216</v>
      </c>
      <c r="E679" s="275">
        <v>41262.508391203701</v>
      </c>
      <c r="F679" s="276">
        <v>2</v>
      </c>
      <c r="G679" s="243">
        <f t="shared" si="11"/>
        <v>64</v>
      </c>
      <c r="H679" s="244"/>
      <c r="I679" s="71" t="e">
        <f>IF(COUNTIF((rName rData),H679),"","Name Error!")</f>
        <v>#NAME?</v>
      </c>
    </row>
    <row r="680" spans="2:9" s="126" customFormat="1" ht="15" customHeight="1" x14ac:dyDescent="0.25">
      <c r="B680" s="271" t="s">
        <v>343</v>
      </c>
      <c r="C680" s="272" t="s">
        <v>342</v>
      </c>
      <c r="D680" s="275" t="s">
        <v>216</v>
      </c>
      <c r="E680" s="275">
        <v>41262.582800925928</v>
      </c>
      <c r="F680" s="276">
        <v>1</v>
      </c>
      <c r="G680" s="243">
        <f t="shared" si="11"/>
        <v>64</v>
      </c>
      <c r="H680" s="244"/>
      <c r="I680" s="71" t="e">
        <f>IF(COUNTIF((rName rData),H680),"","Name Error!")</f>
        <v>#NAME?</v>
      </c>
    </row>
    <row r="681" spans="2:9" s="126" customFormat="1" ht="15" customHeight="1" x14ac:dyDescent="0.25">
      <c r="B681" s="271" t="s">
        <v>365</v>
      </c>
      <c r="C681" s="272" t="s">
        <v>364</v>
      </c>
      <c r="D681" s="275" t="s">
        <v>216</v>
      </c>
      <c r="E681" s="275">
        <v>41262.697025462963</v>
      </c>
      <c r="F681" s="276">
        <v>2</v>
      </c>
      <c r="G681" s="243">
        <f t="shared" si="11"/>
        <v>64</v>
      </c>
      <c r="H681" s="244"/>
      <c r="I681" s="71" t="e">
        <f>IF(COUNTIF((rName rData),H681),"","Name Error!")</f>
        <v>#NAME?</v>
      </c>
    </row>
    <row r="682" spans="2:9" s="126" customFormat="1" ht="15" customHeight="1" x14ac:dyDescent="0.25">
      <c r="B682" s="271" t="s">
        <v>352</v>
      </c>
      <c r="C682" s="272" t="s">
        <v>351</v>
      </c>
      <c r="D682" s="275" t="s">
        <v>216</v>
      </c>
      <c r="E682" s="275">
        <v>41262.896921296298</v>
      </c>
      <c r="F682" s="276">
        <v>1</v>
      </c>
      <c r="G682" s="243">
        <f t="shared" si="11"/>
        <v>64</v>
      </c>
      <c r="H682" s="244"/>
      <c r="I682" s="71" t="e">
        <f>IF(COUNTIF((rName rData),H682),"","Name Error!")</f>
        <v>#NAME?</v>
      </c>
    </row>
    <row r="683" spans="2:9" s="126" customFormat="1" ht="15" customHeight="1" x14ac:dyDescent="0.25">
      <c r="B683" s="271" t="s">
        <v>322</v>
      </c>
      <c r="C683" s="272" t="s">
        <v>321</v>
      </c>
      <c r="D683" s="275" t="s">
        <v>216</v>
      </c>
      <c r="E683" s="275">
        <v>41262.961319444446</v>
      </c>
      <c r="F683" s="276">
        <v>1</v>
      </c>
      <c r="G683" s="243">
        <f t="shared" si="11"/>
        <v>64</v>
      </c>
      <c r="H683" s="244"/>
      <c r="I683" s="71" t="e">
        <f>IF(COUNTIF((rName rData),H683),"","Name Error!")</f>
        <v>#NAME?</v>
      </c>
    </row>
    <row r="684" spans="2:9" s="126" customFormat="1" ht="15" customHeight="1" x14ac:dyDescent="0.25">
      <c r="B684" s="271" t="s">
        <v>354</v>
      </c>
      <c r="C684" s="272" t="s">
        <v>353</v>
      </c>
      <c r="D684" s="275" t="s">
        <v>216</v>
      </c>
      <c r="E684" s="275">
        <v>41262.969155092593</v>
      </c>
      <c r="F684" s="276">
        <v>1</v>
      </c>
      <c r="G684" s="243">
        <f t="shared" si="11"/>
        <v>64</v>
      </c>
      <c r="H684" s="244"/>
      <c r="I684" s="71" t="e">
        <f>IF(COUNTIF((rName rData),H684),"","Name Error!")</f>
        <v>#NAME?</v>
      </c>
    </row>
    <row r="685" spans="2:9" s="126" customFormat="1" ht="15" customHeight="1" x14ac:dyDescent="0.25">
      <c r="B685" s="271" t="s">
        <v>326</v>
      </c>
      <c r="C685" s="272" t="s">
        <v>325</v>
      </c>
      <c r="D685" s="275" t="s">
        <v>216</v>
      </c>
      <c r="E685" s="275">
        <v>41263.043194444443</v>
      </c>
      <c r="F685" s="276">
        <v>4</v>
      </c>
      <c r="G685" s="243">
        <f t="shared" si="11"/>
        <v>64</v>
      </c>
      <c r="H685" s="244"/>
      <c r="I685" s="71" t="e">
        <f>IF(COUNTIF((rName rData),H685),"","Name Error!")</f>
        <v>#NAME?</v>
      </c>
    </row>
    <row r="686" spans="2:9" s="126" customFormat="1" ht="15" customHeight="1" x14ac:dyDescent="0.25">
      <c r="B686" s="271" t="s">
        <v>369</v>
      </c>
      <c r="C686" s="272" t="s">
        <v>368</v>
      </c>
      <c r="D686" s="275" t="s">
        <v>216</v>
      </c>
      <c r="E686" s="275">
        <v>41263.0703587963</v>
      </c>
      <c r="F686" s="276">
        <v>1</v>
      </c>
      <c r="G686" s="243">
        <f t="shared" si="11"/>
        <v>64</v>
      </c>
      <c r="H686" s="244"/>
      <c r="I686" s="71" t="e">
        <f>IF(COUNTIF((rName rData),H686),"","Name Error!")</f>
        <v>#NAME?</v>
      </c>
    </row>
    <row r="687" spans="2:9" s="126" customFormat="1" ht="15" customHeight="1" x14ac:dyDescent="0.25">
      <c r="B687" s="271" t="s">
        <v>356</v>
      </c>
      <c r="C687" s="272" t="s">
        <v>355</v>
      </c>
      <c r="D687" s="275" t="s">
        <v>216</v>
      </c>
      <c r="E687" s="275">
        <v>41263.344930555555</v>
      </c>
      <c r="F687" s="276">
        <v>1</v>
      </c>
      <c r="G687" s="243">
        <f t="shared" si="11"/>
        <v>64</v>
      </c>
      <c r="H687" s="244"/>
      <c r="I687" s="71" t="e">
        <f>IF(COUNTIF((rName rData),H687),"","Name Error!")</f>
        <v>#NAME?</v>
      </c>
    </row>
    <row r="688" spans="2:9" s="126" customFormat="1" ht="15" customHeight="1" x14ac:dyDescent="0.25">
      <c r="B688" s="271" t="s">
        <v>333</v>
      </c>
      <c r="C688" s="272" t="s">
        <v>332</v>
      </c>
      <c r="D688" s="275" t="s">
        <v>216</v>
      </c>
      <c r="E688" s="275">
        <v>41263.34542824074</v>
      </c>
      <c r="F688" s="276">
        <v>4</v>
      </c>
      <c r="G688" s="243">
        <f t="shared" si="11"/>
        <v>64</v>
      </c>
      <c r="H688" s="244"/>
      <c r="I688" s="71" t="e">
        <f>IF(COUNTIF((rName rData),H688),"","Name Error!")</f>
        <v>#NAME?</v>
      </c>
    </row>
    <row r="689" spans="2:9" s="126" customFormat="1" ht="15" customHeight="1" x14ac:dyDescent="0.25">
      <c r="B689" s="271" t="s">
        <v>279</v>
      </c>
      <c r="C689" s="272" t="s">
        <v>280</v>
      </c>
      <c r="D689" s="275" t="s">
        <v>216</v>
      </c>
      <c r="E689" s="275">
        <v>41263.371886574074</v>
      </c>
      <c r="F689" s="276">
        <v>3</v>
      </c>
      <c r="G689" s="243">
        <f t="shared" si="11"/>
        <v>64</v>
      </c>
      <c r="H689" s="244"/>
      <c r="I689" s="71" t="e">
        <f>IF(COUNTIF((rName rData),H689),"","Name Error!")</f>
        <v>#NAME?</v>
      </c>
    </row>
    <row r="690" spans="2:9" s="126" customFormat="1" ht="15" customHeight="1" x14ac:dyDescent="0.25">
      <c r="B690" s="271" t="s">
        <v>343</v>
      </c>
      <c r="C690" s="272" t="s">
        <v>342</v>
      </c>
      <c r="D690" s="275" t="s">
        <v>216</v>
      </c>
      <c r="E690" s="275">
        <v>41263.378240740742</v>
      </c>
      <c r="F690" s="276">
        <v>4</v>
      </c>
      <c r="G690" s="243">
        <f t="shared" si="11"/>
        <v>64</v>
      </c>
      <c r="H690" s="244"/>
      <c r="I690" s="71" t="e">
        <f>IF(COUNTIF((rName rData),H690),"","Name Error!")</f>
        <v>#NAME?</v>
      </c>
    </row>
    <row r="691" spans="2:9" s="126" customFormat="1" ht="15" customHeight="1" x14ac:dyDescent="0.25">
      <c r="B691" s="271" t="s">
        <v>358</v>
      </c>
      <c r="C691" s="272" t="s">
        <v>357</v>
      </c>
      <c r="D691" s="275" t="s">
        <v>216</v>
      </c>
      <c r="E691" s="275">
        <v>41263.393761574072</v>
      </c>
      <c r="F691" s="276">
        <v>4</v>
      </c>
      <c r="G691" s="243">
        <f t="shared" si="11"/>
        <v>64</v>
      </c>
      <c r="H691" s="244"/>
      <c r="I691" s="71" t="e">
        <f>IF(COUNTIF((rName rData),H691),"","Name Error!")</f>
        <v>#NAME?</v>
      </c>
    </row>
    <row r="692" spans="2:9" s="126" customFormat="1" ht="15" customHeight="1" x14ac:dyDescent="0.25">
      <c r="B692" s="271" t="s">
        <v>354</v>
      </c>
      <c r="C692" s="272" t="s">
        <v>353</v>
      </c>
      <c r="D692" s="275" t="s">
        <v>216</v>
      </c>
      <c r="E692" s="275">
        <v>41263.435034722221</v>
      </c>
      <c r="F692" s="276">
        <v>3</v>
      </c>
      <c r="G692" s="243">
        <f t="shared" si="11"/>
        <v>64</v>
      </c>
      <c r="H692" s="244"/>
      <c r="I692" s="71" t="e">
        <f>IF(COUNTIF((rName rData),H692),"","Name Error!")</f>
        <v>#NAME?</v>
      </c>
    </row>
    <row r="693" spans="2:9" s="126" customFormat="1" ht="15" customHeight="1" x14ac:dyDescent="0.25">
      <c r="B693" s="271" t="s">
        <v>328</v>
      </c>
      <c r="C693" s="272" t="s">
        <v>327</v>
      </c>
      <c r="D693" s="275" t="s">
        <v>216</v>
      </c>
      <c r="E693" s="275">
        <v>41263.476354166669</v>
      </c>
      <c r="F693" s="276">
        <v>5</v>
      </c>
      <c r="G693" s="243">
        <f t="shared" si="11"/>
        <v>64</v>
      </c>
      <c r="H693" s="244"/>
      <c r="I693" s="71" t="e">
        <f>IF(COUNTIF((rName rData),H693),"","Name Error!")</f>
        <v>#NAME?</v>
      </c>
    </row>
    <row r="694" spans="2:9" s="126" customFormat="1" ht="15" customHeight="1" x14ac:dyDescent="0.25">
      <c r="B694" s="271" t="s">
        <v>352</v>
      </c>
      <c r="C694" s="272" t="s">
        <v>351</v>
      </c>
      <c r="D694" s="275" t="s">
        <v>216</v>
      </c>
      <c r="E694" s="275">
        <v>41263.561180555553</v>
      </c>
      <c r="F694" s="276">
        <v>3</v>
      </c>
      <c r="G694" s="243">
        <f t="shared" si="11"/>
        <v>64</v>
      </c>
      <c r="H694" s="244"/>
      <c r="I694" s="71" t="e">
        <f>IF(COUNTIF((rName rData),H694),"","Name Error!")</f>
        <v>#NAME?</v>
      </c>
    </row>
    <row r="695" spans="2:9" s="126" customFormat="1" ht="15" customHeight="1" x14ac:dyDescent="0.25">
      <c r="B695" s="271" t="s">
        <v>331</v>
      </c>
      <c r="C695" s="272" t="s">
        <v>330</v>
      </c>
      <c r="D695" s="275" t="s">
        <v>216</v>
      </c>
      <c r="E695" s="275">
        <v>41263.565057870372</v>
      </c>
      <c r="F695" s="276">
        <v>3</v>
      </c>
      <c r="G695" s="243">
        <f t="shared" si="11"/>
        <v>64</v>
      </c>
      <c r="H695" s="244"/>
      <c r="I695" s="71" t="e">
        <f>IF(COUNTIF((rName rData),H695),"","Name Error!")</f>
        <v>#NAME?</v>
      </c>
    </row>
    <row r="696" spans="2:9" s="126" customFormat="1" ht="15" customHeight="1" x14ac:dyDescent="0.25">
      <c r="B696" s="271" t="s">
        <v>362</v>
      </c>
      <c r="C696" s="272" t="s">
        <v>361</v>
      </c>
      <c r="D696" s="275" t="s">
        <v>216</v>
      </c>
      <c r="E696" s="275">
        <v>41263.569490740738</v>
      </c>
      <c r="F696" s="276">
        <v>2</v>
      </c>
      <c r="G696" s="243">
        <f t="shared" si="11"/>
        <v>64</v>
      </c>
      <c r="H696" s="244"/>
      <c r="I696" s="71" t="e">
        <f>IF(COUNTIF((rName rData),H696),"","Name Error!")</f>
        <v>#NAME?</v>
      </c>
    </row>
    <row r="697" spans="2:9" s="126" customFormat="1" ht="15" customHeight="1" x14ac:dyDescent="0.25">
      <c r="B697" s="271" t="s">
        <v>337</v>
      </c>
      <c r="C697" s="272" t="s">
        <v>336</v>
      </c>
      <c r="D697" s="275" t="s">
        <v>216</v>
      </c>
      <c r="E697" s="275">
        <v>41263.592511574076</v>
      </c>
      <c r="F697" s="276">
        <v>3</v>
      </c>
      <c r="G697" s="243">
        <f t="shared" si="11"/>
        <v>64</v>
      </c>
      <c r="H697" s="244"/>
      <c r="I697" s="71" t="e">
        <f>IF(COUNTIF((rName rData),H697),"","Name Error!")</f>
        <v>#NAME?</v>
      </c>
    </row>
    <row r="698" spans="2:9" s="126" customFormat="1" ht="15" customHeight="1" x14ac:dyDescent="0.25">
      <c r="B698" s="271" t="s">
        <v>367</v>
      </c>
      <c r="C698" s="272" t="s">
        <v>366</v>
      </c>
      <c r="D698" s="275" t="s">
        <v>216</v>
      </c>
      <c r="E698" s="275">
        <v>41263.634560185186</v>
      </c>
      <c r="F698" s="276">
        <v>1</v>
      </c>
      <c r="G698" s="243">
        <f t="shared" si="11"/>
        <v>64</v>
      </c>
      <c r="H698" s="244"/>
      <c r="I698" s="71" t="e">
        <f>IF(COUNTIF((rName rData),H698),"","Name Error!")</f>
        <v>#NAME?</v>
      </c>
    </row>
    <row r="699" spans="2:9" s="126" customFormat="1" ht="15" customHeight="1" x14ac:dyDescent="0.25">
      <c r="B699" s="271" t="s">
        <v>324</v>
      </c>
      <c r="C699" s="272" t="s">
        <v>323</v>
      </c>
      <c r="D699" s="275" t="s">
        <v>216</v>
      </c>
      <c r="E699" s="275">
        <v>41263.675023148149</v>
      </c>
      <c r="F699" s="276">
        <v>2</v>
      </c>
      <c r="G699" s="243">
        <f t="shared" si="11"/>
        <v>64</v>
      </c>
      <c r="H699" s="244"/>
      <c r="I699" s="71" t="e">
        <f>IF(COUNTIF((rName rData),H699),"","Name Error!")</f>
        <v>#NAME?</v>
      </c>
    </row>
    <row r="700" spans="2:9" s="126" customFormat="1" ht="15" customHeight="1" x14ac:dyDescent="0.25">
      <c r="B700" s="271" t="s">
        <v>320</v>
      </c>
      <c r="C700" s="272" t="s">
        <v>319</v>
      </c>
      <c r="D700" s="275" t="s">
        <v>216</v>
      </c>
      <c r="E700" s="275">
        <v>41263.695462962962</v>
      </c>
      <c r="F700" s="276">
        <v>3</v>
      </c>
      <c r="G700" s="243">
        <f t="shared" si="11"/>
        <v>64</v>
      </c>
      <c r="H700" s="244"/>
      <c r="I700" s="71" t="e">
        <f>IF(COUNTIF((rName rData),H700),"","Name Error!")</f>
        <v>#NAME?</v>
      </c>
    </row>
    <row r="701" spans="2:9" s="126" customFormat="1" ht="15" customHeight="1" x14ac:dyDescent="0.25">
      <c r="B701" s="271" t="s">
        <v>350</v>
      </c>
      <c r="C701" s="272" t="s">
        <v>349</v>
      </c>
      <c r="D701" s="275" t="s">
        <v>216</v>
      </c>
      <c r="E701" s="275">
        <v>41263.699317129627</v>
      </c>
      <c r="F701" s="276">
        <v>1</v>
      </c>
      <c r="G701" s="243">
        <f t="shared" si="11"/>
        <v>64</v>
      </c>
      <c r="H701" s="244"/>
      <c r="I701" s="71" t="e">
        <f>IF(COUNTIF((rName rData),H701),"","Name Error!")</f>
        <v>#NAME?</v>
      </c>
    </row>
    <row r="702" spans="2:9" s="126" customFormat="1" ht="15" customHeight="1" x14ac:dyDescent="0.25">
      <c r="B702" s="271" t="s">
        <v>360</v>
      </c>
      <c r="C702" s="272" t="s">
        <v>359</v>
      </c>
      <c r="D702" s="275" t="s">
        <v>216</v>
      </c>
      <c r="E702" s="275">
        <v>41263.706273148149</v>
      </c>
      <c r="F702" s="276">
        <v>2</v>
      </c>
      <c r="G702" s="243">
        <f t="shared" si="11"/>
        <v>64</v>
      </c>
      <c r="H702" s="244"/>
      <c r="I702" s="71" t="e">
        <f>IF(COUNTIF((rName rData),H702),"","Name Error!")</f>
        <v>#NAME?</v>
      </c>
    </row>
    <row r="703" spans="2:9" s="126" customFormat="1" ht="15" customHeight="1" x14ac:dyDescent="0.25">
      <c r="B703" s="271" t="s">
        <v>341</v>
      </c>
      <c r="C703" s="272" t="s">
        <v>340</v>
      </c>
      <c r="D703" s="275" t="s">
        <v>216</v>
      </c>
      <c r="E703" s="275">
        <v>41263.717256944445</v>
      </c>
      <c r="F703" s="276">
        <v>3</v>
      </c>
      <c r="G703" s="243">
        <f t="shared" si="11"/>
        <v>64</v>
      </c>
      <c r="H703" s="244"/>
      <c r="I703" s="71" t="e">
        <f>IF(COUNTIF((rName rData),H703),"","Name Error!")</f>
        <v>#NAME?</v>
      </c>
    </row>
    <row r="704" spans="2:9" s="126" customFormat="1" ht="15" customHeight="1" x14ac:dyDescent="0.25">
      <c r="B704" s="271" t="s">
        <v>322</v>
      </c>
      <c r="C704" s="272" t="s">
        <v>321</v>
      </c>
      <c r="D704" s="275" t="s">
        <v>216</v>
      </c>
      <c r="E704" s="275">
        <v>41263.779733796298</v>
      </c>
      <c r="F704" s="276">
        <v>1</v>
      </c>
      <c r="G704" s="243">
        <f t="shared" si="11"/>
        <v>64</v>
      </c>
      <c r="H704" s="244"/>
      <c r="I704" s="71" t="e">
        <f>IF(COUNTIF((rName rData),H704),"","Name Error!")</f>
        <v>#NAME?</v>
      </c>
    </row>
    <row r="705" spans="2:9" s="126" customFormat="1" ht="15" customHeight="1" x14ac:dyDescent="0.25">
      <c r="B705" s="271" t="s">
        <v>365</v>
      </c>
      <c r="C705" s="272" t="s">
        <v>364</v>
      </c>
      <c r="D705" s="275" t="s">
        <v>216</v>
      </c>
      <c r="E705" s="275">
        <v>41263.825289351851</v>
      </c>
      <c r="F705" s="276">
        <v>1</v>
      </c>
      <c r="G705" s="243">
        <f t="shared" si="11"/>
        <v>64</v>
      </c>
      <c r="H705" s="244"/>
      <c r="I705" s="71" t="e">
        <f>IF(COUNTIF((rName rData),H705),"","Name Error!")</f>
        <v>#NAME?</v>
      </c>
    </row>
    <row r="706" spans="2:9" s="126" customFormat="1" ht="15" customHeight="1" x14ac:dyDescent="0.25">
      <c r="B706" s="271" t="s">
        <v>345</v>
      </c>
      <c r="C706" s="272" t="s">
        <v>344</v>
      </c>
      <c r="D706" s="275" t="s">
        <v>216</v>
      </c>
      <c r="E706" s="275">
        <v>41263.830590277779</v>
      </c>
      <c r="F706" s="276">
        <v>1</v>
      </c>
      <c r="G706" s="243">
        <f t="shared" si="11"/>
        <v>64</v>
      </c>
      <c r="H706" s="244"/>
      <c r="I706" s="71" t="e">
        <f>IF(COUNTIF((rName rData),H706),"","Name Error!")</f>
        <v>#NAME?</v>
      </c>
    </row>
    <row r="707" spans="2:9" s="126" customFormat="1" ht="15" customHeight="1" x14ac:dyDescent="0.25">
      <c r="B707" s="271" t="s">
        <v>339</v>
      </c>
      <c r="C707" s="272" t="s">
        <v>338</v>
      </c>
      <c r="D707" s="275" t="s">
        <v>216</v>
      </c>
      <c r="E707" s="275">
        <v>41263.842442129629</v>
      </c>
      <c r="F707" s="276">
        <v>1</v>
      </c>
      <c r="G707" s="243">
        <f t="shared" si="11"/>
        <v>64</v>
      </c>
      <c r="H707" s="244"/>
      <c r="I707" s="71" t="e">
        <f>IF(COUNTIF((rName rData),H707),"","Name Error!")</f>
        <v>#NAME?</v>
      </c>
    </row>
    <row r="708" spans="2:9" s="126" customFormat="1" ht="15" customHeight="1" x14ac:dyDescent="0.25">
      <c r="B708" s="271" t="s">
        <v>335</v>
      </c>
      <c r="C708" s="272" t="s">
        <v>334</v>
      </c>
      <c r="D708" s="275" t="s">
        <v>216</v>
      </c>
      <c r="E708" s="275">
        <v>41263.842812499999</v>
      </c>
      <c r="F708" s="276">
        <v>1</v>
      </c>
      <c r="G708" s="243">
        <f t="shared" si="11"/>
        <v>64</v>
      </c>
      <c r="H708" s="244"/>
      <c r="I708" s="71" t="e">
        <f>IF(COUNTIF((rName rData),H708),"","Name Error!")</f>
        <v>#NAME?</v>
      </c>
    </row>
    <row r="709" spans="2:9" s="126" customFormat="1" ht="15" customHeight="1" x14ac:dyDescent="0.25">
      <c r="B709" s="271" t="s">
        <v>371</v>
      </c>
      <c r="C709" s="272" t="s">
        <v>370</v>
      </c>
      <c r="D709" s="275" t="s">
        <v>216</v>
      </c>
      <c r="E709" s="275">
        <v>41263.885115740741</v>
      </c>
      <c r="F709" s="276">
        <v>1</v>
      </c>
      <c r="G709" s="243">
        <f t="shared" si="11"/>
        <v>64</v>
      </c>
      <c r="H709" s="244"/>
      <c r="I709" s="71" t="e">
        <f>IF(COUNTIF((rName rData),H709),"","Name Error!")</f>
        <v>#NAME?</v>
      </c>
    </row>
    <row r="710" spans="2:9" s="126" customFormat="1" ht="15" customHeight="1" x14ac:dyDescent="0.25">
      <c r="B710" s="271" t="s">
        <v>324</v>
      </c>
      <c r="C710" s="272" t="s">
        <v>323</v>
      </c>
      <c r="D710" s="275" t="s">
        <v>216</v>
      </c>
      <c r="E710" s="275">
        <v>41264.399375000001</v>
      </c>
      <c r="F710" s="276">
        <v>1</v>
      </c>
      <c r="G710" s="243">
        <f t="shared" si="11"/>
        <v>64</v>
      </c>
      <c r="H710" s="244"/>
      <c r="I710" s="71" t="e">
        <f>IF(COUNTIF((rName rData),H710),"","Name Error!")</f>
        <v>#NAME?</v>
      </c>
    </row>
    <row r="711" spans="2:9" s="126" customFormat="1" ht="15" customHeight="1" x14ac:dyDescent="0.25">
      <c r="B711" s="271" t="s">
        <v>354</v>
      </c>
      <c r="C711" s="272" t="s">
        <v>353</v>
      </c>
      <c r="D711" s="275" t="s">
        <v>216</v>
      </c>
      <c r="E711" s="275">
        <v>41264.445717592593</v>
      </c>
      <c r="F711" s="276">
        <v>1</v>
      </c>
      <c r="G711" s="243">
        <f t="shared" si="11"/>
        <v>64</v>
      </c>
      <c r="H711" s="244"/>
      <c r="I711" s="71" t="e">
        <f>IF(COUNTIF((rName rData),H711),"","Name Error!")</f>
        <v>#NAME?</v>
      </c>
    </row>
    <row r="712" spans="2:9" s="126" customFormat="1" ht="15" customHeight="1" x14ac:dyDescent="0.25">
      <c r="B712" s="271" t="s">
        <v>371</v>
      </c>
      <c r="C712" s="272" t="s">
        <v>370</v>
      </c>
      <c r="D712" s="275" t="s">
        <v>216</v>
      </c>
      <c r="E712" s="275">
        <v>41264.448148148149</v>
      </c>
      <c r="F712" s="276">
        <v>1</v>
      </c>
      <c r="G712" s="243">
        <f t="shared" si="11"/>
        <v>64</v>
      </c>
      <c r="H712" s="244"/>
      <c r="I712" s="71" t="e">
        <f>IF(COUNTIF((rName rData),H712),"","Name Error!")</f>
        <v>#NAME?</v>
      </c>
    </row>
    <row r="713" spans="2:9" s="126" customFormat="1" ht="15" customHeight="1" x14ac:dyDescent="0.25">
      <c r="B713" s="271" t="s">
        <v>350</v>
      </c>
      <c r="C713" s="272" t="s">
        <v>349</v>
      </c>
      <c r="D713" s="275" t="s">
        <v>216</v>
      </c>
      <c r="E713" s="275">
        <v>41264.448344907411</v>
      </c>
      <c r="F713" s="276">
        <v>1</v>
      </c>
      <c r="G713" s="243">
        <f t="shared" si="11"/>
        <v>64</v>
      </c>
      <c r="H713" s="244"/>
      <c r="I713" s="71" t="e">
        <f>IF(COUNTIF((rName rData),H713),"","Name Error!")</f>
        <v>#NAME?</v>
      </c>
    </row>
    <row r="714" spans="2:9" s="126" customFormat="1" ht="15" customHeight="1" x14ac:dyDescent="0.25">
      <c r="B714" s="271" t="s">
        <v>331</v>
      </c>
      <c r="C714" s="272" t="s">
        <v>330</v>
      </c>
      <c r="D714" s="275" t="s">
        <v>216</v>
      </c>
      <c r="E714" s="275">
        <v>41264.452187499999</v>
      </c>
      <c r="F714" s="276">
        <v>2</v>
      </c>
      <c r="G714" s="243">
        <f t="shared" ref="G714:G777" si="12">TRUNC((E714-start)/7)+1</f>
        <v>64</v>
      </c>
      <c r="H714" s="244"/>
      <c r="I714" s="71" t="e">
        <f>IF(COUNTIF((rName rData),H714),"","Name Error!")</f>
        <v>#NAME?</v>
      </c>
    </row>
    <row r="715" spans="2:9" s="126" customFormat="1" ht="15" customHeight="1" x14ac:dyDescent="0.25">
      <c r="B715" s="271" t="s">
        <v>352</v>
      </c>
      <c r="C715" s="272" t="s">
        <v>351</v>
      </c>
      <c r="D715" s="275" t="s">
        <v>216</v>
      </c>
      <c r="E715" s="275">
        <v>41264.452673611115</v>
      </c>
      <c r="F715" s="276">
        <v>1</v>
      </c>
      <c r="G715" s="243">
        <f t="shared" si="12"/>
        <v>64</v>
      </c>
      <c r="H715" s="244"/>
      <c r="I715" s="71" t="e">
        <f>IF(COUNTIF((rName rData),H715),"","Name Error!")</f>
        <v>#NAME?</v>
      </c>
    </row>
    <row r="716" spans="2:9" s="126" customFormat="1" ht="15" customHeight="1" x14ac:dyDescent="0.25">
      <c r="B716" s="271" t="s">
        <v>320</v>
      </c>
      <c r="C716" s="272" t="s">
        <v>319</v>
      </c>
      <c r="D716" s="275" t="s">
        <v>216</v>
      </c>
      <c r="E716" s="275">
        <v>41264.676111111112</v>
      </c>
      <c r="F716" s="276">
        <v>1</v>
      </c>
      <c r="G716" s="243">
        <f t="shared" si="12"/>
        <v>64</v>
      </c>
      <c r="H716" s="244"/>
      <c r="I716" s="71" t="e">
        <f>IF(COUNTIF((rName rData),H716),"","Name Error!")</f>
        <v>#NAME?</v>
      </c>
    </row>
    <row r="717" spans="2:9" s="126" customFormat="1" ht="15" customHeight="1" x14ac:dyDescent="0.25">
      <c r="B717" s="271" t="s">
        <v>326</v>
      </c>
      <c r="C717" s="272" t="s">
        <v>325</v>
      </c>
      <c r="D717" s="275" t="s">
        <v>216</v>
      </c>
      <c r="E717" s="275">
        <v>41264.680069444446</v>
      </c>
      <c r="F717" s="276">
        <v>1</v>
      </c>
      <c r="G717" s="243">
        <f t="shared" si="12"/>
        <v>64</v>
      </c>
      <c r="H717" s="244"/>
      <c r="I717" s="71" t="e">
        <f>IF(COUNTIF((rName rData),H717),"","Name Error!")</f>
        <v>#NAME?</v>
      </c>
    </row>
    <row r="718" spans="2:9" s="126" customFormat="1" ht="15" customHeight="1" x14ac:dyDescent="0.25">
      <c r="B718" s="271" t="s">
        <v>328</v>
      </c>
      <c r="C718" s="272" t="s">
        <v>327</v>
      </c>
      <c r="D718" s="275" t="s">
        <v>216</v>
      </c>
      <c r="E718" s="275">
        <v>41265.769687499997</v>
      </c>
      <c r="F718" s="276">
        <v>1</v>
      </c>
      <c r="G718" s="243">
        <f t="shared" si="12"/>
        <v>65</v>
      </c>
      <c r="H718" s="244"/>
      <c r="I718" s="71" t="e">
        <f>IF(COUNTIF((rName rData),H718),"","Name Error!")</f>
        <v>#NAME?</v>
      </c>
    </row>
    <row r="719" spans="2:9" s="126" customFormat="1" ht="15" customHeight="1" x14ac:dyDescent="0.25">
      <c r="B719" s="271" t="s">
        <v>279</v>
      </c>
      <c r="C719" s="272" t="s">
        <v>280</v>
      </c>
      <c r="D719" s="275" t="s">
        <v>216</v>
      </c>
      <c r="E719" s="275">
        <v>41266.51059027778</v>
      </c>
      <c r="F719" s="276">
        <v>1</v>
      </c>
      <c r="G719" s="243">
        <f t="shared" si="12"/>
        <v>65</v>
      </c>
      <c r="H719" s="244"/>
      <c r="I719" s="71" t="e">
        <f>IF(COUNTIF((rName rData),H719),"","Name Error!")</f>
        <v>#NAME?</v>
      </c>
    </row>
    <row r="720" spans="2:9" s="126" customFormat="1" ht="15" customHeight="1" x14ac:dyDescent="0.25">
      <c r="B720" s="271" t="s">
        <v>279</v>
      </c>
      <c r="C720" s="272" t="s">
        <v>280</v>
      </c>
      <c r="D720" s="275" t="s">
        <v>216</v>
      </c>
      <c r="E720" s="275">
        <v>41267.379374999997</v>
      </c>
      <c r="F720" s="276">
        <v>2</v>
      </c>
      <c r="G720" s="243">
        <f t="shared" si="12"/>
        <v>65</v>
      </c>
      <c r="H720" s="244"/>
      <c r="I720" s="71" t="e">
        <f>IF(COUNTIF((rName rData),H720),"","Name Error!")</f>
        <v>#NAME?</v>
      </c>
    </row>
    <row r="721" spans="2:9" s="126" customFormat="1" ht="15" customHeight="1" x14ac:dyDescent="0.25">
      <c r="B721" s="271" t="s">
        <v>324</v>
      </c>
      <c r="C721" s="272" t="s">
        <v>323</v>
      </c>
      <c r="D721" s="275" t="s">
        <v>216</v>
      </c>
      <c r="E721" s="275">
        <v>41267.827870370369</v>
      </c>
      <c r="F721" s="276">
        <v>1</v>
      </c>
      <c r="G721" s="243">
        <f t="shared" si="12"/>
        <v>65</v>
      </c>
      <c r="H721" s="244"/>
      <c r="I721" s="71" t="e">
        <f>IF(COUNTIF((rName rData),H721),"","Name Error!")</f>
        <v>#NAME?</v>
      </c>
    </row>
    <row r="722" spans="2:9" s="126" customFormat="1" ht="15" customHeight="1" x14ac:dyDescent="0.25">
      <c r="B722" s="271" t="s">
        <v>371</v>
      </c>
      <c r="C722" s="272" t="s">
        <v>370</v>
      </c>
      <c r="D722" s="275" t="s">
        <v>216</v>
      </c>
      <c r="E722" s="275">
        <v>41267.971030092594</v>
      </c>
      <c r="F722" s="276">
        <v>1</v>
      </c>
      <c r="G722" s="243">
        <f t="shared" si="12"/>
        <v>65</v>
      </c>
      <c r="H722" s="244"/>
      <c r="I722" s="71" t="e">
        <f>IF(COUNTIF((rName rData),H722),"","Name Error!")</f>
        <v>#NAME?</v>
      </c>
    </row>
    <row r="723" spans="2:9" s="126" customFormat="1" ht="15" customHeight="1" x14ac:dyDescent="0.25">
      <c r="B723" s="271" t="s">
        <v>279</v>
      </c>
      <c r="C723" s="272" t="s">
        <v>280</v>
      </c>
      <c r="D723" s="275" t="s">
        <v>216</v>
      </c>
      <c r="E723" s="275">
        <v>41268.197974537034</v>
      </c>
      <c r="F723" s="276">
        <v>2</v>
      </c>
      <c r="G723" s="243">
        <f t="shared" si="12"/>
        <v>65</v>
      </c>
      <c r="H723" s="244"/>
      <c r="I723" s="71" t="e">
        <f>IF(COUNTIF((rName rData),H723),"","Name Error!")</f>
        <v>#NAME?</v>
      </c>
    </row>
    <row r="724" spans="2:9" s="126" customFormat="1" ht="15" customHeight="1" x14ac:dyDescent="0.25">
      <c r="B724" s="271" t="s">
        <v>354</v>
      </c>
      <c r="C724" s="272" t="s">
        <v>353</v>
      </c>
      <c r="D724" s="275" t="s">
        <v>216</v>
      </c>
      <c r="E724" s="275">
        <v>41268.633321759262</v>
      </c>
      <c r="F724" s="276">
        <v>1</v>
      </c>
      <c r="G724" s="243">
        <f t="shared" si="12"/>
        <v>65</v>
      </c>
      <c r="H724" s="244"/>
      <c r="I724" s="71" t="e">
        <f>IF(COUNTIF((rName rData),H724),"","Name Error!")</f>
        <v>#NAME?</v>
      </c>
    </row>
    <row r="725" spans="2:9" s="126" customFormat="1" ht="15" customHeight="1" x14ac:dyDescent="0.25">
      <c r="B725" s="271" t="s">
        <v>279</v>
      </c>
      <c r="C725" s="272" t="s">
        <v>280</v>
      </c>
      <c r="D725" s="275" t="s">
        <v>216</v>
      </c>
      <c r="E725" s="275">
        <v>41269.402766203704</v>
      </c>
      <c r="F725" s="276">
        <v>2</v>
      </c>
      <c r="G725" s="243">
        <f t="shared" si="12"/>
        <v>65</v>
      </c>
      <c r="H725" s="244"/>
      <c r="I725" s="71" t="e">
        <f>IF(COUNTIF((rName rData),H725),"","Name Error!")</f>
        <v>#NAME?</v>
      </c>
    </row>
    <row r="726" spans="2:9" s="126" customFormat="1" ht="15" customHeight="1" x14ac:dyDescent="0.25">
      <c r="B726" s="271" t="s">
        <v>326</v>
      </c>
      <c r="C726" s="272" t="s">
        <v>325</v>
      </c>
      <c r="D726" s="275" t="s">
        <v>216</v>
      </c>
      <c r="E726" s="275">
        <v>41269.549571759257</v>
      </c>
      <c r="F726" s="276">
        <v>1</v>
      </c>
      <c r="G726" s="243">
        <f t="shared" si="12"/>
        <v>65</v>
      </c>
      <c r="H726" s="244"/>
      <c r="I726" s="71" t="e">
        <f>IF(COUNTIF((rName rData),H726),"","Name Error!")</f>
        <v>#NAME?</v>
      </c>
    </row>
    <row r="727" spans="2:9" s="126" customFormat="1" ht="15" customHeight="1" x14ac:dyDescent="0.25">
      <c r="B727" s="271" t="s">
        <v>354</v>
      </c>
      <c r="C727" s="272" t="s">
        <v>353</v>
      </c>
      <c r="D727" s="275" t="s">
        <v>216</v>
      </c>
      <c r="E727" s="275">
        <v>41269.628819444442</v>
      </c>
      <c r="F727" s="276">
        <v>1</v>
      </c>
      <c r="G727" s="243">
        <f t="shared" si="12"/>
        <v>65</v>
      </c>
      <c r="H727" s="244"/>
      <c r="I727" s="71" t="e">
        <f>IF(COUNTIF((rName rData),H727),"","Name Error!")</f>
        <v>#NAME?</v>
      </c>
    </row>
    <row r="728" spans="2:9" s="126" customFormat="1" ht="15" customHeight="1" x14ac:dyDescent="0.25">
      <c r="B728" s="271" t="s">
        <v>279</v>
      </c>
      <c r="C728" s="272" t="s">
        <v>280</v>
      </c>
      <c r="D728" s="275" t="s">
        <v>216</v>
      </c>
      <c r="E728" s="275">
        <v>41270.378344907411</v>
      </c>
      <c r="F728" s="276">
        <v>3</v>
      </c>
      <c r="G728" s="243">
        <f t="shared" si="12"/>
        <v>65</v>
      </c>
      <c r="H728" s="244"/>
      <c r="I728" s="71" t="e">
        <f>IF(COUNTIF((rName rData),H728),"","Name Error!")</f>
        <v>#NAME?</v>
      </c>
    </row>
    <row r="729" spans="2:9" s="126" customFormat="1" ht="15" customHeight="1" x14ac:dyDescent="0.25">
      <c r="B729" s="271" t="s">
        <v>324</v>
      </c>
      <c r="C729" s="272" t="s">
        <v>323</v>
      </c>
      <c r="D729" s="275" t="s">
        <v>216</v>
      </c>
      <c r="E729" s="275">
        <v>41271.056273148148</v>
      </c>
      <c r="F729" s="276">
        <v>1</v>
      </c>
      <c r="G729" s="243">
        <f t="shared" si="12"/>
        <v>65</v>
      </c>
      <c r="H729" s="244"/>
      <c r="I729" s="71" t="e">
        <f>IF(COUNTIF((rName rData),H729),"","Name Error!")</f>
        <v>#NAME?</v>
      </c>
    </row>
    <row r="730" spans="2:9" s="126" customFormat="1" ht="15" customHeight="1" x14ac:dyDescent="0.25">
      <c r="B730" s="271" t="s">
        <v>279</v>
      </c>
      <c r="C730" s="272" t="s">
        <v>280</v>
      </c>
      <c r="D730" s="275" t="s">
        <v>216</v>
      </c>
      <c r="E730" s="275">
        <v>41271.381550925929</v>
      </c>
      <c r="F730" s="276">
        <v>3</v>
      </c>
      <c r="G730" s="243">
        <f t="shared" si="12"/>
        <v>65</v>
      </c>
      <c r="H730" s="244"/>
      <c r="I730" s="71" t="e">
        <f>IF(COUNTIF((rName rData),H730),"","Name Error!")</f>
        <v>#NAME?</v>
      </c>
    </row>
    <row r="731" spans="2:9" s="126" customFormat="1" ht="15" customHeight="1" x14ac:dyDescent="0.25">
      <c r="B731" s="271" t="s">
        <v>343</v>
      </c>
      <c r="C731" s="272" t="s">
        <v>342</v>
      </c>
      <c r="D731" s="275" t="s">
        <v>216</v>
      </c>
      <c r="E731" s="275">
        <v>41271.65829861111</v>
      </c>
      <c r="F731" s="276">
        <v>1</v>
      </c>
      <c r="G731" s="243">
        <f t="shared" si="12"/>
        <v>65</v>
      </c>
      <c r="H731" s="244"/>
      <c r="I731" s="71" t="e">
        <f>IF(COUNTIF((rName rData),H731),"","Name Error!")</f>
        <v>#NAME?</v>
      </c>
    </row>
    <row r="732" spans="2:9" s="126" customFormat="1" ht="15" customHeight="1" x14ac:dyDescent="0.25">
      <c r="B732" s="271" t="s">
        <v>279</v>
      </c>
      <c r="C732" s="272" t="s">
        <v>280</v>
      </c>
      <c r="D732" s="275" t="s">
        <v>216</v>
      </c>
      <c r="E732" s="275">
        <v>41272.357881944445</v>
      </c>
      <c r="F732" s="276">
        <v>4</v>
      </c>
      <c r="G732" s="243">
        <f t="shared" si="12"/>
        <v>66</v>
      </c>
      <c r="H732" s="244"/>
      <c r="I732" s="71" t="e">
        <f>IF(COUNTIF((rName rData),H732),"","Name Error!")</f>
        <v>#NAME?</v>
      </c>
    </row>
    <row r="733" spans="2:9" s="126" customFormat="1" ht="15" customHeight="1" x14ac:dyDescent="0.25">
      <c r="B733" s="271" t="s">
        <v>354</v>
      </c>
      <c r="C733" s="272" t="s">
        <v>353</v>
      </c>
      <c r="D733" s="275" t="s">
        <v>216</v>
      </c>
      <c r="E733" s="275">
        <v>41272.418275462966</v>
      </c>
      <c r="F733" s="276">
        <v>2</v>
      </c>
      <c r="G733" s="243">
        <f t="shared" si="12"/>
        <v>66</v>
      </c>
      <c r="H733" s="244"/>
      <c r="I733" s="71" t="e">
        <f>IF(COUNTIF((rName rData),H733),"","Name Error!")</f>
        <v>#NAME?</v>
      </c>
    </row>
    <row r="734" spans="2:9" s="126" customFormat="1" ht="15" customHeight="1" x14ac:dyDescent="0.25">
      <c r="B734" s="271" t="s">
        <v>279</v>
      </c>
      <c r="C734" s="272" t="s">
        <v>280</v>
      </c>
      <c r="D734" s="275" t="s">
        <v>216</v>
      </c>
      <c r="E734" s="275">
        <v>41273.316793981481</v>
      </c>
      <c r="F734" s="276">
        <v>1</v>
      </c>
      <c r="G734" s="243">
        <f t="shared" si="12"/>
        <v>66</v>
      </c>
      <c r="H734" s="244"/>
      <c r="I734" s="71" t="e">
        <f>IF(COUNTIF((rName rData),H734),"","Name Error!")</f>
        <v>#NAME?</v>
      </c>
    </row>
    <row r="735" spans="2:9" s="126" customFormat="1" ht="15" customHeight="1" x14ac:dyDescent="0.25">
      <c r="B735" s="271" t="s">
        <v>331</v>
      </c>
      <c r="C735" s="272" t="s">
        <v>330</v>
      </c>
      <c r="D735" s="275" t="s">
        <v>216</v>
      </c>
      <c r="E735" s="275">
        <v>41273.668969907405</v>
      </c>
      <c r="F735" s="276">
        <v>1</v>
      </c>
      <c r="G735" s="243">
        <f t="shared" si="12"/>
        <v>66</v>
      </c>
      <c r="H735" s="244"/>
      <c r="I735" s="71" t="e">
        <f>IF(COUNTIF((rName rData),H735),"","Name Error!")</f>
        <v>#NAME?</v>
      </c>
    </row>
    <row r="736" spans="2:9" s="126" customFormat="1" ht="15" customHeight="1" x14ac:dyDescent="0.25">
      <c r="B736" s="271" t="s">
        <v>279</v>
      </c>
      <c r="C736" s="272" t="s">
        <v>280</v>
      </c>
      <c r="D736" s="275" t="s">
        <v>216</v>
      </c>
      <c r="E736" s="275">
        <v>41274.946388888886</v>
      </c>
      <c r="F736" s="276">
        <v>1</v>
      </c>
      <c r="G736" s="243">
        <f t="shared" si="12"/>
        <v>66</v>
      </c>
      <c r="H736" s="244"/>
      <c r="I736" s="71" t="e">
        <f>IF(COUNTIF((rName rData),H736),"","Name Error!")</f>
        <v>#NAME?</v>
      </c>
    </row>
    <row r="737" spans="2:9" s="126" customFormat="1" ht="15" customHeight="1" x14ac:dyDescent="0.25">
      <c r="B737" s="271" t="s">
        <v>324</v>
      </c>
      <c r="C737" s="272" t="s">
        <v>323</v>
      </c>
      <c r="D737" s="275" t="s">
        <v>216</v>
      </c>
      <c r="E737" s="275">
        <v>41275.664537037039</v>
      </c>
      <c r="F737" s="276">
        <v>1</v>
      </c>
      <c r="G737" s="243">
        <f t="shared" si="12"/>
        <v>66</v>
      </c>
      <c r="H737" s="244"/>
      <c r="I737" s="71" t="e">
        <f>IF(COUNTIF((rName rData),H737),"","Name Error!")</f>
        <v>#NAME?</v>
      </c>
    </row>
    <row r="738" spans="2:9" s="126" customFormat="1" ht="15" customHeight="1" x14ac:dyDescent="0.25">
      <c r="B738" s="271" t="s">
        <v>365</v>
      </c>
      <c r="C738" s="272" t="s">
        <v>364</v>
      </c>
      <c r="D738" s="275" t="s">
        <v>216</v>
      </c>
      <c r="E738" s="275">
        <v>41275.831192129626</v>
      </c>
      <c r="F738" s="276">
        <v>1</v>
      </c>
      <c r="G738" s="243">
        <f t="shared" si="12"/>
        <v>66</v>
      </c>
      <c r="H738" s="244"/>
      <c r="I738" s="71" t="e">
        <f>IF(COUNTIF((rName rData),H738),"","Name Error!")</f>
        <v>#NAME?</v>
      </c>
    </row>
    <row r="739" spans="2:9" s="126" customFormat="1" ht="15" customHeight="1" x14ac:dyDescent="0.25">
      <c r="B739" s="271" t="s">
        <v>350</v>
      </c>
      <c r="C739" s="272" t="s">
        <v>349</v>
      </c>
      <c r="D739" s="275" t="s">
        <v>216</v>
      </c>
      <c r="E739" s="275">
        <v>41276.560497685183</v>
      </c>
      <c r="F739" s="276">
        <v>3</v>
      </c>
      <c r="G739" s="243">
        <f t="shared" si="12"/>
        <v>66</v>
      </c>
      <c r="H739" s="244"/>
      <c r="I739" s="71" t="e">
        <f>IF(COUNTIF((rName rData),H739),"","Name Error!")</f>
        <v>#NAME?</v>
      </c>
    </row>
    <row r="740" spans="2:9" s="126" customFormat="1" ht="15" customHeight="1" x14ac:dyDescent="0.25">
      <c r="B740" s="271" t="s">
        <v>358</v>
      </c>
      <c r="C740" s="272" t="s">
        <v>357</v>
      </c>
      <c r="D740" s="275" t="s">
        <v>216</v>
      </c>
      <c r="E740" s="275">
        <v>41276.561041666668</v>
      </c>
      <c r="F740" s="276">
        <v>2</v>
      </c>
      <c r="G740" s="243">
        <f t="shared" si="12"/>
        <v>66</v>
      </c>
      <c r="H740" s="244"/>
      <c r="I740" s="71" t="e">
        <f>IF(COUNTIF((rName rData),H740),"","Name Error!")</f>
        <v>#NAME?</v>
      </c>
    </row>
    <row r="741" spans="2:9" s="126" customFormat="1" ht="15" customHeight="1" x14ac:dyDescent="0.25">
      <c r="B741" s="271" t="s">
        <v>328</v>
      </c>
      <c r="C741" s="272" t="s">
        <v>327</v>
      </c>
      <c r="D741" s="275" t="s">
        <v>216</v>
      </c>
      <c r="E741" s="275">
        <v>41276.561192129629</v>
      </c>
      <c r="F741" s="276">
        <v>2</v>
      </c>
      <c r="G741" s="243">
        <f t="shared" si="12"/>
        <v>66</v>
      </c>
      <c r="H741" s="244"/>
      <c r="I741" s="71" t="e">
        <f>IF(COUNTIF((rName rData),H741),"","Name Error!")</f>
        <v>#NAME?</v>
      </c>
    </row>
    <row r="742" spans="2:9" s="126" customFormat="1" ht="15" customHeight="1" x14ac:dyDescent="0.25">
      <c r="B742" s="271" t="s">
        <v>267</v>
      </c>
      <c r="C742" s="272" t="s">
        <v>268</v>
      </c>
      <c r="D742" s="275" t="s">
        <v>216</v>
      </c>
      <c r="E742" s="275">
        <v>41276.826921296299</v>
      </c>
      <c r="F742" s="276">
        <v>1</v>
      </c>
      <c r="G742" s="243">
        <f t="shared" si="12"/>
        <v>66</v>
      </c>
      <c r="H742" s="244"/>
      <c r="I742" s="71" t="e">
        <f>IF(COUNTIF((rName rData),H742),"","Name Error!")</f>
        <v>#NAME?</v>
      </c>
    </row>
    <row r="743" spans="2:9" s="126" customFormat="1" ht="15" customHeight="1" x14ac:dyDescent="0.25">
      <c r="B743" s="271" t="s">
        <v>328</v>
      </c>
      <c r="C743" s="272" t="s">
        <v>327</v>
      </c>
      <c r="D743" s="275" t="s">
        <v>216</v>
      </c>
      <c r="E743" s="275">
        <v>41277.661782407406</v>
      </c>
      <c r="F743" s="276">
        <v>2</v>
      </c>
      <c r="G743" s="243">
        <f t="shared" si="12"/>
        <v>66</v>
      </c>
      <c r="H743" s="244"/>
      <c r="I743" s="71" t="e">
        <f>IF(COUNTIF((rName rData),H743),"","Name Error!")</f>
        <v>#NAME?</v>
      </c>
    </row>
    <row r="744" spans="2:9" s="126" customFormat="1" ht="15" customHeight="1" x14ac:dyDescent="0.25">
      <c r="B744" s="271" t="s">
        <v>358</v>
      </c>
      <c r="C744" s="272" t="s">
        <v>357</v>
      </c>
      <c r="D744" s="275" t="s">
        <v>216</v>
      </c>
      <c r="E744" s="275">
        <v>41277.692164351851</v>
      </c>
      <c r="F744" s="276">
        <v>3</v>
      </c>
      <c r="G744" s="243">
        <f t="shared" si="12"/>
        <v>66</v>
      </c>
      <c r="H744" s="244"/>
      <c r="I744" s="71" t="e">
        <f>IF(COUNTIF((rName rData),H744),"","Name Error!")</f>
        <v>#NAME?</v>
      </c>
    </row>
    <row r="745" spans="2:9" s="126" customFormat="1" ht="15" customHeight="1" x14ac:dyDescent="0.25">
      <c r="B745" s="271" t="s">
        <v>358</v>
      </c>
      <c r="C745" s="272" t="s">
        <v>357</v>
      </c>
      <c r="D745" s="275" t="s">
        <v>216</v>
      </c>
      <c r="E745" s="275">
        <v>41278.56050925926</v>
      </c>
      <c r="F745" s="276">
        <v>3</v>
      </c>
      <c r="G745" s="243">
        <f t="shared" si="12"/>
        <v>66</v>
      </c>
      <c r="H745" s="244"/>
      <c r="I745" s="71" t="e">
        <f>IF(COUNTIF((rName rData),H745),"","Name Error!")</f>
        <v>#NAME?</v>
      </c>
    </row>
    <row r="746" spans="2:9" s="126" customFormat="1" ht="15" customHeight="1" x14ac:dyDescent="0.25">
      <c r="B746" s="271" t="s">
        <v>328</v>
      </c>
      <c r="C746" s="272" t="s">
        <v>327</v>
      </c>
      <c r="D746" s="275" t="s">
        <v>216</v>
      </c>
      <c r="E746" s="275">
        <v>41278.691076388888</v>
      </c>
      <c r="F746" s="276">
        <v>1</v>
      </c>
      <c r="G746" s="243">
        <f t="shared" si="12"/>
        <v>66</v>
      </c>
      <c r="H746" s="244"/>
      <c r="I746" s="71" t="e">
        <f>IF(COUNTIF((rName rData),H746),"","Name Error!")</f>
        <v>#NAME?</v>
      </c>
    </row>
    <row r="747" spans="2:9" s="126" customFormat="1" ht="15" customHeight="1" x14ac:dyDescent="0.25">
      <c r="B747" s="271" t="s">
        <v>350</v>
      </c>
      <c r="C747" s="272" t="s">
        <v>349</v>
      </c>
      <c r="D747" s="275" t="s">
        <v>216</v>
      </c>
      <c r="E747" s="275">
        <v>41278.714641203704</v>
      </c>
      <c r="F747" s="276">
        <v>1</v>
      </c>
      <c r="G747" s="243">
        <f t="shared" si="12"/>
        <v>66</v>
      </c>
      <c r="H747" s="244"/>
      <c r="I747" s="71" t="e">
        <f>IF(COUNTIF((rName rData),H747),"","Name Error!")</f>
        <v>#NAME?</v>
      </c>
    </row>
    <row r="748" spans="2:9" s="126" customFormat="1" ht="15" customHeight="1" x14ac:dyDescent="0.25">
      <c r="B748" s="271" t="s">
        <v>345</v>
      </c>
      <c r="C748" s="272" t="s">
        <v>344</v>
      </c>
      <c r="D748" s="275" t="s">
        <v>216</v>
      </c>
      <c r="E748" s="275">
        <v>41279.436296296299</v>
      </c>
      <c r="F748" s="276">
        <v>1</v>
      </c>
      <c r="G748" s="243">
        <f t="shared" si="12"/>
        <v>67</v>
      </c>
      <c r="H748" s="244"/>
      <c r="I748" s="71" t="e">
        <f>IF(COUNTIF((rName rData),H748),"","Name Error!")</f>
        <v>#NAME?</v>
      </c>
    </row>
    <row r="749" spans="2:9" s="126" customFormat="1" ht="15" customHeight="1" x14ac:dyDescent="0.25">
      <c r="B749" s="271" t="s">
        <v>358</v>
      </c>
      <c r="C749" s="272" t="s">
        <v>357</v>
      </c>
      <c r="D749" s="275" t="s">
        <v>216</v>
      </c>
      <c r="E749" s="275">
        <v>41281.66128472222</v>
      </c>
      <c r="F749" s="276">
        <v>1</v>
      </c>
      <c r="G749" s="243">
        <f t="shared" si="12"/>
        <v>67</v>
      </c>
      <c r="H749" s="244"/>
      <c r="I749" s="71" t="e">
        <f>IF(COUNTIF((rName rData),H749),"","Name Error!")</f>
        <v>#NAME?</v>
      </c>
    </row>
    <row r="750" spans="2:9" s="126" customFormat="1" ht="15" customHeight="1" x14ac:dyDescent="0.25">
      <c r="B750" s="271" t="s">
        <v>328</v>
      </c>
      <c r="C750" s="272" t="s">
        <v>327</v>
      </c>
      <c r="D750" s="275" t="s">
        <v>216</v>
      </c>
      <c r="E750" s="275">
        <v>41281.666087962964</v>
      </c>
      <c r="F750" s="276">
        <v>1</v>
      </c>
      <c r="G750" s="243">
        <f t="shared" si="12"/>
        <v>67</v>
      </c>
      <c r="H750" s="244"/>
      <c r="I750" s="71" t="e">
        <f>IF(COUNTIF((rName rData),H750),"","Name Error!")</f>
        <v>#NAME?</v>
      </c>
    </row>
    <row r="751" spans="2:9" s="126" customFormat="1" ht="15" customHeight="1" x14ac:dyDescent="0.25">
      <c r="B751" s="271" t="s">
        <v>362</v>
      </c>
      <c r="C751" s="272" t="s">
        <v>361</v>
      </c>
      <c r="D751" s="275" t="s">
        <v>216</v>
      </c>
      <c r="E751" s="275">
        <v>41281.680439814816</v>
      </c>
      <c r="F751" s="276">
        <v>1</v>
      </c>
      <c r="G751" s="243">
        <f t="shared" si="12"/>
        <v>67</v>
      </c>
      <c r="H751" s="244"/>
      <c r="I751" s="71" t="e">
        <f>IF(COUNTIF((rName rData),H751),"","Name Error!")</f>
        <v>#NAME?</v>
      </c>
    </row>
    <row r="752" spans="2:9" s="126" customFormat="1" ht="15" customHeight="1" x14ac:dyDescent="0.25">
      <c r="B752" s="271" t="s">
        <v>350</v>
      </c>
      <c r="C752" s="272" t="s">
        <v>349</v>
      </c>
      <c r="D752" s="275" t="s">
        <v>216</v>
      </c>
      <c r="E752" s="275">
        <v>41281.692337962966</v>
      </c>
      <c r="F752" s="276">
        <v>2</v>
      </c>
      <c r="G752" s="243">
        <f t="shared" si="12"/>
        <v>67</v>
      </c>
      <c r="H752" s="244"/>
      <c r="I752" s="71" t="e">
        <f>IF(COUNTIF((rName rData),H752),"","Name Error!")</f>
        <v>#NAME?</v>
      </c>
    </row>
    <row r="753" spans="2:9" s="126" customFormat="1" ht="15" customHeight="1" x14ac:dyDescent="0.25">
      <c r="B753" s="271" t="s">
        <v>328</v>
      </c>
      <c r="C753" s="272" t="s">
        <v>327</v>
      </c>
      <c r="D753" s="275" t="s">
        <v>216</v>
      </c>
      <c r="E753" s="275">
        <v>41282.430277777778</v>
      </c>
      <c r="F753" s="276">
        <v>1</v>
      </c>
      <c r="G753" s="243">
        <f t="shared" si="12"/>
        <v>67</v>
      </c>
      <c r="H753" s="244"/>
      <c r="I753" s="71" t="e">
        <f>IF(COUNTIF((rName rData),H753),"","Name Error!")</f>
        <v>#NAME?</v>
      </c>
    </row>
    <row r="754" spans="2:9" s="126" customFormat="1" ht="15" customHeight="1" x14ac:dyDescent="0.25">
      <c r="B754" s="271" t="s">
        <v>350</v>
      </c>
      <c r="C754" s="272" t="s">
        <v>349</v>
      </c>
      <c r="D754" s="275" t="s">
        <v>216</v>
      </c>
      <c r="E754" s="275">
        <v>41282.430486111109</v>
      </c>
      <c r="F754" s="276">
        <v>1</v>
      </c>
      <c r="G754" s="243">
        <f t="shared" si="12"/>
        <v>67</v>
      </c>
      <c r="H754" s="244"/>
      <c r="I754" s="71" t="e">
        <f>IF(COUNTIF((rName rData),H754),"","Name Error!")</f>
        <v>#NAME?</v>
      </c>
    </row>
    <row r="755" spans="2:9" s="126" customFormat="1" ht="15" customHeight="1" x14ac:dyDescent="0.25">
      <c r="B755" s="271" t="s">
        <v>358</v>
      </c>
      <c r="C755" s="272" t="s">
        <v>357</v>
      </c>
      <c r="D755" s="275" t="s">
        <v>216</v>
      </c>
      <c r="E755" s="275">
        <v>41282.932754629626</v>
      </c>
      <c r="F755" s="276">
        <v>1</v>
      </c>
      <c r="G755" s="243">
        <f t="shared" si="12"/>
        <v>67</v>
      </c>
      <c r="H755" s="244"/>
      <c r="I755" s="71" t="e">
        <f>IF(COUNTIF((rName rData),H755),"","Name Error!")</f>
        <v>#NAME?</v>
      </c>
    </row>
    <row r="756" spans="2:9" s="126" customFormat="1" ht="15" customHeight="1" x14ac:dyDescent="0.25">
      <c r="B756" s="271" t="s">
        <v>328</v>
      </c>
      <c r="C756" s="272" t="s">
        <v>327</v>
      </c>
      <c r="D756" s="275" t="s">
        <v>216</v>
      </c>
      <c r="E756" s="275">
        <v>41284.051990740743</v>
      </c>
      <c r="F756" s="276">
        <v>1</v>
      </c>
      <c r="G756" s="243">
        <f t="shared" si="12"/>
        <v>67</v>
      </c>
      <c r="H756" s="244"/>
      <c r="I756" s="71" t="e">
        <f>IF(COUNTIF((rName rData),H756),"","Name Error!")</f>
        <v>#NAME?</v>
      </c>
    </row>
    <row r="757" spans="2:9" s="126" customFormat="1" ht="15" customHeight="1" x14ac:dyDescent="0.25">
      <c r="B757" s="271" t="s">
        <v>350</v>
      </c>
      <c r="C757" s="272" t="s">
        <v>349</v>
      </c>
      <c r="D757" s="275" t="s">
        <v>216</v>
      </c>
      <c r="E757" s="275">
        <v>41284.44872685185</v>
      </c>
      <c r="F757" s="276">
        <v>2</v>
      </c>
      <c r="G757" s="243">
        <f t="shared" si="12"/>
        <v>67</v>
      </c>
      <c r="H757" s="244"/>
      <c r="I757" s="71" t="e">
        <f>IF(COUNTIF((rName rData),H757),"","Name Error!")</f>
        <v>#NAME?</v>
      </c>
    </row>
    <row r="758" spans="2:9" s="126" customFormat="1" ht="15" customHeight="1" x14ac:dyDescent="0.25">
      <c r="B758" s="271" t="s">
        <v>324</v>
      </c>
      <c r="C758" s="272" t="s">
        <v>323</v>
      </c>
      <c r="D758" s="275" t="s">
        <v>216</v>
      </c>
      <c r="E758" s="275">
        <v>41284.665370370371</v>
      </c>
      <c r="F758" s="276">
        <v>1</v>
      </c>
      <c r="G758" s="243">
        <f t="shared" si="12"/>
        <v>67</v>
      </c>
      <c r="H758" s="244"/>
      <c r="I758" s="71" t="e">
        <f>IF(COUNTIF((rName rData),H758),"","Name Error!")</f>
        <v>#NAME?</v>
      </c>
    </row>
    <row r="759" spans="2:9" s="126" customFormat="1" ht="15" customHeight="1" x14ac:dyDescent="0.25">
      <c r="B759" s="271" t="s">
        <v>331</v>
      </c>
      <c r="C759" s="272" t="s">
        <v>330</v>
      </c>
      <c r="D759" s="275" t="s">
        <v>216</v>
      </c>
      <c r="E759" s="275">
        <v>41284.681770833333</v>
      </c>
      <c r="F759" s="276">
        <v>1</v>
      </c>
      <c r="G759" s="243">
        <f t="shared" si="12"/>
        <v>67</v>
      </c>
      <c r="H759" s="244"/>
      <c r="I759" s="71" t="e">
        <f>IF(COUNTIF((rName rData),H759),"","Name Error!")</f>
        <v>#NAME?</v>
      </c>
    </row>
    <row r="760" spans="2:9" s="126" customFormat="1" ht="15" customHeight="1" x14ac:dyDescent="0.25">
      <c r="B760" s="271" t="s">
        <v>358</v>
      </c>
      <c r="C760" s="272" t="s">
        <v>357</v>
      </c>
      <c r="D760" s="275" t="s">
        <v>216</v>
      </c>
      <c r="E760" s="275">
        <v>41284.905335648145</v>
      </c>
      <c r="F760" s="276">
        <v>2</v>
      </c>
      <c r="G760" s="243">
        <f t="shared" si="12"/>
        <v>67</v>
      </c>
      <c r="H760" s="244"/>
      <c r="I760" s="71" t="e">
        <f>IF(COUNTIF((rName rData),H760),"","Name Error!")</f>
        <v>#NAME?</v>
      </c>
    </row>
    <row r="761" spans="2:9" s="126" customFormat="1" ht="15" customHeight="1" x14ac:dyDescent="0.25">
      <c r="B761" s="271" t="s">
        <v>350</v>
      </c>
      <c r="C761" s="272" t="s">
        <v>349</v>
      </c>
      <c r="D761" s="275" t="s">
        <v>216</v>
      </c>
      <c r="E761" s="275">
        <v>41285.749768518515</v>
      </c>
      <c r="F761" s="276">
        <v>1</v>
      </c>
      <c r="G761" s="243">
        <f t="shared" si="12"/>
        <v>67</v>
      </c>
      <c r="H761" s="244"/>
      <c r="I761" s="71" t="e">
        <f>IF(COUNTIF((rName rData),H761),"","Name Error!")</f>
        <v>#NAME?</v>
      </c>
    </row>
    <row r="762" spans="2:9" s="126" customFormat="1" ht="15" customHeight="1" x14ac:dyDescent="0.25">
      <c r="B762" s="271" t="s">
        <v>328</v>
      </c>
      <c r="C762" s="272" t="s">
        <v>327</v>
      </c>
      <c r="D762" s="275" t="s">
        <v>216</v>
      </c>
      <c r="E762" s="275">
        <v>41286.636840277781</v>
      </c>
      <c r="F762" s="276">
        <v>1</v>
      </c>
      <c r="G762" s="243">
        <f t="shared" si="12"/>
        <v>68</v>
      </c>
      <c r="H762" s="244"/>
      <c r="I762" s="71" t="e">
        <f>IF(COUNTIF((rName rData),H762),"","Name Error!")</f>
        <v>#NAME?</v>
      </c>
    </row>
    <row r="763" spans="2:9" s="126" customFormat="1" ht="15" customHeight="1" x14ac:dyDescent="0.25">
      <c r="B763" s="271" t="s">
        <v>358</v>
      </c>
      <c r="C763" s="272" t="s">
        <v>357</v>
      </c>
      <c r="D763" s="275" t="s">
        <v>216</v>
      </c>
      <c r="E763" s="275">
        <v>41286.866643518515</v>
      </c>
      <c r="F763" s="276">
        <v>2</v>
      </c>
      <c r="G763" s="243">
        <f t="shared" si="12"/>
        <v>68</v>
      </c>
      <c r="H763" s="244"/>
      <c r="I763" s="71" t="e">
        <f>IF(COUNTIF((rName rData),H763),"","Name Error!")</f>
        <v>#NAME?</v>
      </c>
    </row>
    <row r="764" spans="2:9" s="126" customFormat="1" ht="15" customHeight="1" x14ac:dyDescent="0.25">
      <c r="B764" s="271" t="s">
        <v>358</v>
      </c>
      <c r="C764" s="272" t="s">
        <v>357</v>
      </c>
      <c r="D764" s="275" t="s">
        <v>216</v>
      </c>
      <c r="E764" s="275">
        <v>41287.671215277776</v>
      </c>
      <c r="F764" s="276">
        <v>1</v>
      </c>
      <c r="G764" s="243">
        <f t="shared" si="12"/>
        <v>68</v>
      </c>
      <c r="H764" s="244"/>
      <c r="I764" s="71" t="e">
        <f>IF(COUNTIF((rName rData),H764),"","Name Error!")</f>
        <v>#NAME?</v>
      </c>
    </row>
    <row r="765" spans="2:9" s="126" customFormat="1" ht="15" customHeight="1" x14ac:dyDescent="0.25">
      <c r="B765" s="271" t="s">
        <v>328</v>
      </c>
      <c r="C765" s="272" t="s">
        <v>327</v>
      </c>
      <c r="D765" s="275" t="s">
        <v>216</v>
      </c>
      <c r="E765" s="275">
        <v>41287.718622685185</v>
      </c>
      <c r="F765" s="276">
        <v>1</v>
      </c>
      <c r="G765" s="243">
        <f t="shared" si="12"/>
        <v>68</v>
      </c>
      <c r="H765" s="244"/>
      <c r="I765" s="71" t="e">
        <f>IF(COUNTIF((rName rData),H765),"","Name Error!")</f>
        <v>#NAME?</v>
      </c>
    </row>
    <row r="766" spans="2:9" s="126" customFormat="1" ht="15" customHeight="1" x14ac:dyDescent="0.25">
      <c r="B766" s="271" t="s">
        <v>345</v>
      </c>
      <c r="C766" s="272" t="s">
        <v>344</v>
      </c>
      <c r="D766" s="275" t="s">
        <v>216</v>
      </c>
      <c r="E766" s="275">
        <v>41296.921041666668</v>
      </c>
      <c r="F766" s="276">
        <v>1</v>
      </c>
      <c r="G766" s="243">
        <f t="shared" si="12"/>
        <v>69</v>
      </c>
      <c r="H766" s="244"/>
      <c r="I766" s="71" t="e">
        <f>IF(COUNTIF((rName rData),H766),"","Name Error!")</f>
        <v>#NAME?</v>
      </c>
    </row>
    <row r="767" spans="2:9" s="126" customFormat="1" ht="15" customHeight="1" x14ac:dyDescent="0.25">
      <c r="B767" s="271" t="s">
        <v>322</v>
      </c>
      <c r="C767" s="272" t="s">
        <v>321</v>
      </c>
      <c r="D767" s="275" t="s">
        <v>216</v>
      </c>
      <c r="E767" s="275">
        <v>41299.698958333334</v>
      </c>
      <c r="F767" s="276">
        <v>1</v>
      </c>
      <c r="G767" s="243">
        <f t="shared" si="12"/>
        <v>69</v>
      </c>
      <c r="H767" s="244"/>
      <c r="I767" s="71" t="e">
        <f>IF(COUNTIF((rName rData),H767),"","Name Error!")</f>
        <v>#NAME?</v>
      </c>
    </row>
    <row r="768" spans="2:9" s="126" customFormat="1" ht="15" customHeight="1" x14ac:dyDescent="0.25">
      <c r="B768" s="271" t="s">
        <v>324</v>
      </c>
      <c r="C768" s="272" t="s">
        <v>323</v>
      </c>
      <c r="D768" s="275" t="s">
        <v>216</v>
      </c>
      <c r="E768" s="275">
        <v>41299.832303240742</v>
      </c>
      <c r="F768" s="276">
        <v>1</v>
      </c>
      <c r="G768" s="243">
        <f t="shared" si="12"/>
        <v>69</v>
      </c>
      <c r="H768" s="244"/>
      <c r="I768" s="71" t="e">
        <f>IF(COUNTIF((rName rData),H768),"","Name Error!")</f>
        <v>#NAME?</v>
      </c>
    </row>
    <row r="769" spans="2:9" s="126" customFormat="1" ht="15" customHeight="1" x14ac:dyDescent="0.25">
      <c r="B769" s="271" t="s">
        <v>354</v>
      </c>
      <c r="C769" s="272" t="s">
        <v>353</v>
      </c>
      <c r="D769" s="275" t="s">
        <v>216</v>
      </c>
      <c r="E769" s="275">
        <v>41301.602465277778</v>
      </c>
      <c r="F769" s="276">
        <v>1</v>
      </c>
      <c r="G769" s="243">
        <f t="shared" si="12"/>
        <v>70</v>
      </c>
      <c r="H769" s="244"/>
      <c r="I769" s="71" t="e">
        <f>IF(COUNTIF((rName rData),H769),"","Name Error!")</f>
        <v>#NAME?</v>
      </c>
    </row>
    <row r="770" spans="2:9" s="126" customFormat="1" ht="15" customHeight="1" x14ac:dyDescent="0.25">
      <c r="B770" s="271" t="s">
        <v>333</v>
      </c>
      <c r="C770" s="272" t="s">
        <v>332</v>
      </c>
      <c r="D770" s="275" t="s">
        <v>216</v>
      </c>
      <c r="E770" s="275">
        <v>41311.469687500001</v>
      </c>
      <c r="F770" s="276">
        <v>1</v>
      </c>
      <c r="G770" s="243">
        <f t="shared" si="12"/>
        <v>71</v>
      </c>
      <c r="H770" s="244"/>
      <c r="I770" s="71" t="e">
        <f>IF(COUNTIF((rName rData),H770),"","Name Error!")</f>
        <v>#NAME?</v>
      </c>
    </row>
    <row r="771" spans="2:9" s="126" customFormat="1" ht="15" customHeight="1" x14ac:dyDescent="0.25">
      <c r="B771" s="271" t="s">
        <v>333</v>
      </c>
      <c r="C771" s="272" t="s">
        <v>332</v>
      </c>
      <c r="D771" s="275" t="s">
        <v>216</v>
      </c>
      <c r="E771" s="275">
        <v>41312.28528935185</v>
      </c>
      <c r="F771" s="276">
        <v>1</v>
      </c>
      <c r="G771" s="243">
        <f t="shared" si="12"/>
        <v>71</v>
      </c>
      <c r="H771" s="244"/>
      <c r="I771" s="71" t="e">
        <f>IF(COUNTIF((rName rData),H771),"","Name Error!")</f>
        <v>#NAME?</v>
      </c>
    </row>
    <row r="772" spans="2:9" s="126" customFormat="1" ht="15" customHeight="1" x14ac:dyDescent="0.25">
      <c r="B772" s="271" t="s">
        <v>335</v>
      </c>
      <c r="C772" s="272" t="s">
        <v>334</v>
      </c>
      <c r="D772" s="275" t="s">
        <v>216</v>
      </c>
      <c r="E772" s="275">
        <v>41330.660671296297</v>
      </c>
      <c r="F772" s="276">
        <v>2</v>
      </c>
      <c r="G772" s="243">
        <f t="shared" si="12"/>
        <v>74</v>
      </c>
      <c r="H772" s="244"/>
      <c r="I772" s="71" t="e">
        <f>IF(COUNTIF((rName rData),H772),"","Name Error!")</f>
        <v>#NAME?</v>
      </c>
    </row>
    <row r="773" spans="2:9" s="126" customFormat="1" ht="15" customHeight="1" x14ac:dyDescent="0.25">
      <c r="B773" s="271" t="s">
        <v>352</v>
      </c>
      <c r="C773" s="272" t="s">
        <v>351</v>
      </c>
      <c r="D773" s="275" t="s">
        <v>216</v>
      </c>
      <c r="E773" s="275">
        <v>41330.660879629628</v>
      </c>
      <c r="F773" s="276">
        <v>5</v>
      </c>
      <c r="G773" s="243">
        <f t="shared" si="12"/>
        <v>74</v>
      </c>
      <c r="H773" s="244"/>
      <c r="I773" s="71" t="e">
        <f>IF(COUNTIF((rName rData),H773),"","Name Error!")</f>
        <v>#NAME?</v>
      </c>
    </row>
    <row r="774" spans="2:9" s="126" customFormat="1" ht="15" customHeight="1" x14ac:dyDescent="0.25">
      <c r="B774" s="271" t="s">
        <v>337</v>
      </c>
      <c r="C774" s="272" t="s">
        <v>336</v>
      </c>
      <c r="D774" s="275" t="s">
        <v>216</v>
      </c>
      <c r="E774" s="275">
        <v>41330.661157407405</v>
      </c>
      <c r="F774" s="276">
        <v>2</v>
      </c>
      <c r="G774" s="243">
        <f t="shared" si="12"/>
        <v>74</v>
      </c>
      <c r="H774" s="244"/>
      <c r="I774" s="71" t="e">
        <f>IF(COUNTIF((rName rData),H774),"","Name Error!")</f>
        <v>#NAME?</v>
      </c>
    </row>
    <row r="775" spans="2:9" s="126" customFormat="1" ht="15" customHeight="1" x14ac:dyDescent="0.25">
      <c r="B775" s="271" t="s">
        <v>371</v>
      </c>
      <c r="C775" s="272" t="s">
        <v>370</v>
      </c>
      <c r="D775" s="275" t="s">
        <v>216</v>
      </c>
      <c r="E775" s="275">
        <v>41330.661770833336</v>
      </c>
      <c r="F775" s="276">
        <v>4</v>
      </c>
      <c r="G775" s="243">
        <f t="shared" si="12"/>
        <v>74</v>
      </c>
      <c r="H775" s="244"/>
      <c r="I775" s="71" t="e">
        <f>IF(COUNTIF((rName rData),H775),"","Name Error!")</f>
        <v>#NAME?</v>
      </c>
    </row>
    <row r="776" spans="2:9" s="126" customFormat="1" ht="15" customHeight="1" x14ac:dyDescent="0.25">
      <c r="B776" s="271" t="s">
        <v>322</v>
      </c>
      <c r="C776" s="272" t="s">
        <v>321</v>
      </c>
      <c r="D776" s="275" t="s">
        <v>216</v>
      </c>
      <c r="E776" s="275">
        <v>41330.662407407406</v>
      </c>
      <c r="F776" s="276">
        <v>4</v>
      </c>
      <c r="G776" s="243">
        <f t="shared" si="12"/>
        <v>74</v>
      </c>
      <c r="H776" s="244"/>
      <c r="I776" s="71" t="e">
        <f>IF(COUNTIF((rName rData),H776),"","Name Error!")</f>
        <v>#NAME?</v>
      </c>
    </row>
    <row r="777" spans="2:9" s="126" customFormat="1" ht="15" customHeight="1" x14ac:dyDescent="0.25">
      <c r="B777" s="271" t="s">
        <v>326</v>
      </c>
      <c r="C777" s="272" t="s">
        <v>325</v>
      </c>
      <c r="D777" s="275" t="s">
        <v>216</v>
      </c>
      <c r="E777" s="275">
        <v>41330.662418981483</v>
      </c>
      <c r="F777" s="276">
        <v>3</v>
      </c>
      <c r="G777" s="243">
        <f t="shared" si="12"/>
        <v>74</v>
      </c>
      <c r="H777" s="244"/>
      <c r="I777" s="71" t="e">
        <f>IF(COUNTIF((rName rData),H777),"","Name Error!")</f>
        <v>#NAME?</v>
      </c>
    </row>
    <row r="778" spans="2:9" s="126" customFormat="1" ht="15" customHeight="1" x14ac:dyDescent="0.25">
      <c r="B778" s="271" t="s">
        <v>343</v>
      </c>
      <c r="C778" s="272" t="s">
        <v>342</v>
      </c>
      <c r="D778" s="275" t="s">
        <v>216</v>
      </c>
      <c r="E778" s="275">
        <v>41330.662569444445</v>
      </c>
      <c r="F778" s="276">
        <v>3</v>
      </c>
      <c r="G778" s="243">
        <f t="shared" ref="G778:G841" si="13">TRUNC((E778-start)/7)+1</f>
        <v>74</v>
      </c>
      <c r="H778" s="244"/>
      <c r="I778" s="71" t="e">
        <f>IF(COUNTIF((rName rData),H778),"","Name Error!")</f>
        <v>#NAME?</v>
      </c>
    </row>
    <row r="779" spans="2:9" s="126" customFormat="1" ht="15" customHeight="1" x14ac:dyDescent="0.25">
      <c r="B779" s="271" t="s">
        <v>324</v>
      </c>
      <c r="C779" s="272" t="s">
        <v>323</v>
      </c>
      <c r="D779" s="275" t="s">
        <v>216</v>
      </c>
      <c r="E779" s="275">
        <v>41330.663206018522</v>
      </c>
      <c r="F779" s="276">
        <v>5</v>
      </c>
      <c r="G779" s="243">
        <f t="shared" si="13"/>
        <v>74</v>
      </c>
      <c r="H779" s="244"/>
      <c r="I779" s="71" t="e">
        <f>IF(COUNTIF((rName rData),H779),"","Name Error!")</f>
        <v>#NAME?</v>
      </c>
    </row>
    <row r="780" spans="2:9" s="126" customFormat="1" ht="15" customHeight="1" x14ac:dyDescent="0.25">
      <c r="B780" s="271" t="s">
        <v>352</v>
      </c>
      <c r="C780" s="272" t="s">
        <v>351</v>
      </c>
      <c r="D780" s="275" t="s">
        <v>216</v>
      </c>
      <c r="E780" s="275">
        <v>41331.28361111111</v>
      </c>
      <c r="F780" s="276">
        <v>4</v>
      </c>
      <c r="G780" s="243">
        <f t="shared" si="13"/>
        <v>74</v>
      </c>
      <c r="H780" s="244"/>
      <c r="I780" s="71" t="e">
        <f>IF(COUNTIF((rName rData),H780),"","Name Error!")</f>
        <v>#NAME?</v>
      </c>
    </row>
    <row r="781" spans="2:9" s="126" customFormat="1" ht="15" customHeight="1" x14ac:dyDescent="0.25">
      <c r="B781" s="271" t="s">
        <v>337</v>
      </c>
      <c r="C781" s="272" t="s">
        <v>336</v>
      </c>
      <c r="D781" s="275" t="s">
        <v>216</v>
      </c>
      <c r="E781" s="275">
        <v>41331.291180555556</v>
      </c>
      <c r="F781" s="276">
        <v>3</v>
      </c>
      <c r="G781" s="243">
        <f t="shared" si="13"/>
        <v>74</v>
      </c>
      <c r="H781" s="244"/>
      <c r="I781" s="71" t="e">
        <f>IF(COUNTIF((rName rData),H781),"","Name Error!")</f>
        <v>#NAME?</v>
      </c>
    </row>
    <row r="782" spans="2:9" s="126" customFormat="1" ht="15" customHeight="1" x14ac:dyDescent="0.25">
      <c r="B782" s="271" t="s">
        <v>324</v>
      </c>
      <c r="C782" s="272" t="s">
        <v>323</v>
      </c>
      <c r="D782" s="275" t="s">
        <v>216</v>
      </c>
      <c r="E782" s="275">
        <v>41331.492268518516</v>
      </c>
      <c r="F782" s="276">
        <v>4</v>
      </c>
      <c r="G782" s="243">
        <f t="shared" si="13"/>
        <v>74</v>
      </c>
      <c r="H782" s="244"/>
      <c r="I782" s="71" t="e">
        <f>IF(COUNTIF((rName rData),H782),"","Name Error!")</f>
        <v>#NAME?</v>
      </c>
    </row>
    <row r="783" spans="2:9" s="126" customFormat="1" ht="15" customHeight="1" x14ac:dyDescent="0.25">
      <c r="B783" s="271" t="s">
        <v>322</v>
      </c>
      <c r="C783" s="272" t="s">
        <v>321</v>
      </c>
      <c r="D783" s="275" t="s">
        <v>216</v>
      </c>
      <c r="E783" s="275">
        <v>41331.609571759262</v>
      </c>
      <c r="F783" s="276">
        <v>3</v>
      </c>
      <c r="G783" s="243">
        <f t="shared" si="13"/>
        <v>74</v>
      </c>
      <c r="H783" s="244"/>
      <c r="I783" s="71" t="e">
        <f>IF(COUNTIF((rName rData),H783),"","Name Error!")</f>
        <v>#NAME?</v>
      </c>
    </row>
    <row r="784" spans="2:9" s="126" customFormat="1" ht="15" customHeight="1" x14ac:dyDescent="0.25">
      <c r="B784" s="271" t="s">
        <v>343</v>
      </c>
      <c r="C784" s="272" t="s">
        <v>342</v>
      </c>
      <c r="D784" s="275" t="s">
        <v>216</v>
      </c>
      <c r="E784" s="275">
        <v>41331.609861111108</v>
      </c>
      <c r="F784" s="276">
        <v>1</v>
      </c>
      <c r="G784" s="243">
        <f t="shared" si="13"/>
        <v>74</v>
      </c>
      <c r="H784" s="244"/>
      <c r="I784" s="71" t="e">
        <f>IF(COUNTIF((rName rData),H784),"","Name Error!")</f>
        <v>#NAME?</v>
      </c>
    </row>
    <row r="785" spans="2:9" s="126" customFormat="1" ht="15" customHeight="1" x14ac:dyDescent="0.25">
      <c r="B785" s="271" t="s">
        <v>371</v>
      </c>
      <c r="C785" s="272" t="s">
        <v>370</v>
      </c>
      <c r="D785" s="275" t="s">
        <v>216</v>
      </c>
      <c r="E785" s="275">
        <v>41331.617650462962</v>
      </c>
      <c r="F785" s="276">
        <v>3</v>
      </c>
      <c r="G785" s="243">
        <f t="shared" si="13"/>
        <v>74</v>
      </c>
      <c r="H785" s="244"/>
      <c r="I785" s="71" t="e">
        <f>IF(COUNTIF((rName rData),H785),"","Name Error!")</f>
        <v>#NAME?</v>
      </c>
    </row>
    <row r="786" spans="2:9" s="126" customFormat="1" ht="15" customHeight="1" x14ac:dyDescent="0.25">
      <c r="B786" s="271" t="s">
        <v>335</v>
      </c>
      <c r="C786" s="272" t="s">
        <v>334</v>
      </c>
      <c r="D786" s="275" t="s">
        <v>216</v>
      </c>
      <c r="E786" s="275">
        <v>41331.625324074077</v>
      </c>
      <c r="F786" s="276">
        <v>2</v>
      </c>
      <c r="G786" s="243">
        <f t="shared" si="13"/>
        <v>74</v>
      </c>
      <c r="H786" s="244"/>
      <c r="I786" s="71" t="e">
        <f>IF(COUNTIF((rName rData),H786),"","Name Error!")</f>
        <v>#NAME?</v>
      </c>
    </row>
    <row r="787" spans="2:9" s="126" customFormat="1" ht="15" customHeight="1" x14ac:dyDescent="0.25">
      <c r="B787" s="271" t="s">
        <v>326</v>
      </c>
      <c r="C787" s="272" t="s">
        <v>325</v>
      </c>
      <c r="D787" s="275" t="s">
        <v>216</v>
      </c>
      <c r="E787" s="275">
        <v>41331.642870370371</v>
      </c>
      <c r="F787" s="276">
        <v>2</v>
      </c>
      <c r="G787" s="243">
        <f t="shared" si="13"/>
        <v>74</v>
      </c>
      <c r="H787" s="244"/>
      <c r="I787" s="71" t="e">
        <f>IF(COUNTIF((rName rData),H787),"","Name Error!")</f>
        <v>#NAME?</v>
      </c>
    </row>
    <row r="788" spans="2:9" s="126" customFormat="1" ht="15" customHeight="1" x14ac:dyDescent="0.25">
      <c r="B788" s="271" t="s">
        <v>343</v>
      </c>
      <c r="C788" s="272" t="s">
        <v>342</v>
      </c>
      <c r="D788" s="275" t="s">
        <v>216</v>
      </c>
      <c r="E788" s="275">
        <v>41332.021192129629</v>
      </c>
      <c r="F788" s="276">
        <v>2</v>
      </c>
      <c r="G788" s="243">
        <f t="shared" si="13"/>
        <v>74</v>
      </c>
      <c r="H788" s="244"/>
      <c r="I788" s="71" t="e">
        <f>IF(COUNTIF((rName rData),H788),"","Name Error!")</f>
        <v>#NAME?</v>
      </c>
    </row>
    <row r="789" spans="2:9" s="126" customFormat="1" ht="15" customHeight="1" x14ac:dyDescent="0.25">
      <c r="B789" s="271" t="s">
        <v>335</v>
      </c>
      <c r="C789" s="272" t="s">
        <v>334</v>
      </c>
      <c r="D789" s="275" t="s">
        <v>216</v>
      </c>
      <c r="E789" s="275">
        <v>41332.044062499997</v>
      </c>
      <c r="F789" s="276">
        <v>2</v>
      </c>
      <c r="G789" s="243">
        <f t="shared" si="13"/>
        <v>74</v>
      </c>
      <c r="H789" s="244"/>
      <c r="I789" s="71" t="e">
        <f>IF(COUNTIF((rName rData),H789),"","Name Error!")</f>
        <v>#NAME?</v>
      </c>
    </row>
    <row r="790" spans="2:9" s="126" customFormat="1" ht="15" customHeight="1" x14ac:dyDescent="0.25">
      <c r="B790" s="271" t="s">
        <v>352</v>
      </c>
      <c r="C790" s="272" t="s">
        <v>351</v>
      </c>
      <c r="D790" s="275" t="s">
        <v>216</v>
      </c>
      <c r="E790" s="275">
        <v>41332.269606481481</v>
      </c>
      <c r="F790" s="276">
        <v>3</v>
      </c>
      <c r="G790" s="243">
        <f t="shared" si="13"/>
        <v>74</v>
      </c>
      <c r="H790" s="244"/>
      <c r="I790" s="71" t="e">
        <f>IF(COUNTIF((rName rData),H790),"","Name Error!")</f>
        <v>#NAME?</v>
      </c>
    </row>
    <row r="791" spans="2:9" s="126" customFormat="1" ht="15" customHeight="1" x14ac:dyDescent="0.25">
      <c r="B791" s="271" t="s">
        <v>337</v>
      </c>
      <c r="C791" s="272" t="s">
        <v>336</v>
      </c>
      <c r="D791" s="275" t="s">
        <v>216</v>
      </c>
      <c r="E791" s="275">
        <v>41332.316030092596</v>
      </c>
      <c r="F791" s="276">
        <v>1</v>
      </c>
      <c r="G791" s="243">
        <f t="shared" si="13"/>
        <v>74</v>
      </c>
      <c r="H791" s="244"/>
      <c r="I791" s="71" t="e">
        <f>IF(COUNTIF((rName rData),H791),"","Name Error!")</f>
        <v>#NAME?</v>
      </c>
    </row>
    <row r="792" spans="2:9" s="126" customFormat="1" ht="15" customHeight="1" x14ac:dyDescent="0.25">
      <c r="B792" s="271" t="s">
        <v>322</v>
      </c>
      <c r="C792" s="272" t="s">
        <v>321</v>
      </c>
      <c r="D792" s="275" t="s">
        <v>216</v>
      </c>
      <c r="E792" s="275">
        <v>41332.554062499999</v>
      </c>
      <c r="F792" s="276">
        <v>4</v>
      </c>
      <c r="G792" s="243">
        <f t="shared" si="13"/>
        <v>74</v>
      </c>
      <c r="H792" s="244"/>
      <c r="I792" s="71" t="e">
        <f>IF(COUNTIF((rName rData),H792),"","Name Error!")</f>
        <v>#NAME?</v>
      </c>
    </row>
    <row r="793" spans="2:9" s="126" customFormat="1" ht="15" customHeight="1" x14ac:dyDescent="0.25">
      <c r="B793" s="271" t="s">
        <v>326</v>
      </c>
      <c r="C793" s="272" t="s">
        <v>325</v>
      </c>
      <c r="D793" s="275" t="s">
        <v>216</v>
      </c>
      <c r="E793" s="275">
        <v>41332.621932870374</v>
      </c>
      <c r="F793" s="276">
        <v>2</v>
      </c>
      <c r="G793" s="243">
        <f t="shared" si="13"/>
        <v>74</v>
      </c>
      <c r="H793" s="244"/>
      <c r="I793" s="71" t="e">
        <f>IF(COUNTIF((rName rData),H793),"","Name Error!")</f>
        <v>#NAME?</v>
      </c>
    </row>
    <row r="794" spans="2:9" s="126" customFormat="1" ht="15" customHeight="1" x14ac:dyDescent="0.25">
      <c r="B794" s="271" t="s">
        <v>371</v>
      </c>
      <c r="C794" s="272" t="s">
        <v>370</v>
      </c>
      <c r="D794" s="275" t="s">
        <v>216</v>
      </c>
      <c r="E794" s="275">
        <v>41332.745891203704</v>
      </c>
      <c r="F794" s="276">
        <v>1</v>
      </c>
      <c r="G794" s="243">
        <f t="shared" si="13"/>
        <v>74</v>
      </c>
      <c r="H794" s="244"/>
      <c r="I794" s="71" t="e">
        <f>IF(COUNTIF((rName rData),H794),"","Name Error!")</f>
        <v>#NAME?</v>
      </c>
    </row>
    <row r="795" spans="2:9" s="126" customFormat="1" ht="15" customHeight="1" x14ac:dyDescent="0.25">
      <c r="B795" s="271" t="s">
        <v>352</v>
      </c>
      <c r="C795" s="272" t="s">
        <v>351</v>
      </c>
      <c r="D795" s="275" t="s">
        <v>216</v>
      </c>
      <c r="E795" s="275">
        <v>41333.291504629633</v>
      </c>
      <c r="F795" s="276">
        <v>2</v>
      </c>
      <c r="G795" s="243">
        <f t="shared" si="13"/>
        <v>74</v>
      </c>
      <c r="H795" s="244"/>
      <c r="I795" s="71" t="e">
        <f>IF(COUNTIF((rName rData),H795),"","Name Error!")</f>
        <v>#NAME?</v>
      </c>
    </row>
    <row r="796" spans="2:9" s="126" customFormat="1" ht="15" customHeight="1" x14ac:dyDescent="0.25">
      <c r="B796" s="271" t="s">
        <v>343</v>
      </c>
      <c r="C796" s="272" t="s">
        <v>342</v>
      </c>
      <c r="D796" s="275" t="s">
        <v>216</v>
      </c>
      <c r="E796" s="275">
        <v>41333.317511574074</v>
      </c>
      <c r="F796" s="276">
        <v>3</v>
      </c>
      <c r="G796" s="243">
        <f t="shared" si="13"/>
        <v>74</v>
      </c>
      <c r="H796" s="244"/>
      <c r="I796" s="71" t="e">
        <f>IF(COUNTIF((rName rData),H796),"","Name Error!")</f>
        <v>#NAME?</v>
      </c>
    </row>
    <row r="797" spans="2:9" s="126" customFormat="1" ht="15" customHeight="1" x14ac:dyDescent="0.25">
      <c r="B797" s="271" t="s">
        <v>371</v>
      </c>
      <c r="C797" s="272" t="s">
        <v>370</v>
      </c>
      <c r="D797" s="275" t="s">
        <v>216</v>
      </c>
      <c r="E797" s="275">
        <v>41333.418553240743</v>
      </c>
      <c r="F797" s="276">
        <v>2</v>
      </c>
      <c r="G797" s="243">
        <f t="shared" si="13"/>
        <v>74</v>
      </c>
      <c r="H797" s="244"/>
      <c r="I797" s="71" t="e">
        <f>IF(COUNTIF((rName rData),H797),"","Name Error!")</f>
        <v>#NAME?</v>
      </c>
    </row>
    <row r="798" spans="2:9" s="126" customFormat="1" ht="15" customHeight="1" x14ac:dyDescent="0.25">
      <c r="B798" s="271" t="s">
        <v>322</v>
      </c>
      <c r="C798" s="272" t="s">
        <v>321</v>
      </c>
      <c r="D798" s="275" t="s">
        <v>216</v>
      </c>
      <c r="E798" s="275">
        <v>41333.500856481478</v>
      </c>
      <c r="F798" s="276">
        <v>3</v>
      </c>
      <c r="G798" s="243">
        <f t="shared" si="13"/>
        <v>74</v>
      </c>
      <c r="H798" s="244"/>
      <c r="I798" s="71" t="e">
        <f>IF(COUNTIF((rName rData),H798),"","Name Error!")</f>
        <v>#NAME?</v>
      </c>
    </row>
    <row r="799" spans="2:9" s="126" customFormat="1" ht="15" customHeight="1" x14ac:dyDescent="0.25">
      <c r="B799" s="271" t="s">
        <v>326</v>
      </c>
      <c r="C799" s="272" t="s">
        <v>325</v>
      </c>
      <c r="D799" s="275" t="s">
        <v>216</v>
      </c>
      <c r="E799" s="275">
        <v>41333.634398148148</v>
      </c>
      <c r="F799" s="276">
        <v>3</v>
      </c>
      <c r="G799" s="243">
        <f t="shared" si="13"/>
        <v>74</v>
      </c>
      <c r="H799" s="244"/>
      <c r="I799" s="71" t="e">
        <f>IF(COUNTIF((rName rData),H799),"","Name Error!")</f>
        <v>#NAME?</v>
      </c>
    </row>
    <row r="800" spans="2:9" s="126" customFormat="1" ht="15" customHeight="1" x14ac:dyDescent="0.25">
      <c r="B800" s="271" t="s">
        <v>335</v>
      </c>
      <c r="C800" s="272" t="s">
        <v>334</v>
      </c>
      <c r="D800" s="275" t="s">
        <v>216</v>
      </c>
      <c r="E800" s="275">
        <v>41333.73164351852</v>
      </c>
      <c r="F800" s="276">
        <v>1</v>
      </c>
      <c r="G800" s="243">
        <f t="shared" si="13"/>
        <v>74</v>
      </c>
      <c r="H800" s="244"/>
      <c r="I800" s="71" t="e">
        <f>IF(COUNTIF((rName rData),H800),"","Name Error!")</f>
        <v>#NAME?</v>
      </c>
    </row>
    <row r="801" spans="2:9" s="126" customFormat="1" ht="15" customHeight="1" x14ac:dyDescent="0.25">
      <c r="B801" s="271" t="s">
        <v>322</v>
      </c>
      <c r="C801" s="272" t="s">
        <v>321</v>
      </c>
      <c r="D801" s="275" t="s">
        <v>216</v>
      </c>
      <c r="E801" s="275">
        <v>41334.44358796296</v>
      </c>
      <c r="F801" s="276">
        <v>2</v>
      </c>
      <c r="G801" s="243">
        <f t="shared" si="13"/>
        <v>74</v>
      </c>
      <c r="H801" s="244"/>
      <c r="I801" s="71" t="e">
        <f>IF(COUNTIF((rName rData),H801),"","Name Error!")</f>
        <v>#NAME?</v>
      </c>
    </row>
    <row r="802" spans="2:9" s="126" customFormat="1" ht="15" customHeight="1" x14ac:dyDescent="0.25">
      <c r="B802" s="271" t="s">
        <v>333</v>
      </c>
      <c r="C802" s="272" t="s">
        <v>332</v>
      </c>
      <c r="D802" s="275" t="s">
        <v>216</v>
      </c>
      <c r="E802" s="275">
        <v>41334.607453703706</v>
      </c>
      <c r="F802" s="276">
        <v>1</v>
      </c>
      <c r="G802" s="243">
        <f t="shared" si="13"/>
        <v>74</v>
      </c>
      <c r="H802" s="244"/>
      <c r="I802" s="71" t="e">
        <f>IF(COUNTIF((rName rData),H802),"","Name Error!")</f>
        <v>#NAME?</v>
      </c>
    </row>
    <row r="803" spans="2:9" s="126" customFormat="1" ht="15" customHeight="1" x14ac:dyDescent="0.25">
      <c r="B803" s="271" t="s">
        <v>343</v>
      </c>
      <c r="C803" s="272" t="s">
        <v>342</v>
      </c>
      <c r="D803" s="275" t="s">
        <v>216</v>
      </c>
      <c r="E803" s="275">
        <v>41334.687986111108</v>
      </c>
      <c r="F803" s="276">
        <v>1</v>
      </c>
      <c r="G803" s="243">
        <f t="shared" si="13"/>
        <v>74</v>
      </c>
      <c r="H803" s="244"/>
      <c r="I803" s="71" t="e">
        <f>IF(COUNTIF((rName rData),H803),"","Name Error!")</f>
        <v>#NAME?</v>
      </c>
    </row>
    <row r="804" spans="2:9" s="126" customFormat="1" ht="15" customHeight="1" x14ac:dyDescent="0.25">
      <c r="B804" s="271" t="s">
        <v>352</v>
      </c>
      <c r="C804" s="272" t="s">
        <v>351</v>
      </c>
      <c r="D804" s="275" t="s">
        <v>216</v>
      </c>
      <c r="E804" s="275">
        <v>41334.75922453704</v>
      </c>
      <c r="F804" s="276">
        <v>1</v>
      </c>
      <c r="G804" s="243">
        <f t="shared" si="13"/>
        <v>74</v>
      </c>
      <c r="H804" s="244"/>
      <c r="I804" s="71" t="e">
        <f>IF(COUNTIF((rName rData),H804),"","Name Error!")</f>
        <v>#NAME?</v>
      </c>
    </row>
    <row r="805" spans="2:9" s="126" customFormat="1" ht="15" customHeight="1" x14ac:dyDescent="0.25">
      <c r="B805" s="271" t="s">
        <v>371</v>
      </c>
      <c r="C805" s="272" t="s">
        <v>370</v>
      </c>
      <c r="D805" s="275" t="s">
        <v>216</v>
      </c>
      <c r="E805" s="275">
        <v>41334.774710648147</v>
      </c>
      <c r="F805" s="276">
        <v>1</v>
      </c>
      <c r="G805" s="243">
        <f t="shared" si="13"/>
        <v>74</v>
      </c>
      <c r="H805" s="244"/>
      <c r="I805" s="71" t="e">
        <f>IF(COUNTIF((rName rData),H805),"","Name Error!")</f>
        <v>#NAME?</v>
      </c>
    </row>
    <row r="806" spans="2:9" s="126" customFormat="1" ht="15" customHeight="1" x14ac:dyDescent="0.25">
      <c r="B806" s="271" t="s">
        <v>352</v>
      </c>
      <c r="C806" s="272" t="s">
        <v>351</v>
      </c>
      <c r="D806" s="275" t="s">
        <v>216</v>
      </c>
      <c r="E806" s="275">
        <v>41335.310266203705</v>
      </c>
      <c r="F806" s="276">
        <v>2</v>
      </c>
      <c r="G806" s="243">
        <f t="shared" si="13"/>
        <v>75</v>
      </c>
      <c r="H806" s="244"/>
      <c r="I806" s="71" t="e">
        <f>IF(COUNTIF((rName rData),H806),"","Name Error!")</f>
        <v>#NAME?</v>
      </c>
    </row>
    <row r="807" spans="2:9" s="126" customFormat="1" ht="15" customHeight="1" x14ac:dyDescent="0.25">
      <c r="B807" s="271" t="s">
        <v>371</v>
      </c>
      <c r="C807" s="272" t="s">
        <v>370</v>
      </c>
      <c r="D807" s="275" t="s">
        <v>216</v>
      </c>
      <c r="E807" s="275">
        <v>41335.313090277778</v>
      </c>
      <c r="F807" s="276">
        <v>1</v>
      </c>
      <c r="G807" s="243">
        <f t="shared" si="13"/>
        <v>75</v>
      </c>
      <c r="H807" s="244"/>
      <c r="I807" s="71" t="e">
        <f>IF(COUNTIF((rName rData),H807),"","Name Error!")</f>
        <v>#NAME?</v>
      </c>
    </row>
    <row r="808" spans="2:9" s="126" customFormat="1" ht="15" customHeight="1" x14ac:dyDescent="0.25">
      <c r="B808" s="271" t="s">
        <v>326</v>
      </c>
      <c r="C808" s="272" t="s">
        <v>325</v>
      </c>
      <c r="D808" s="275" t="s">
        <v>216</v>
      </c>
      <c r="E808" s="275">
        <v>41335.321099537039</v>
      </c>
      <c r="F808" s="276">
        <v>1</v>
      </c>
      <c r="G808" s="243">
        <f t="shared" si="13"/>
        <v>75</v>
      </c>
      <c r="H808" s="244"/>
      <c r="I808" s="71" t="e">
        <f>IF(COUNTIF((rName rData),H808),"","Name Error!")</f>
        <v>#NAME?</v>
      </c>
    </row>
    <row r="809" spans="2:9" s="126" customFormat="1" ht="15" customHeight="1" x14ac:dyDescent="0.25">
      <c r="B809" s="271" t="s">
        <v>371</v>
      </c>
      <c r="C809" s="272" t="s">
        <v>370</v>
      </c>
      <c r="D809" s="275" t="s">
        <v>216</v>
      </c>
      <c r="E809" s="275">
        <v>41336.441157407404</v>
      </c>
      <c r="F809" s="276">
        <v>1</v>
      </c>
      <c r="G809" s="243">
        <f t="shared" si="13"/>
        <v>75</v>
      </c>
      <c r="H809" s="244"/>
      <c r="I809" s="71" t="e">
        <f>IF(COUNTIF((rName rData),H809),"","Name Error!")</f>
        <v>#NAME?</v>
      </c>
    </row>
    <row r="810" spans="2:9" s="126" customFormat="1" ht="15" customHeight="1" x14ac:dyDescent="0.25">
      <c r="B810" s="271" t="s">
        <v>322</v>
      </c>
      <c r="C810" s="272" t="s">
        <v>321</v>
      </c>
      <c r="D810" s="275" t="s">
        <v>216</v>
      </c>
      <c r="E810" s="275">
        <v>41336.559594907405</v>
      </c>
      <c r="F810" s="276">
        <v>1</v>
      </c>
      <c r="G810" s="243">
        <f t="shared" si="13"/>
        <v>75</v>
      </c>
      <c r="H810" s="244"/>
      <c r="I810" s="71" t="e">
        <f>IF(COUNTIF((rName rData),H810),"","Name Error!")</f>
        <v>#NAME?</v>
      </c>
    </row>
    <row r="811" spans="2:9" s="126" customFormat="1" ht="15" customHeight="1" x14ac:dyDescent="0.25">
      <c r="B811" s="271" t="s">
        <v>352</v>
      </c>
      <c r="C811" s="272" t="s">
        <v>351</v>
      </c>
      <c r="D811" s="275" t="s">
        <v>216</v>
      </c>
      <c r="E811" s="275">
        <v>41336.654907407406</v>
      </c>
      <c r="F811" s="276">
        <v>1</v>
      </c>
      <c r="G811" s="243">
        <f t="shared" si="13"/>
        <v>75</v>
      </c>
      <c r="H811" s="244"/>
      <c r="I811" s="71" t="e">
        <f>IF(COUNTIF((rName rData),H811),"","Name Error!")</f>
        <v>#NAME?</v>
      </c>
    </row>
    <row r="812" spans="2:9" s="126" customFormat="1" ht="15" customHeight="1" x14ac:dyDescent="0.25">
      <c r="B812" s="271" t="s">
        <v>335</v>
      </c>
      <c r="C812" s="272" t="s">
        <v>334</v>
      </c>
      <c r="D812" s="275" t="s">
        <v>216</v>
      </c>
      <c r="E812" s="275">
        <v>41336.664189814815</v>
      </c>
      <c r="F812" s="276">
        <v>1</v>
      </c>
      <c r="G812" s="243">
        <f t="shared" si="13"/>
        <v>75</v>
      </c>
      <c r="H812" s="244"/>
      <c r="I812" s="71" t="e">
        <f>IF(COUNTIF((rName rData),H812),"","Name Error!")</f>
        <v>#NAME?</v>
      </c>
    </row>
    <row r="813" spans="2:9" s="126" customFormat="1" ht="15" customHeight="1" x14ac:dyDescent="0.25">
      <c r="B813" s="271" t="s">
        <v>326</v>
      </c>
      <c r="C813" s="272" t="s">
        <v>325</v>
      </c>
      <c r="D813" s="275" t="s">
        <v>216</v>
      </c>
      <c r="E813" s="275">
        <v>41337.030671296299</v>
      </c>
      <c r="F813" s="276">
        <v>1</v>
      </c>
      <c r="G813" s="243">
        <f t="shared" si="13"/>
        <v>75</v>
      </c>
      <c r="H813" s="244"/>
      <c r="I813" s="71" t="e">
        <f>IF(COUNTIF((rName rData),H813),"","Name Error!")</f>
        <v>#NAME?</v>
      </c>
    </row>
    <row r="814" spans="2:9" s="126" customFormat="1" ht="15" customHeight="1" x14ac:dyDescent="0.25">
      <c r="B814" s="271" t="s">
        <v>352</v>
      </c>
      <c r="C814" s="272" t="s">
        <v>351</v>
      </c>
      <c r="D814" s="275" t="s">
        <v>216</v>
      </c>
      <c r="E814" s="275">
        <v>41337.324155092596</v>
      </c>
      <c r="F814" s="276">
        <v>2</v>
      </c>
      <c r="G814" s="243">
        <f t="shared" si="13"/>
        <v>75</v>
      </c>
      <c r="H814" s="244"/>
      <c r="I814" s="71" t="e">
        <f>IF(COUNTIF((rName rData),H814),"","Name Error!")</f>
        <v>#NAME?</v>
      </c>
    </row>
    <row r="815" spans="2:9" s="126" customFormat="1" ht="15" customHeight="1" x14ac:dyDescent="0.25">
      <c r="B815" s="271" t="s">
        <v>322</v>
      </c>
      <c r="C815" s="272" t="s">
        <v>321</v>
      </c>
      <c r="D815" s="275" t="s">
        <v>216</v>
      </c>
      <c r="E815" s="275">
        <v>41337.563518518517</v>
      </c>
      <c r="F815" s="276">
        <v>2</v>
      </c>
      <c r="G815" s="243">
        <f t="shared" si="13"/>
        <v>75</v>
      </c>
      <c r="H815" s="244"/>
      <c r="I815" s="71" t="e">
        <f>IF(COUNTIF((rName rData),H815),"","Name Error!")</f>
        <v>#NAME?</v>
      </c>
    </row>
    <row r="816" spans="2:9" s="126" customFormat="1" ht="15" customHeight="1" x14ac:dyDescent="0.25">
      <c r="B816" s="271" t="s">
        <v>337</v>
      </c>
      <c r="C816" s="272" t="s">
        <v>336</v>
      </c>
      <c r="D816" s="275" t="s">
        <v>216</v>
      </c>
      <c r="E816" s="275">
        <v>41337.566724537035</v>
      </c>
      <c r="F816" s="276">
        <v>2</v>
      </c>
      <c r="G816" s="243">
        <f t="shared" si="13"/>
        <v>75</v>
      </c>
      <c r="H816" s="244"/>
      <c r="I816" s="71" t="e">
        <f>IF(COUNTIF((rName rData),H816),"","Name Error!")</f>
        <v>#NAME?</v>
      </c>
    </row>
    <row r="817" spans="2:9" s="126" customFormat="1" ht="15" customHeight="1" x14ac:dyDescent="0.25">
      <c r="B817" s="271" t="s">
        <v>324</v>
      </c>
      <c r="C817" s="272" t="s">
        <v>323</v>
      </c>
      <c r="D817" s="275" t="s">
        <v>216</v>
      </c>
      <c r="E817" s="275">
        <v>41337.566863425927</v>
      </c>
      <c r="F817" s="276">
        <v>1</v>
      </c>
      <c r="G817" s="243">
        <f t="shared" si="13"/>
        <v>75</v>
      </c>
      <c r="H817" s="244"/>
      <c r="I817" s="71" t="e">
        <f>IF(COUNTIF((rName rData),H817),"","Name Error!")</f>
        <v>#NAME?</v>
      </c>
    </row>
    <row r="818" spans="2:9" s="126" customFormat="1" ht="15" customHeight="1" x14ac:dyDescent="0.25">
      <c r="B818" s="271" t="s">
        <v>371</v>
      </c>
      <c r="C818" s="272" t="s">
        <v>370</v>
      </c>
      <c r="D818" s="275" t="s">
        <v>216</v>
      </c>
      <c r="E818" s="275">
        <v>41337.830543981479</v>
      </c>
      <c r="F818" s="276">
        <v>1</v>
      </c>
      <c r="G818" s="243">
        <f t="shared" si="13"/>
        <v>75</v>
      </c>
      <c r="H818" s="244"/>
      <c r="I818" s="71" t="e">
        <f>IF(COUNTIF((rName rData),H818),"","Name Error!")</f>
        <v>#NAME?</v>
      </c>
    </row>
    <row r="819" spans="2:9" s="126" customFormat="1" ht="15" customHeight="1" x14ac:dyDescent="0.25">
      <c r="B819" s="271" t="s">
        <v>335</v>
      </c>
      <c r="C819" s="272" t="s">
        <v>334</v>
      </c>
      <c r="D819" s="275" t="s">
        <v>216</v>
      </c>
      <c r="E819" s="275">
        <v>41337.83693287037</v>
      </c>
      <c r="F819" s="276">
        <v>1</v>
      </c>
      <c r="G819" s="243">
        <f t="shared" si="13"/>
        <v>75</v>
      </c>
      <c r="H819" s="244"/>
      <c r="I819" s="71" t="e">
        <f>IF(COUNTIF((rName rData),H819),"","Name Error!")</f>
        <v>#NAME?</v>
      </c>
    </row>
    <row r="820" spans="2:9" s="126" customFormat="1" ht="15" customHeight="1" x14ac:dyDescent="0.25">
      <c r="B820" s="271" t="s">
        <v>343</v>
      </c>
      <c r="C820" s="272" t="s">
        <v>342</v>
      </c>
      <c r="D820" s="275" t="s">
        <v>216</v>
      </c>
      <c r="E820" s="275">
        <v>41337.868449074071</v>
      </c>
      <c r="F820" s="276">
        <v>1</v>
      </c>
      <c r="G820" s="243">
        <f t="shared" si="13"/>
        <v>75</v>
      </c>
      <c r="H820" s="244"/>
      <c r="I820" s="71" t="e">
        <f>IF(COUNTIF((rName rData),H820),"","Name Error!")</f>
        <v>#NAME?</v>
      </c>
    </row>
    <row r="821" spans="2:9" s="126" customFormat="1" ht="15" customHeight="1" x14ac:dyDescent="0.25">
      <c r="B821" s="271" t="s">
        <v>322</v>
      </c>
      <c r="C821" s="272" t="s">
        <v>321</v>
      </c>
      <c r="D821" s="275" t="s">
        <v>216</v>
      </c>
      <c r="E821" s="275">
        <v>41338.003692129627</v>
      </c>
      <c r="F821" s="276">
        <v>2</v>
      </c>
      <c r="G821" s="243">
        <f t="shared" si="13"/>
        <v>75</v>
      </c>
      <c r="H821" s="244"/>
      <c r="I821" s="71" t="e">
        <f>IF(COUNTIF((rName rData),H821),"","Name Error!")</f>
        <v>#NAME?</v>
      </c>
    </row>
    <row r="822" spans="2:9" s="126" customFormat="1" ht="15" customHeight="1" x14ac:dyDescent="0.25">
      <c r="B822" s="271" t="s">
        <v>324</v>
      </c>
      <c r="C822" s="272" t="s">
        <v>323</v>
      </c>
      <c r="D822" s="275" t="s">
        <v>216</v>
      </c>
      <c r="E822" s="275">
        <v>41338.062314814815</v>
      </c>
      <c r="F822" s="276">
        <v>6</v>
      </c>
      <c r="G822" s="243">
        <f t="shared" si="13"/>
        <v>75</v>
      </c>
      <c r="H822" s="244"/>
      <c r="I822" s="71" t="e">
        <f>IF(COUNTIF((rName rData),H822),"","Name Error!")</f>
        <v>#NAME?</v>
      </c>
    </row>
    <row r="823" spans="2:9" s="126" customFormat="1" ht="15" customHeight="1" x14ac:dyDescent="0.25">
      <c r="B823" s="271" t="s">
        <v>326</v>
      </c>
      <c r="C823" s="272" t="s">
        <v>325</v>
      </c>
      <c r="D823" s="275" t="s">
        <v>216</v>
      </c>
      <c r="E823" s="275">
        <v>41338.255162037036</v>
      </c>
      <c r="F823" s="276">
        <v>1</v>
      </c>
      <c r="G823" s="243">
        <f t="shared" si="13"/>
        <v>75</v>
      </c>
      <c r="H823" s="244"/>
      <c r="I823" s="71" t="e">
        <f>IF(COUNTIF((rName rData),H823),"","Name Error!")</f>
        <v>#NAME?</v>
      </c>
    </row>
    <row r="824" spans="2:9" s="126" customFormat="1" ht="15" customHeight="1" x14ac:dyDescent="0.25">
      <c r="B824" s="271" t="s">
        <v>333</v>
      </c>
      <c r="C824" s="272" t="s">
        <v>332</v>
      </c>
      <c r="D824" s="275" t="s">
        <v>216</v>
      </c>
      <c r="E824" s="275">
        <v>41338.543298611112</v>
      </c>
      <c r="F824" s="276">
        <v>1</v>
      </c>
      <c r="G824" s="243">
        <f t="shared" si="13"/>
        <v>75</v>
      </c>
      <c r="H824" s="244"/>
      <c r="I824" s="71" t="e">
        <f>IF(COUNTIF((rName rData),H824),"","Name Error!")</f>
        <v>#NAME?</v>
      </c>
    </row>
    <row r="825" spans="2:9" s="126" customFormat="1" ht="15" customHeight="1" x14ac:dyDescent="0.25">
      <c r="B825" s="271" t="s">
        <v>337</v>
      </c>
      <c r="C825" s="272" t="s">
        <v>336</v>
      </c>
      <c r="D825" s="275" t="s">
        <v>216</v>
      </c>
      <c r="E825" s="275">
        <v>41338.609675925924</v>
      </c>
      <c r="F825" s="276">
        <v>2</v>
      </c>
      <c r="G825" s="243">
        <f t="shared" si="13"/>
        <v>75</v>
      </c>
      <c r="H825" s="244"/>
      <c r="I825" s="71" t="e">
        <f>IF(COUNTIF((rName rData),H825),"","Name Error!")</f>
        <v>#NAME?</v>
      </c>
    </row>
    <row r="826" spans="2:9" s="126" customFormat="1" ht="15" customHeight="1" x14ac:dyDescent="0.25">
      <c r="B826" s="271" t="s">
        <v>352</v>
      </c>
      <c r="C826" s="272" t="s">
        <v>351</v>
      </c>
      <c r="D826" s="275" t="s">
        <v>216</v>
      </c>
      <c r="E826" s="275">
        <v>41338.827199074076</v>
      </c>
      <c r="F826" s="276">
        <v>1</v>
      </c>
      <c r="G826" s="243">
        <f t="shared" si="13"/>
        <v>75</v>
      </c>
      <c r="H826" s="244"/>
      <c r="I826" s="71" t="e">
        <f>IF(COUNTIF((rName rData),H826),"","Name Error!")</f>
        <v>#NAME?</v>
      </c>
    </row>
    <row r="827" spans="2:9" s="126" customFormat="1" ht="15" customHeight="1" x14ac:dyDescent="0.25">
      <c r="B827" s="271" t="s">
        <v>324</v>
      </c>
      <c r="C827" s="272" t="s">
        <v>323</v>
      </c>
      <c r="D827" s="275" t="s">
        <v>216</v>
      </c>
      <c r="E827" s="275">
        <v>41339.000821759262</v>
      </c>
      <c r="F827" s="276">
        <v>2</v>
      </c>
      <c r="G827" s="243">
        <f t="shared" si="13"/>
        <v>75</v>
      </c>
      <c r="H827" s="244"/>
      <c r="I827" s="71" t="e">
        <f>IF(COUNTIF((rName rData),H827),"","Name Error!")</f>
        <v>#NAME?</v>
      </c>
    </row>
    <row r="828" spans="2:9" s="126" customFormat="1" ht="15" customHeight="1" x14ac:dyDescent="0.25">
      <c r="B828" s="271" t="s">
        <v>337</v>
      </c>
      <c r="C828" s="272" t="s">
        <v>336</v>
      </c>
      <c r="D828" s="275" t="s">
        <v>216</v>
      </c>
      <c r="E828" s="275">
        <v>41339.027708333335</v>
      </c>
      <c r="F828" s="276">
        <v>5</v>
      </c>
      <c r="G828" s="243">
        <f t="shared" si="13"/>
        <v>75</v>
      </c>
      <c r="H828" s="244"/>
      <c r="I828" s="71" t="e">
        <f>IF(COUNTIF((rName rData),H828),"","Name Error!")</f>
        <v>#NAME?</v>
      </c>
    </row>
    <row r="829" spans="2:9" s="126" customFormat="1" ht="15" customHeight="1" x14ac:dyDescent="0.25">
      <c r="B829" s="271" t="s">
        <v>322</v>
      </c>
      <c r="C829" s="272" t="s">
        <v>321</v>
      </c>
      <c r="D829" s="275" t="s">
        <v>216</v>
      </c>
      <c r="E829" s="275">
        <v>41339.048217592594</v>
      </c>
      <c r="F829" s="276">
        <v>2</v>
      </c>
      <c r="G829" s="243">
        <f t="shared" si="13"/>
        <v>75</v>
      </c>
      <c r="H829" s="244"/>
      <c r="I829" s="71" t="e">
        <f>IF(COUNTIF((rName rData),H829),"","Name Error!")</f>
        <v>#NAME?</v>
      </c>
    </row>
    <row r="830" spans="2:9" s="126" customFormat="1" ht="15" customHeight="1" x14ac:dyDescent="0.25">
      <c r="B830" s="271" t="s">
        <v>371</v>
      </c>
      <c r="C830" s="272" t="s">
        <v>370</v>
      </c>
      <c r="D830" s="275" t="s">
        <v>216</v>
      </c>
      <c r="E830" s="275">
        <v>41339.579652777778</v>
      </c>
      <c r="F830" s="276">
        <v>1</v>
      </c>
      <c r="G830" s="243">
        <f t="shared" si="13"/>
        <v>75</v>
      </c>
      <c r="H830" s="244"/>
      <c r="I830" s="71" t="e">
        <f>IF(COUNTIF((rName rData),H830),"","Name Error!")</f>
        <v>#NAME?</v>
      </c>
    </row>
    <row r="831" spans="2:9" s="126" customFormat="1" ht="15" customHeight="1" x14ac:dyDescent="0.25">
      <c r="B831" s="271" t="s">
        <v>352</v>
      </c>
      <c r="C831" s="272" t="s">
        <v>351</v>
      </c>
      <c r="D831" s="275" t="s">
        <v>216</v>
      </c>
      <c r="E831" s="275">
        <v>41339.812476851854</v>
      </c>
      <c r="F831" s="276">
        <v>2</v>
      </c>
      <c r="G831" s="243">
        <f t="shared" si="13"/>
        <v>75</v>
      </c>
      <c r="H831" s="244"/>
      <c r="I831" s="71" t="e">
        <f>IF(COUNTIF((rName rData),H831),"","Name Error!")</f>
        <v>#NAME?</v>
      </c>
    </row>
    <row r="832" spans="2:9" s="126" customFormat="1" ht="15" customHeight="1" x14ac:dyDescent="0.25">
      <c r="B832" s="271" t="s">
        <v>343</v>
      </c>
      <c r="C832" s="272" t="s">
        <v>342</v>
      </c>
      <c r="D832" s="275" t="s">
        <v>216</v>
      </c>
      <c r="E832" s="275">
        <v>41340.31150462963</v>
      </c>
      <c r="F832" s="276">
        <v>1</v>
      </c>
      <c r="G832" s="243">
        <f t="shared" si="13"/>
        <v>75</v>
      </c>
      <c r="H832" s="244"/>
      <c r="I832" s="71" t="e">
        <f>IF(COUNTIF((rName rData),H832),"","Name Error!")</f>
        <v>#NAME?</v>
      </c>
    </row>
    <row r="833" spans="2:9" s="126" customFormat="1" ht="15" customHeight="1" x14ac:dyDescent="0.25">
      <c r="B833" s="271" t="s">
        <v>337</v>
      </c>
      <c r="C833" s="272" t="s">
        <v>336</v>
      </c>
      <c r="D833" s="275" t="s">
        <v>216</v>
      </c>
      <c r="E833" s="275">
        <v>41340.425729166665</v>
      </c>
      <c r="F833" s="276">
        <v>3</v>
      </c>
      <c r="G833" s="243">
        <f t="shared" si="13"/>
        <v>75</v>
      </c>
      <c r="H833" s="244"/>
      <c r="I833" s="71" t="e">
        <f>IF(COUNTIF((rName rData),H833),"","Name Error!")</f>
        <v>#NAME?</v>
      </c>
    </row>
    <row r="834" spans="2:9" s="126" customFormat="1" ht="15" customHeight="1" x14ac:dyDescent="0.25">
      <c r="B834" s="271" t="s">
        <v>371</v>
      </c>
      <c r="C834" s="272" t="s">
        <v>370</v>
      </c>
      <c r="D834" s="275" t="s">
        <v>216</v>
      </c>
      <c r="E834" s="275">
        <v>41340.615393518521</v>
      </c>
      <c r="F834" s="276">
        <v>1</v>
      </c>
      <c r="G834" s="243">
        <f t="shared" si="13"/>
        <v>75</v>
      </c>
      <c r="H834" s="244"/>
      <c r="I834" s="71" t="e">
        <f>IF(COUNTIF((rName rData),H834),"","Name Error!")</f>
        <v>#NAME?</v>
      </c>
    </row>
    <row r="835" spans="2:9" s="126" customFormat="1" ht="15" customHeight="1" x14ac:dyDescent="0.25">
      <c r="B835" s="271" t="s">
        <v>324</v>
      </c>
      <c r="C835" s="272" t="s">
        <v>323</v>
      </c>
      <c r="D835" s="275" t="s">
        <v>216</v>
      </c>
      <c r="E835" s="275">
        <v>41340.653333333335</v>
      </c>
      <c r="F835" s="276">
        <v>1</v>
      </c>
      <c r="G835" s="243">
        <f t="shared" si="13"/>
        <v>75</v>
      </c>
      <c r="H835" s="244"/>
      <c r="I835" s="71" t="e">
        <f>IF(COUNTIF((rName rData),H835),"","Name Error!")</f>
        <v>#NAME?</v>
      </c>
    </row>
    <row r="836" spans="2:9" s="126" customFormat="1" ht="15" customHeight="1" x14ac:dyDescent="0.25">
      <c r="B836" s="271" t="s">
        <v>335</v>
      </c>
      <c r="C836" s="272" t="s">
        <v>334</v>
      </c>
      <c r="D836" s="275" t="s">
        <v>216</v>
      </c>
      <c r="E836" s="275">
        <v>41341.401898148149</v>
      </c>
      <c r="F836" s="276">
        <v>3</v>
      </c>
      <c r="G836" s="243">
        <f t="shared" si="13"/>
        <v>75</v>
      </c>
      <c r="H836" s="244"/>
      <c r="I836" s="71" t="e">
        <f>IF(COUNTIF((rName rData),H836),"","Name Error!")</f>
        <v>#NAME?</v>
      </c>
    </row>
    <row r="837" spans="2:9" s="126" customFormat="1" ht="15" customHeight="1" x14ac:dyDescent="0.25">
      <c r="B837" s="271" t="s">
        <v>371</v>
      </c>
      <c r="C837" s="272" t="s">
        <v>370</v>
      </c>
      <c r="D837" s="275" t="s">
        <v>216</v>
      </c>
      <c r="E837" s="275">
        <v>41341.536631944444</v>
      </c>
      <c r="F837" s="276">
        <v>3</v>
      </c>
      <c r="G837" s="243">
        <f t="shared" si="13"/>
        <v>75</v>
      </c>
      <c r="H837" s="244"/>
      <c r="I837" s="71" t="e">
        <f>IF(COUNTIF((rName rData),H837),"","Name Error!")</f>
        <v>#NAME?</v>
      </c>
    </row>
    <row r="838" spans="2:9" s="126" customFormat="1" ht="15" customHeight="1" x14ac:dyDescent="0.25">
      <c r="B838" s="271" t="s">
        <v>337</v>
      </c>
      <c r="C838" s="272" t="s">
        <v>336</v>
      </c>
      <c r="D838" s="275" t="s">
        <v>216</v>
      </c>
      <c r="E838" s="275">
        <v>41341.537002314813</v>
      </c>
      <c r="F838" s="276">
        <v>1</v>
      </c>
      <c r="G838" s="243">
        <f t="shared" si="13"/>
        <v>75</v>
      </c>
      <c r="H838" s="244"/>
      <c r="I838" s="71" t="e">
        <f>IF(COUNTIF((rName rData),H838),"","Name Error!")</f>
        <v>#NAME?</v>
      </c>
    </row>
    <row r="839" spans="2:9" s="126" customFormat="1" ht="15" customHeight="1" x14ac:dyDescent="0.25">
      <c r="B839" s="271" t="s">
        <v>352</v>
      </c>
      <c r="C839" s="272" t="s">
        <v>351</v>
      </c>
      <c r="D839" s="275" t="s">
        <v>216</v>
      </c>
      <c r="E839" s="275">
        <v>41341.537037037036</v>
      </c>
      <c r="F839" s="276">
        <v>8</v>
      </c>
      <c r="G839" s="243">
        <f t="shared" si="13"/>
        <v>75</v>
      </c>
      <c r="H839" s="244"/>
      <c r="I839" s="71" t="e">
        <f>IF(COUNTIF((rName rData),H839),"","Name Error!")</f>
        <v>#NAME?</v>
      </c>
    </row>
    <row r="840" spans="2:9" s="126" customFormat="1" ht="15" customHeight="1" x14ac:dyDescent="0.25">
      <c r="B840" s="271" t="s">
        <v>326</v>
      </c>
      <c r="C840" s="272" t="s">
        <v>325</v>
      </c>
      <c r="D840" s="275" t="s">
        <v>216</v>
      </c>
      <c r="E840" s="275">
        <v>41341.537060185183</v>
      </c>
      <c r="F840" s="276">
        <v>1</v>
      </c>
      <c r="G840" s="243">
        <f t="shared" si="13"/>
        <v>75</v>
      </c>
      <c r="H840" s="244"/>
      <c r="I840" s="71" t="e">
        <f>IF(COUNTIF((rName rData),H840),"","Name Error!")</f>
        <v>#NAME?</v>
      </c>
    </row>
    <row r="841" spans="2:9" s="126" customFormat="1" ht="15" customHeight="1" x14ac:dyDescent="0.25">
      <c r="B841" s="271" t="s">
        <v>324</v>
      </c>
      <c r="C841" s="272" t="s">
        <v>323</v>
      </c>
      <c r="D841" s="275" t="s">
        <v>216</v>
      </c>
      <c r="E841" s="275">
        <v>41341.540601851855</v>
      </c>
      <c r="F841" s="276">
        <v>1</v>
      </c>
      <c r="G841" s="243">
        <f t="shared" si="13"/>
        <v>75</v>
      </c>
      <c r="H841" s="244"/>
      <c r="I841" s="71" t="e">
        <f>IF(COUNTIF((rName rData),H841),"","Name Error!")</f>
        <v>#NAME?</v>
      </c>
    </row>
    <row r="842" spans="2:9" s="126" customFormat="1" ht="15" customHeight="1" x14ac:dyDescent="0.25">
      <c r="B842" s="271" t="s">
        <v>322</v>
      </c>
      <c r="C842" s="272" t="s">
        <v>321</v>
      </c>
      <c r="D842" s="275" t="s">
        <v>216</v>
      </c>
      <c r="E842" s="275">
        <v>41341.542696759258</v>
      </c>
      <c r="F842" s="276">
        <v>4</v>
      </c>
      <c r="G842" s="243">
        <f t="shared" ref="G842:G905" si="14">TRUNC((E842-start)/7)+1</f>
        <v>75</v>
      </c>
      <c r="H842" s="244"/>
      <c r="I842" s="71" t="e">
        <f>IF(COUNTIF((rName rData),H842),"","Name Error!")</f>
        <v>#NAME?</v>
      </c>
    </row>
    <row r="843" spans="2:9" s="126" customFormat="1" ht="15" customHeight="1" x14ac:dyDescent="0.25">
      <c r="B843" s="271" t="s">
        <v>343</v>
      </c>
      <c r="C843" s="272" t="s">
        <v>342</v>
      </c>
      <c r="D843" s="275" t="s">
        <v>216</v>
      </c>
      <c r="E843" s="275">
        <v>41341.542731481481</v>
      </c>
      <c r="F843" s="276">
        <v>4</v>
      </c>
      <c r="G843" s="243">
        <f t="shared" si="14"/>
        <v>75</v>
      </c>
      <c r="H843" s="244"/>
      <c r="I843" s="71" t="e">
        <f>IF(COUNTIF((rName rData),H843),"","Name Error!")</f>
        <v>#NAME?</v>
      </c>
    </row>
    <row r="844" spans="2:9" s="126" customFormat="1" ht="15" customHeight="1" x14ac:dyDescent="0.25">
      <c r="B844" s="271" t="s">
        <v>322</v>
      </c>
      <c r="C844" s="272" t="s">
        <v>321</v>
      </c>
      <c r="D844" s="275" t="s">
        <v>216</v>
      </c>
      <c r="E844" s="275">
        <v>41342.05736111111</v>
      </c>
      <c r="F844" s="276">
        <v>1</v>
      </c>
      <c r="G844" s="243">
        <f t="shared" si="14"/>
        <v>76</v>
      </c>
      <c r="H844" s="244"/>
      <c r="I844" s="71" t="e">
        <f>IF(COUNTIF((rName rData),H844),"","Name Error!")</f>
        <v>#NAME?</v>
      </c>
    </row>
    <row r="845" spans="2:9" s="126" customFormat="1" ht="15" customHeight="1" x14ac:dyDescent="0.25">
      <c r="B845" s="271" t="s">
        <v>343</v>
      </c>
      <c r="C845" s="272" t="s">
        <v>342</v>
      </c>
      <c r="D845" s="275" t="s">
        <v>216</v>
      </c>
      <c r="E845" s="275">
        <v>41342.298171296294</v>
      </c>
      <c r="F845" s="276">
        <v>1</v>
      </c>
      <c r="G845" s="243">
        <f t="shared" si="14"/>
        <v>76</v>
      </c>
      <c r="H845" s="244"/>
      <c r="I845" s="71" t="e">
        <f>IF(COUNTIF((rName rData),H845),"","Name Error!")</f>
        <v>#NAME?</v>
      </c>
    </row>
    <row r="846" spans="2:9" s="126" customFormat="1" ht="15" customHeight="1" x14ac:dyDescent="0.25">
      <c r="B846" s="271" t="s">
        <v>352</v>
      </c>
      <c r="C846" s="272" t="s">
        <v>351</v>
      </c>
      <c r="D846" s="275" t="s">
        <v>216</v>
      </c>
      <c r="E846" s="275">
        <v>41342.318854166668</v>
      </c>
      <c r="F846" s="276">
        <v>1</v>
      </c>
      <c r="G846" s="243">
        <f t="shared" si="14"/>
        <v>76</v>
      </c>
      <c r="H846" s="244"/>
      <c r="I846" s="71" t="e">
        <f>IF(COUNTIF((rName rData),H846),"","Name Error!")</f>
        <v>#NAME?</v>
      </c>
    </row>
    <row r="847" spans="2:9" s="126" customFormat="1" ht="15" customHeight="1" x14ac:dyDescent="0.25">
      <c r="B847" s="271" t="s">
        <v>324</v>
      </c>
      <c r="C847" s="272" t="s">
        <v>323</v>
      </c>
      <c r="D847" s="275" t="s">
        <v>216</v>
      </c>
      <c r="E847" s="275">
        <v>41342.360069444447</v>
      </c>
      <c r="F847" s="276">
        <v>1</v>
      </c>
      <c r="G847" s="243">
        <f t="shared" si="14"/>
        <v>76</v>
      </c>
      <c r="H847" s="244"/>
      <c r="I847" s="71" t="e">
        <f>IF(COUNTIF((rName rData),H847),"","Name Error!")</f>
        <v>#NAME?</v>
      </c>
    </row>
    <row r="848" spans="2:9" s="126" customFormat="1" ht="15" customHeight="1" x14ac:dyDescent="0.25">
      <c r="B848" s="271" t="s">
        <v>343</v>
      </c>
      <c r="C848" s="272" t="s">
        <v>342</v>
      </c>
      <c r="D848" s="275" t="s">
        <v>216</v>
      </c>
      <c r="E848" s="275">
        <v>41344.686319444445</v>
      </c>
      <c r="F848" s="276">
        <v>1</v>
      </c>
      <c r="G848" s="243">
        <f t="shared" si="14"/>
        <v>76</v>
      </c>
      <c r="H848" s="244"/>
      <c r="I848" s="71" t="e">
        <f>IF(COUNTIF((rName rData),H848),"","Name Error!")</f>
        <v>#NAME?</v>
      </c>
    </row>
    <row r="849" spans="2:9" s="126" customFormat="1" ht="15" customHeight="1" x14ac:dyDescent="0.25">
      <c r="B849" s="271" t="s">
        <v>324</v>
      </c>
      <c r="C849" s="272" t="s">
        <v>323</v>
      </c>
      <c r="D849" s="275" t="s">
        <v>216</v>
      </c>
      <c r="E849" s="275">
        <v>41344.693009259259</v>
      </c>
      <c r="F849" s="276">
        <v>3</v>
      </c>
      <c r="G849" s="243">
        <f t="shared" si="14"/>
        <v>76</v>
      </c>
      <c r="H849" s="244"/>
      <c r="I849" s="71" t="e">
        <f>IF(COUNTIF((rName rData),H849),"","Name Error!")</f>
        <v>#NAME?</v>
      </c>
    </row>
    <row r="850" spans="2:9" s="126" customFormat="1" ht="15" customHeight="1" x14ac:dyDescent="0.25">
      <c r="B850" s="271" t="s">
        <v>326</v>
      </c>
      <c r="C850" s="272" t="s">
        <v>325</v>
      </c>
      <c r="D850" s="275" t="s">
        <v>216</v>
      </c>
      <c r="E850" s="275">
        <v>41344.836759259262</v>
      </c>
      <c r="F850" s="276">
        <v>2</v>
      </c>
      <c r="G850" s="243">
        <f t="shared" si="14"/>
        <v>76</v>
      </c>
      <c r="H850" s="244"/>
      <c r="I850" s="71" t="e">
        <f>IF(COUNTIF((rName rData),H850),"","Name Error!")</f>
        <v>#NAME?</v>
      </c>
    </row>
    <row r="851" spans="2:9" s="126" customFormat="1" ht="15" customHeight="1" x14ac:dyDescent="0.25">
      <c r="B851" s="271" t="s">
        <v>322</v>
      </c>
      <c r="C851" s="272" t="s">
        <v>321</v>
      </c>
      <c r="D851" s="275" t="s">
        <v>216</v>
      </c>
      <c r="E851" s="275">
        <v>41344.89738425926</v>
      </c>
      <c r="F851" s="276">
        <v>1</v>
      </c>
      <c r="G851" s="243">
        <f t="shared" si="14"/>
        <v>76</v>
      </c>
      <c r="H851" s="244"/>
      <c r="I851" s="71" t="e">
        <f>IF(COUNTIF((rName rData),H851),"","Name Error!")</f>
        <v>#NAME?</v>
      </c>
    </row>
    <row r="852" spans="2:9" s="126" customFormat="1" ht="15" customHeight="1" x14ac:dyDescent="0.25">
      <c r="B852" s="271" t="s">
        <v>335</v>
      </c>
      <c r="C852" s="272" t="s">
        <v>334</v>
      </c>
      <c r="D852" s="275" t="s">
        <v>216</v>
      </c>
      <c r="E852" s="275">
        <v>41344.930520833332</v>
      </c>
      <c r="F852" s="276">
        <v>1</v>
      </c>
      <c r="G852" s="243">
        <f t="shared" si="14"/>
        <v>76</v>
      </c>
      <c r="H852" s="244"/>
      <c r="I852" s="71" t="e">
        <f>IF(COUNTIF((rName rData),H852),"","Name Error!")</f>
        <v>#NAME?</v>
      </c>
    </row>
    <row r="853" spans="2:9" s="126" customFormat="1" ht="15" customHeight="1" x14ac:dyDescent="0.25">
      <c r="B853" s="271" t="s">
        <v>352</v>
      </c>
      <c r="C853" s="272" t="s">
        <v>351</v>
      </c>
      <c r="D853" s="275" t="s">
        <v>216</v>
      </c>
      <c r="E853" s="275">
        <v>41344.970810185187</v>
      </c>
      <c r="F853" s="276">
        <v>1</v>
      </c>
      <c r="G853" s="243">
        <f t="shared" si="14"/>
        <v>76</v>
      </c>
      <c r="H853" s="244"/>
      <c r="I853" s="71" t="e">
        <f>IF(COUNTIF((rName rData),H853),"","Name Error!")</f>
        <v>#NAME?</v>
      </c>
    </row>
    <row r="854" spans="2:9" s="126" customFormat="1" ht="15" customHeight="1" x14ac:dyDescent="0.25">
      <c r="B854" s="271" t="s">
        <v>371</v>
      </c>
      <c r="C854" s="272" t="s">
        <v>370</v>
      </c>
      <c r="D854" s="275" t="s">
        <v>216</v>
      </c>
      <c r="E854" s="275">
        <v>41345.037800925929</v>
      </c>
      <c r="F854" s="276">
        <v>2</v>
      </c>
      <c r="G854" s="243">
        <f t="shared" si="14"/>
        <v>76</v>
      </c>
      <c r="H854" s="244"/>
      <c r="I854" s="71" t="e">
        <f>IF(COUNTIF((rName rData),H854),"","Name Error!")</f>
        <v>#NAME?</v>
      </c>
    </row>
    <row r="855" spans="2:9" s="126" customFormat="1" ht="15" customHeight="1" x14ac:dyDescent="0.25">
      <c r="B855" s="271" t="s">
        <v>322</v>
      </c>
      <c r="C855" s="272" t="s">
        <v>321</v>
      </c>
      <c r="D855" s="275" t="s">
        <v>216</v>
      </c>
      <c r="E855" s="275">
        <v>41345.055162037039</v>
      </c>
      <c r="F855" s="276">
        <v>2</v>
      </c>
      <c r="G855" s="243">
        <f t="shared" si="14"/>
        <v>76</v>
      </c>
      <c r="H855" s="244"/>
      <c r="I855" s="71" t="e">
        <f>IF(COUNTIF((rName rData),H855),"","Name Error!")</f>
        <v>#NAME?</v>
      </c>
    </row>
    <row r="856" spans="2:9" s="126" customFormat="1" ht="15" customHeight="1" x14ac:dyDescent="0.25">
      <c r="B856" s="271" t="s">
        <v>352</v>
      </c>
      <c r="C856" s="272" t="s">
        <v>351</v>
      </c>
      <c r="D856" s="275" t="s">
        <v>216</v>
      </c>
      <c r="E856" s="275">
        <v>41345.384305555555</v>
      </c>
      <c r="F856" s="276">
        <v>2</v>
      </c>
      <c r="G856" s="243">
        <f t="shared" si="14"/>
        <v>76</v>
      </c>
      <c r="H856" s="244"/>
      <c r="I856" s="71" t="e">
        <f>IF(COUNTIF((rName rData),H856),"","Name Error!")</f>
        <v>#NAME?</v>
      </c>
    </row>
    <row r="857" spans="2:9" s="126" customFormat="1" ht="15" customHeight="1" x14ac:dyDescent="0.25">
      <c r="B857" s="271" t="s">
        <v>326</v>
      </c>
      <c r="C857" s="272" t="s">
        <v>325</v>
      </c>
      <c r="D857" s="275" t="s">
        <v>216</v>
      </c>
      <c r="E857" s="275">
        <v>41345.590601851851</v>
      </c>
      <c r="F857" s="276">
        <v>1</v>
      </c>
      <c r="G857" s="243">
        <f t="shared" si="14"/>
        <v>76</v>
      </c>
      <c r="H857" s="244"/>
      <c r="I857" s="71" t="e">
        <f>IF(COUNTIF((rName rData),H857),"","Name Error!")</f>
        <v>#NAME?</v>
      </c>
    </row>
    <row r="858" spans="2:9" s="126" customFormat="1" ht="15" customHeight="1" x14ac:dyDescent="0.25">
      <c r="B858" s="271" t="s">
        <v>335</v>
      </c>
      <c r="C858" s="272" t="s">
        <v>334</v>
      </c>
      <c r="D858" s="275" t="s">
        <v>216</v>
      </c>
      <c r="E858" s="275">
        <v>41345.59202546296</v>
      </c>
      <c r="F858" s="276">
        <v>1</v>
      </c>
      <c r="G858" s="243">
        <f t="shared" si="14"/>
        <v>76</v>
      </c>
      <c r="H858" s="244"/>
      <c r="I858" s="71" t="e">
        <f>IF(COUNTIF((rName rData),H858),"","Name Error!")</f>
        <v>#NAME?</v>
      </c>
    </row>
    <row r="859" spans="2:9" s="126" customFormat="1" ht="15" customHeight="1" x14ac:dyDescent="0.25">
      <c r="B859" s="271" t="s">
        <v>343</v>
      </c>
      <c r="C859" s="272" t="s">
        <v>342</v>
      </c>
      <c r="D859" s="275" t="s">
        <v>216</v>
      </c>
      <c r="E859" s="275">
        <v>41345.592314814814</v>
      </c>
      <c r="F859" s="276">
        <v>2</v>
      </c>
      <c r="G859" s="243">
        <f t="shared" si="14"/>
        <v>76</v>
      </c>
      <c r="H859" s="244"/>
      <c r="I859" s="71" t="e">
        <f>IF(COUNTIF((rName rData),H859),"","Name Error!")</f>
        <v>#NAME?</v>
      </c>
    </row>
    <row r="860" spans="2:9" s="126" customFormat="1" ht="15" customHeight="1" x14ac:dyDescent="0.25">
      <c r="B860" s="271" t="s">
        <v>324</v>
      </c>
      <c r="C860" s="272" t="s">
        <v>323</v>
      </c>
      <c r="D860" s="275" t="s">
        <v>216</v>
      </c>
      <c r="E860" s="275">
        <v>41345.940520833334</v>
      </c>
      <c r="F860" s="276">
        <v>1</v>
      </c>
      <c r="G860" s="243">
        <f t="shared" si="14"/>
        <v>76</v>
      </c>
      <c r="H860" s="244"/>
      <c r="I860" s="71" t="e">
        <f>IF(COUNTIF((rName rData),H860),"","Name Error!")</f>
        <v>#NAME?</v>
      </c>
    </row>
    <row r="861" spans="2:9" s="126" customFormat="1" ht="15" customHeight="1" x14ac:dyDescent="0.25">
      <c r="B861" s="271" t="s">
        <v>343</v>
      </c>
      <c r="C861" s="272" t="s">
        <v>342</v>
      </c>
      <c r="D861" s="275" t="s">
        <v>216</v>
      </c>
      <c r="E861" s="275">
        <v>41346.272916666669</v>
      </c>
      <c r="F861" s="276">
        <v>3</v>
      </c>
      <c r="G861" s="243">
        <f t="shared" si="14"/>
        <v>76</v>
      </c>
      <c r="H861" s="244"/>
      <c r="I861" s="71" t="e">
        <f>IF(COUNTIF((rName rData),H861),"","Name Error!")</f>
        <v>#NAME?</v>
      </c>
    </row>
    <row r="862" spans="2:9" s="126" customFormat="1" ht="15" customHeight="1" x14ac:dyDescent="0.25">
      <c r="B862" s="271" t="s">
        <v>326</v>
      </c>
      <c r="C862" s="272" t="s">
        <v>325</v>
      </c>
      <c r="D862" s="275" t="s">
        <v>216</v>
      </c>
      <c r="E862" s="275">
        <v>41346.366319444445</v>
      </c>
      <c r="F862" s="276">
        <v>3</v>
      </c>
      <c r="G862" s="243">
        <f t="shared" si="14"/>
        <v>76</v>
      </c>
      <c r="H862" s="244"/>
      <c r="I862" s="71" t="e">
        <f>IF(COUNTIF((rName rData),H862),"","Name Error!")</f>
        <v>#NAME?</v>
      </c>
    </row>
    <row r="863" spans="2:9" s="126" customFormat="1" ht="15" customHeight="1" x14ac:dyDescent="0.25">
      <c r="B863" s="271" t="s">
        <v>352</v>
      </c>
      <c r="C863" s="272" t="s">
        <v>351</v>
      </c>
      <c r="D863" s="275" t="s">
        <v>216</v>
      </c>
      <c r="E863" s="275">
        <v>41346.547314814816</v>
      </c>
      <c r="F863" s="276">
        <v>1</v>
      </c>
      <c r="G863" s="243">
        <f t="shared" si="14"/>
        <v>76</v>
      </c>
      <c r="H863" s="244"/>
      <c r="I863" s="71" t="e">
        <f>IF(COUNTIF((rName rData),H863),"","Name Error!")</f>
        <v>#NAME?</v>
      </c>
    </row>
    <row r="864" spans="2:9" s="126" customFormat="1" ht="15" customHeight="1" x14ac:dyDescent="0.25">
      <c r="B864" s="271" t="s">
        <v>335</v>
      </c>
      <c r="C864" s="272" t="s">
        <v>334</v>
      </c>
      <c r="D864" s="275" t="s">
        <v>216</v>
      </c>
      <c r="E864" s="275">
        <v>41346.569305555553</v>
      </c>
      <c r="F864" s="276">
        <v>1</v>
      </c>
      <c r="G864" s="243">
        <f t="shared" si="14"/>
        <v>76</v>
      </c>
      <c r="H864" s="244"/>
      <c r="I864" s="71" t="e">
        <f>IF(COUNTIF((rName rData),H864),"","Name Error!")</f>
        <v>#NAME?</v>
      </c>
    </row>
    <row r="865" spans="2:9" s="126" customFormat="1" ht="15" customHeight="1" x14ac:dyDescent="0.25">
      <c r="B865" s="271" t="s">
        <v>322</v>
      </c>
      <c r="C865" s="272" t="s">
        <v>321</v>
      </c>
      <c r="D865" s="275" t="s">
        <v>216</v>
      </c>
      <c r="E865" s="275">
        <v>41346.569398148145</v>
      </c>
      <c r="F865" s="276">
        <v>2</v>
      </c>
      <c r="G865" s="243">
        <f t="shared" si="14"/>
        <v>76</v>
      </c>
      <c r="H865" s="244"/>
      <c r="I865" s="71" t="e">
        <f>IF(COUNTIF((rName rData),H865),"","Name Error!")</f>
        <v>#NAME?</v>
      </c>
    </row>
    <row r="866" spans="2:9" s="126" customFormat="1" ht="15" customHeight="1" x14ac:dyDescent="0.25">
      <c r="B866" s="271" t="s">
        <v>337</v>
      </c>
      <c r="C866" s="272" t="s">
        <v>336</v>
      </c>
      <c r="D866" s="275" t="s">
        <v>216</v>
      </c>
      <c r="E866" s="275">
        <v>41346.569710648146</v>
      </c>
      <c r="F866" s="276">
        <v>1</v>
      </c>
      <c r="G866" s="243">
        <f t="shared" si="14"/>
        <v>76</v>
      </c>
      <c r="H866" s="244"/>
      <c r="I866" s="71" t="e">
        <f>IF(COUNTIF((rName rData),H866),"","Name Error!")</f>
        <v>#NAME?</v>
      </c>
    </row>
    <row r="867" spans="2:9" s="126" customFormat="1" ht="15" customHeight="1" x14ac:dyDescent="0.25">
      <c r="B867" s="271" t="s">
        <v>371</v>
      </c>
      <c r="C867" s="272" t="s">
        <v>370</v>
      </c>
      <c r="D867" s="275" t="s">
        <v>216</v>
      </c>
      <c r="E867" s="275">
        <v>41346.573703703703</v>
      </c>
      <c r="F867" s="276">
        <v>1</v>
      </c>
      <c r="G867" s="243">
        <f t="shared" si="14"/>
        <v>76</v>
      </c>
      <c r="H867" s="244"/>
      <c r="I867" s="71" t="e">
        <f>IF(COUNTIF((rName rData),H867),"","Name Error!")</f>
        <v>#NAME?</v>
      </c>
    </row>
    <row r="868" spans="2:9" s="126" customFormat="1" ht="15" customHeight="1" x14ac:dyDescent="0.25">
      <c r="B868" s="271" t="s">
        <v>324</v>
      </c>
      <c r="C868" s="272" t="s">
        <v>323</v>
      </c>
      <c r="D868" s="275" t="s">
        <v>216</v>
      </c>
      <c r="E868" s="275">
        <v>41346.621620370373</v>
      </c>
      <c r="F868" s="276">
        <v>2</v>
      </c>
      <c r="G868" s="243">
        <f t="shared" si="14"/>
        <v>76</v>
      </c>
      <c r="H868" s="244"/>
      <c r="I868" s="71" t="e">
        <f>IF(COUNTIF((rName rData),H868),"","Name Error!")</f>
        <v>#NAME?</v>
      </c>
    </row>
    <row r="869" spans="2:9" s="126" customFormat="1" ht="15" customHeight="1" x14ac:dyDescent="0.25">
      <c r="B869" s="271" t="s">
        <v>322</v>
      </c>
      <c r="C869" s="272" t="s">
        <v>321</v>
      </c>
      <c r="D869" s="275" t="s">
        <v>216</v>
      </c>
      <c r="E869" s="275">
        <v>41347.017129629632</v>
      </c>
      <c r="F869" s="276">
        <v>3</v>
      </c>
      <c r="G869" s="243">
        <f t="shared" si="14"/>
        <v>76</v>
      </c>
      <c r="H869" s="244"/>
      <c r="I869" s="71" t="e">
        <f>IF(COUNTIF((rName rData),H869),"","Name Error!")</f>
        <v>#NAME?</v>
      </c>
    </row>
    <row r="870" spans="2:9" s="126" customFormat="1" ht="15" customHeight="1" x14ac:dyDescent="0.25">
      <c r="B870" s="271" t="s">
        <v>352</v>
      </c>
      <c r="C870" s="272" t="s">
        <v>351</v>
      </c>
      <c r="D870" s="275" t="s">
        <v>216</v>
      </c>
      <c r="E870" s="275">
        <v>41347.052951388891</v>
      </c>
      <c r="F870" s="276">
        <v>2</v>
      </c>
      <c r="G870" s="243">
        <f t="shared" si="14"/>
        <v>76</v>
      </c>
      <c r="H870" s="244"/>
      <c r="I870" s="71" t="e">
        <f>IF(COUNTIF((rName rData),H870),"","Name Error!")</f>
        <v>#NAME?</v>
      </c>
    </row>
    <row r="871" spans="2:9" s="126" customFormat="1" ht="15" customHeight="1" x14ac:dyDescent="0.25">
      <c r="B871" s="271" t="s">
        <v>324</v>
      </c>
      <c r="C871" s="272" t="s">
        <v>323</v>
      </c>
      <c r="D871" s="275" t="s">
        <v>216</v>
      </c>
      <c r="E871" s="275">
        <v>41347.549328703702</v>
      </c>
      <c r="F871" s="276">
        <v>1</v>
      </c>
      <c r="G871" s="243">
        <f t="shared" si="14"/>
        <v>76</v>
      </c>
      <c r="H871" s="244"/>
      <c r="I871" s="71" t="e">
        <f>IF(COUNTIF((rName rData),H871),"","Name Error!")</f>
        <v>#NAME?</v>
      </c>
    </row>
    <row r="872" spans="2:9" s="126" customFormat="1" ht="15" customHeight="1" x14ac:dyDescent="0.25">
      <c r="B872" s="271" t="s">
        <v>343</v>
      </c>
      <c r="C872" s="272" t="s">
        <v>342</v>
      </c>
      <c r="D872" s="275" t="s">
        <v>216</v>
      </c>
      <c r="E872" s="275">
        <v>41347.606388888889</v>
      </c>
      <c r="F872" s="276">
        <v>2</v>
      </c>
      <c r="G872" s="243">
        <f t="shared" si="14"/>
        <v>76</v>
      </c>
      <c r="H872" s="244"/>
      <c r="I872" s="71" t="e">
        <f>IF(COUNTIF((rName rData),H872),"","Name Error!")</f>
        <v>#NAME?</v>
      </c>
    </row>
    <row r="873" spans="2:9" s="126" customFormat="1" ht="15" customHeight="1" x14ac:dyDescent="0.25">
      <c r="B873" s="271" t="s">
        <v>335</v>
      </c>
      <c r="C873" s="272" t="s">
        <v>334</v>
      </c>
      <c r="D873" s="275" t="s">
        <v>216</v>
      </c>
      <c r="E873" s="275">
        <v>41347.916388888887</v>
      </c>
      <c r="F873" s="276">
        <v>1</v>
      </c>
      <c r="G873" s="243">
        <f t="shared" si="14"/>
        <v>76</v>
      </c>
      <c r="H873" s="244"/>
      <c r="I873" s="71" t="e">
        <f>IF(COUNTIF((rName rData),H873),"","Name Error!")</f>
        <v>#NAME?</v>
      </c>
    </row>
    <row r="874" spans="2:9" s="126" customFormat="1" ht="15" customHeight="1" x14ac:dyDescent="0.25">
      <c r="B874" s="271" t="s">
        <v>371</v>
      </c>
      <c r="C874" s="272" t="s">
        <v>370</v>
      </c>
      <c r="D874" s="275" t="s">
        <v>216</v>
      </c>
      <c r="E874" s="275">
        <v>41348.00037037037</v>
      </c>
      <c r="F874" s="276">
        <v>2</v>
      </c>
      <c r="G874" s="243">
        <f t="shared" si="14"/>
        <v>76</v>
      </c>
      <c r="H874" s="244"/>
      <c r="I874" s="71" t="e">
        <f>IF(COUNTIF((rName rData),H874),"","Name Error!")</f>
        <v>#NAME?</v>
      </c>
    </row>
    <row r="875" spans="2:9" s="126" customFormat="1" ht="15" customHeight="1" x14ac:dyDescent="0.25">
      <c r="B875" s="271" t="s">
        <v>322</v>
      </c>
      <c r="C875" s="272" t="s">
        <v>321</v>
      </c>
      <c r="D875" s="275" t="s">
        <v>216</v>
      </c>
      <c r="E875" s="275">
        <v>41348.040925925925</v>
      </c>
      <c r="F875" s="276">
        <v>2</v>
      </c>
      <c r="G875" s="243">
        <f t="shared" si="14"/>
        <v>76</v>
      </c>
      <c r="H875" s="244"/>
      <c r="I875" s="71" t="e">
        <f>IF(COUNTIF((rName rData),H875),"","Name Error!")</f>
        <v>#NAME?</v>
      </c>
    </row>
    <row r="876" spans="2:9" s="126" customFormat="1" ht="15" customHeight="1" x14ac:dyDescent="0.25">
      <c r="B876" s="271" t="s">
        <v>324</v>
      </c>
      <c r="C876" s="272" t="s">
        <v>323</v>
      </c>
      <c r="D876" s="275" t="s">
        <v>216</v>
      </c>
      <c r="E876" s="275">
        <v>41348.04142361111</v>
      </c>
      <c r="F876" s="276">
        <v>2</v>
      </c>
      <c r="G876" s="243">
        <f t="shared" si="14"/>
        <v>76</v>
      </c>
      <c r="H876" s="244"/>
      <c r="I876" s="71" t="e">
        <f>IF(COUNTIF((rName rData),H876),"","Name Error!")</f>
        <v>#NAME?</v>
      </c>
    </row>
    <row r="877" spans="2:9" s="126" customFormat="1" ht="15" customHeight="1" x14ac:dyDescent="0.25">
      <c r="B877" s="271" t="s">
        <v>326</v>
      </c>
      <c r="C877" s="272" t="s">
        <v>325</v>
      </c>
      <c r="D877" s="275" t="s">
        <v>216</v>
      </c>
      <c r="E877" s="275">
        <v>41348.314270833333</v>
      </c>
      <c r="F877" s="276">
        <v>1</v>
      </c>
      <c r="G877" s="243">
        <f t="shared" si="14"/>
        <v>76</v>
      </c>
      <c r="H877" s="244"/>
      <c r="I877" s="71" t="e">
        <f>IF(COUNTIF((rName rData),H877),"","Name Error!")</f>
        <v>#NAME?</v>
      </c>
    </row>
    <row r="878" spans="2:9" s="126" customFormat="1" ht="15" customHeight="1" x14ac:dyDescent="0.25">
      <c r="B878" s="271" t="s">
        <v>352</v>
      </c>
      <c r="C878" s="272" t="s">
        <v>351</v>
      </c>
      <c r="D878" s="275" t="s">
        <v>216</v>
      </c>
      <c r="E878" s="275">
        <v>41348.325150462966</v>
      </c>
      <c r="F878" s="276">
        <v>1</v>
      </c>
      <c r="G878" s="243">
        <f t="shared" si="14"/>
        <v>76</v>
      </c>
      <c r="H878" s="244"/>
      <c r="I878" s="71" t="e">
        <f>IF(COUNTIF((rName rData),H878),"","Name Error!")</f>
        <v>#NAME?</v>
      </c>
    </row>
    <row r="879" spans="2:9" s="126" customFormat="1" ht="15" customHeight="1" x14ac:dyDescent="0.25">
      <c r="B879" s="271" t="s">
        <v>343</v>
      </c>
      <c r="C879" s="272" t="s">
        <v>342</v>
      </c>
      <c r="D879" s="275" t="s">
        <v>216</v>
      </c>
      <c r="E879" s="275">
        <v>41348.4846412037</v>
      </c>
      <c r="F879" s="276">
        <v>1</v>
      </c>
      <c r="G879" s="243">
        <f t="shared" si="14"/>
        <v>76</v>
      </c>
      <c r="H879" s="244"/>
      <c r="I879" s="71" t="e">
        <f>IF(COUNTIF((rName rData),H879),"","Name Error!")</f>
        <v>#NAME?</v>
      </c>
    </row>
    <row r="880" spans="2:9" s="126" customFormat="1" ht="15" customHeight="1" x14ac:dyDescent="0.25">
      <c r="B880" s="271" t="s">
        <v>352</v>
      </c>
      <c r="C880" s="272" t="s">
        <v>351</v>
      </c>
      <c r="D880" s="275" t="s">
        <v>216</v>
      </c>
      <c r="E880" s="275">
        <v>41349.319988425923</v>
      </c>
      <c r="F880" s="276">
        <v>1</v>
      </c>
      <c r="G880" s="243">
        <f t="shared" si="14"/>
        <v>77</v>
      </c>
      <c r="H880" s="244"/>
      <c r="I880" s="71" t="e">
        <f>IF(COUNTIF((rName rData),H880),"","Name Error!")</f>
        <v>#NAME?</v>
      </c>
    </row>
    <row r="881" spans="2:9" s="126" customFormat="1" ht="15" customHeight="1" x14ac:dyDescent="0.25">
      <c r="B881" s="271" t="s">
        <v>322</v>
      </c>
      <c r="C881" s="272" t="s">
        <v>321</v>
      </c>
      <c r="D881" s="275" t="s">
        <v>216</v>
      </c>
      <c r="E881" s="275">
        <v>41349.359456018516</v>
      </c>
      <c r="F881" s="276">
        <v>1</v>
      </c>
      <c r="G881" s="243">
        <f t="shared" si="14"/>
        <v>77</v>
      </c>
      <c r="H881" s="244"/>
      <c r="I881" s="71" t="e">
        <f>IF(COUNTIF((rName rData),H881),"","Name Error!")</f>
        <v>#NAME?</v>
      </c>
    </row>
    <row r="882" spans="2:9" s="126" customFormat="1" ht="15" customHeight="1" x14ac:dyDescent="0.25">
      <c r="B882" s="271" t="s">
        <v>371</v>
      </c>
      <c r="C882" s="272" t="s">
        <v>370</v>
      </c>
      <c r="D882" s="275" t="s">
        <v>216</v>
      </c>
      <c r="E882" s="275">
        <v>41349.387152777781</v>
      </c>
      <c r="F882" s="276">
        <v>1</v>
      </c>
      <c r="G882" s="243">
        <f t="shared" si="14"/>
        <v>77</v>
      </c>
      <c r="H882" s="244"/>
      <c r="I882" s="71" t="e">
        <f>IF(COUNTIF((rName rData),H882),"","Name Error!")</f>
        <v>#NAME?</v>
      </c>
    </row>
    <row r="883" spans="2:9" s="126" customFormat="1" ht="15" customHeight="1" x14ac:dyDescent="0.25">
      <c r="B883" s="271" t="s">
        <v>335</v>
      </c>
      <c r="C883" s="272" t="s">
        <v>334</v>
      </c>
      <c r="D883" s="275" t="s">
        <v>216</v>
      </c>
      <c r="E883" s="275">
        <v>41349.391215277778</v>
      </c>
      <c r="F883" s="276">
        <v>1</v>
      </c>
      <c r="G883" s="243">
        <f t="shared" si="14"/>
        <v>77</v>
      </c>
      <c r="H883" s="244"/>
      <c r="I883" s="71" t="e">
        <f>IF(COUNTIF((rName rData),H883),"","Name Error!")</f>
        <v>#NAME?</v>
      </c>
    </row>
    <row r="884" spans="2:9" s="126" customFormat="1" ht="15" customHeight="1" x14ac:dyDescent="0.25">
      <c r="B884" s="271" t="s">
        <v>322</v>
      </c>
      <c r="C884" s="272" t="s">
        <v>321</v>
      </c>
      <c r="D884" s="275" t="s">
        <v>216</v>
      </c>
      <c r="E884" s="275">
        <v>41350.599166666667</v>
      </c>
      <c r="F884" s="276">
        <v>1</v>
      </c>
      <c r="G884" s="243">
        <f t="shared" si="14"/>
        <v>77</v>
      </c>
      <c r="H884" s="244"/>
      <c r="I884" s="71" t="e">
        <f>IF(COUNTIF((rName rData),H884),"","Name Error!")</f>
        <v>#NAME?</v>
      </c>
    </row>
    <row r="885" spans="2:9" s="126" customFormat="1" ht="15" customHeight="1" x14ac:dyDescent="0.25">
      <c r="B885" s="271" t="s">
        <v>352</v>
      </c>
      <c r="C885" s="272" t="s">
        <v>351</v>
      </c>
      <c r="D885" s="275" t="s">
        <v>216</v>
      </c>
      <c r="E885" s="275">
        <v>41350.659907407404</v>
      </c>
      <c r="F885" s="276">
        <v>1</v>
      </c>
      <c r="G885" s="243">
        <f t="shared" si="14"/>
        <v>77</v>
      </c>
      <c r="H885" s="244"/>
      <c r="I885" s="71" t="e">
        <f>IF(COUNTIF((rName rData),H885),"","Name Error!")</f>
        <v>#NAME?</v>
      </c>
    </row>
    <row r="886" spans="2:9" s="126" customFormat="1" ht="15" customHeight="1" x14ac:dyDescent="0.25">
      <c r="B886" s="271" t="s">
        <v>352</v>
      </c>
      <c r="C886" s="272" t="s">
        <v>351</v>
      </c>
      <c r="D886" s="275" t="s">
        <v>216</v>
      </c>
      <c r="E886" s="275">
        <v>41351.245023148149</v>
      </c>
      <c r="F886" s="276">
        <v>1</v>
      </c>
      <c r="G886" s="243">
        <f t="shared" si="14"/>
        <v>77</v>
      </c>
      <c r="H886" s="244"/>
      <c r="I886" s="71" t="e">
        <f>IF(COUNTIF((rName rData),H886),"","Name Error!")</f>
        <v>#NAME?</v>
      </c>
    </row>
    <row r="887" spans="2:9" s="126" customFormat="1" ht="15" customHeight="1" x14ac:dyDescent="0.25">
      <c r="B887" s="271" t="s">
        <v>322</v>
      </c>
      <c r="C887" s="272" t="s">
        <v>321</v>
      </c>
      <c r="D887" s="275" t="s">
        <v>216</v>
      </c>
      <c r="E887" s="275">
        <v>41351.914571759262</v>
      </c>
      <c r="F887" s="276">
        <v>1</v>
      </c>
      <c r="G887" s="243">
        <f t="shared" si="14"/>
        <v>77</v>
      </c>
      <c r="H887" s="244"/>
      <c r="I887" s="71" t="e">
        <f>IF(COUNTIF((rName rData),H887),"","Name Error!")</f>
        <v>#NAME?</v>
      </c>
    </row>
    <row r="888" spans="2:9" s="126" customFormat="1" ht="15" customHeight="1" x14ac:dyDescent="0.25">
      <c r="B888" s="271" t="s">
        <v>371</v>
      </c>
      <c r="C888" s="272" t="s">
        <v>370</v>
      </c>
      <c r="D888" s="275" t="s">
        <v>216</v>
      </c>
      <c r="E888" s="275">
        <v>41351.920694444445</v>
      </c>
      <c r="F888" s="276">
        <v>1</v>
      </c>
      <c r="G888" s="243">
        <f t="shared" si="14"/>
        <v>77</v>
      </c>
      <c r="H888" s="244"/>
      <c r="I888" s="71" t="e">
        <f>IF(COUNTIF((rName rData),H888),"","Name Error!")</f>
        <v>#NAME?</v>
      </c>
    </row>
    <row r="889" spans="2:9" s="126" customFormat="1" ht="15" customHeight="1" x14ac:dyDescent="0.25">
      <c r="B889" s="271" t="s">
        <v>324</v>
      </c>
      <c r="C889" s="272" t="s">
        <v>323</v>
      </c>
      <c r="D889" s="275" t="s">
        <v>216</v>
      </c>
      <c r="E889" s="275">
        <v>41351.978310185186</v>
      </c>
      <c r="F889" s="276">
        <v>1</v>
      </c>
      <c r="G889" s="243">
        <f t="shared" si="14"/>
        <v>77</v>
      </c>
      <c r="H889" s="244"/>
      <c r="I889" s="71" t="e">
        <f>IF(COUNTIF((rName rData),H889),"","Name Error!")</f>
        <v>#NAME?</v>
      </c>
    </row>
    <row r="890" spans="2:9" s="126" customFormat="1" ht="15" customHeight="1" x14ac:dyDescent="0.25">
      <c r="B890" s="271" t="s">
        <v>335</v>
      </c>
      <c r="C890" s="272" t="s">
        <v>334</v>
      </c>
      <c r="D890" s="275" t="s">
        <v>216</v>
      </c>
      <c r="E890" s="275">
        <v>41352.04283564815</v>
      </c>
      <c r="F890" s="276">
        <v>2</v>
      </c>
      <c r="G890" s="243">
        <f t="shared" si="14"/>
        <v>77</v>
      </c>
      <c r="H890" s="244"/>
      <c r="I890" s="71" t="e">
        <f>IF(COUNTIF((rName rData),H890),"","Name Error!")</f>
        <v>#NAME?</v>
      </c>
    </row>
    <row r="891" spans="2:9" s="126" customFormat="1" ht="15" customHeight="1" x14ac:dyDescent="0.25">
      <c r="B891" s="271" t="s">
        <v>333</v>
      </c>
      <c r="C891" s="272" t="s">
        <v>332</v>
      </c>
      <c r="D891" s="275" t="s">
        <v>216</v>
      </c>
      <c r="E891" s="275">
        <v>41352.141898148147</v>
      </c>
      <c r="F891" s="276">
        <v>1</v>
      </c>
      <c r="G891" s="243">
        <f t="shared" si="14"/>
        <v>77</v>
      </c>
      <c r="H891" s="244"/>
      <c r="I891" s="71" t="e">
        <f>IF(COUNTIF((rName rData),H891),"","Name Error!")</f>
        <v>#NAME?</v>
      </c>
    </row>
    <row r="892" spans="2:9" s="126" customFormat="1" ht="15" customHeight="1" x14ac:dyDescent="0.25">
      <c r="B892" s="271" t="s">
        <v>352</v>
      </c>
      <c r="C892" s="272" t="s">
        <v>351</v>
      </c>
      <c r="D892" s="275" t="s">
        <v>216</v>
      </c>
      <c r="E892" s="275">
        <v>41352.272731481484</v>
      </c>
      <c r="F892" s="276">
        <v>3</v>
      </c>
      <c r="G892" s="243">
        <f t="shared" si="14"/>
        <v>77</v>
      </c>
      <c r="H892" s="244"/>
      <c r="I892" s="71" t="e">
        <f>IF(COUNTIF((rName rData),H892),"","Name Error!")</f>
        <v>#NAME?</v>
      </c>
    </row>
    <row r="893" spans="2:9" s="126" customFormat="1" ht="15" customHeight="1" x14ac:dyDescent="0.25">
      <c r="B893" s="271" t="s">
        <v>343</v>
      </c>
      <c r="C893" s="272" t="s">
        <v>342</v>
      </c>
      <c r="D893" s="275" t="s">
        <v>216</v>
      </c>
      <c r="E893" s="275">
        <v>41352.306956018518</v>
      </c>
      <c r="F893" s="276">
        <v>3</v>
      </c>
      <c r="G893" s="243">
        <f t="shared" si="14"/>
        <v>77</v>
      </c>
      <c r="H893" s="244"/>
      <c r="I893" s="71" t="e">
        <f>IF(COUNTIF((rName rData),H893),"","Name Error!")</f>
        <v>#NAME?</v>
      </c>
    </row>
    <row r="894" spans="2:9" s="126" customFormat="1" ht="15" customHeight="1" x14ac:dyDescent="0.25">
      <c r="B894" s="271" t="s">
        <v>322</v>
      </c>
      <c r="C894" s="272" t="s">
        <v>321</v>
      </c>
      <c r="D894" s="275" t="s">
        <v>216</v>
      </c>
      <c r="E894" s="275">
        <v>41352.358136574076</v>
      </c>
      <c r="F894" s="276">
        <v>3</v>
      </c>
      <c r="G894" s="243">
        <f t="shared" si="14"/>
        <v>77</v>
      </c>
      <c r="H894" s="244"/>
      <c r="I894" s="71" t="e">
        <f>IF(COUNTIF((rName rData),H894),"","Name Error!")</f>
        <v>#NAME?</v>
      </c>
    </row>
    <row r="895" spans="2:9" s="126" customFormat="1" ht="15" customHeight="1" x14ac:dyDescent="0.25">
      <c r="B895" s="271" t="s">
        <v>371</v>
      </c>
      <c r="C895" s="272" t="s">
        <v>370</v>
      </c>
      <c r="D895" s="275" t="s">
        <v>216</v>
      </c>
      <c r="E895" s="275">
        <v>41352.433368055557</v>
      </c>
      <c r="F895" s="276">
        <v>2</v>
      </c>
      <c r="G895" s="243">
        <f t="shared" si="14"/>
        <v>77</v>
      </c>
      <c r="H895" s="244"/>
      <c r="I895" s="71" t="e">
        <f>IF(COUNTIF((rName rData),H895),"","Name Error!")</f>
        <v>#NAME?</v>
      </c>
    </row>
    <row r="896" spans="2:9" s="126" customFormat="1" ht="15" customHeight="1" x14ac:dyDescent="0.25">
      <c r="B896" s="271" t="s">
        <v>324</v>
      </c>
      <c r="C896" s="272" t="s">
        <v>323</v>
      </c>
      <c r="D896" s="275" t="s">
        <v>216</v>
      </c>
      <c r="E896" s="275">
        <v>41352.43409722222</v>
      </c>
      <c r="F896" s="276">
        <v>3</v>
      </c>
      <c r="G896" s="243">
        <f t="shared" si="14"/>
        <v>77</v>
      </c>
      <c r="H896" s="244"/>
      <c r="I896" s="71" t="e">
        <f>IF(COUNTIF((rName rData),H896),"","Name Error!")</f>
        <v>#NAME?</v>
      </c>
    </row>
    <row r="897" spans="2:9" s="126" customFormat="1" ht="15" customHeight="1" x14ac:dyDescent="0.25">
      <c r="B897" s="271" t="s">
        <v>337</v>
      </c>
      <c r="C897" s="272" t="s">
        <v>336</v>
      </c>
      <c r="D897" s="275" t="s">
        <v>216</v>
      </c>
      <c r="E897" s="275">
        <v>41352.435694444444</v>
      </c>
      <c r="F897" s="276">
        <v>2</v>
      </c>
      <c r="G897" s="243">
        <f t="shared" si="14"/>
        <v>77</v>
      </c>
      <c r="H897" s="244"/>
      <c r="I897" s="71" t="e">
        <f>IF(COUNTIF((rName rData),H897),"","Name Error!")</f>
        <v>#NAME?</v>
      </c>
    </row>
    <row r="898" spans="2:9" s="126" customFormat="1" ht="15" customHeight="1" x14ac:dyDescent="0.25">
      <c r="B898" s="271" t="s">
        <v>326</v>
      </c>
      <c r="C898" s="272" t="s">
        <v>325</v>
      </c>
      <c r="D898" s="275" t="s">
        <v>216</v>
      </c>
      <c r="E898" s="275">
        <v>41352.575659722221</v>
      </c>
      <c r="F898" s="276">
        <v>1</v>
      </c>
      <c r="G898" s="243">
        <f t="shared" si="14"/>
        <v>77</v>
      </c>
      <c r="H898" s="244"/>
      <c r="I898" s="71" t="e">
        <f>IF(COUNTIF((rName rData),H898),"","Name Error!")</f>
        <v>#NAME?</v>
      </c>
    </row>
    <row r="899" spans="2:9" s="126" customFormat="1" ht="15" customHeight="1" x14ac:dyDescent="0.25">
      <c r="B899" s="271" t="s">
        <v>371</v>
      </c>
      <c r="C899" s="272" t="s">
        <v>370</v>
      </c>
      <c r="D899" s="275" t="s">
        <v>216</v>
      </c>
      <c r="E899" s="275">
        <v>41353.422118055554</v>
      </c>
      <c r="F899" s="276">
        <v>4</v>
      </c>
      <c r="G899" s="243">
        <f t="shared" si="14"/>
        <v>77</v>
      </c>
      <c r="H899" s="244"/>
      <c r="I899" s="71" t="e">
        <f>IF(COUNTIF((rName rData),H899),"","Name Error!")</f>
        <v>#NAME?</v>
      </c>
    </row>
    <row r="900" spans="2:9" s="126" customFormat="1" ht="15" customHeight="1" x14ac:dyDescent="0.25">
      <c r="B900" s="271" t="s">
        <v>337</v>
      </c>
      <c r="C900" s="272" t="s">
        <v>336</v>
      </c>
      <c r="D900" s="275" t="s">
        <v>216</v>
      </c>
      <c r="E900" s="275">
        <v>41353.554259259261</v>
      </c>
      <c r="F900" s="276">
        <v>2</v>
      </c>
      <c r="G900" s="243">
        <f t="shared" si="14"/>
        <v>77</v>
      </c>
      <c r="H900" s="244"/>
      <c r="I900" s="71" t="e">
        <f>IF(COUNTIF((rName rData),H900),"","Name Error!")</f>
        <v>#NAME?</v>
      </c>
    </row>
    <row r="901" spans="2:9" s="126" customFormat="1" ht="15" customHeight="1" x14ac:dyDescent="0.25">
      <c r="B901" s="271" t="s">
        <v>324</v>
      </c>
      <c r="C901" s="272" t="s">
        <v>323</v>
      </c>
      <c r="D901" s="275" t="s">
        <v>216</v>
      </c>
      <c r="E901" s="275">
        <v>41353.569016203706</v>
      </c>
      <c r="F901" s="276">
        <v>1</v>
      </c>
      <c r="G901" s="243">
        <f t="shared" si="14"/>
        <v>77</v>
      </c>
      <c r="H901" s="244"/>
      <c r="I901" s="71" t="e">
        <f>IF(COUNTIF((rName rData),H901),"","Name Error!")</f>
        <v>#NAME?</v>
      </c>
    </row>
    <row r="902" spans="2:9" s="126" customFormat="1" ht="15" customHeight="1" x14ac:dyDescent="0.25">
      <c r="B902" s="271" t="s">
        <v>326</v>
      </c>
      <c r="C902" s="272" t="s">
        <v>325</v>
      </c>
      <c r="D902" s="275" t="s">
        <v>216</v>
      </c>
      <c r="E902" s="275">
        <v>41353.569722222222</v>
      </c>
      <c r="F902" s="276">
        <v>3</v>
      </c>
      <c r="G902" s="243">
        <f t="shared" si="14"/>
        <v>77</v>
      </c>
      <c r="H902" s="244"/>
      <c r="I902" s="71" t="e">
        <f>IF(COUNTIF((rName rData),H902),"","Name Error!")</f>
        <v>#NAME?</v>
      </c>
    </row>
    <row r="903" spans="2:9" s="126" customFormat="1" ht="15" customHeight="1" x14ac:dyDescent="0.25">
      <c r="B903" s="271" t="s">
        <v>352</v>
      </c>
      <c r="C903" s="272" t="s">
        <v>351</v>
      </c>
      <c r="D903" s="275" t="s">
        <v>216</v>
      </c>
      <c r="E903" s="275">
        <v>41353.569837962961</v>
      </c>
      <c r="F903" s="276">
        <v>4</v>
      </c>
      <c r="G903" s="243">
        <f t="shared" si="14"/>
        <v>77</v>
      </c>
      <c r="H903" s="244"/>
      <c r="I903" s="71" t="e">
        <f>IF(COUNTIF((rName rData),H903),"","Name Error!")</f>
        <v>#NAME?</v>
      </c>
    </row>
    <row r="904" spans="2:9" s="126" customFormat="1" ht="15" customHeight="1" x14ac:dyDescent="0.25">
      <c r="B904" s="271" t="s">
        <v>343</v>
      </c>
      <c r="C904" s="272" t="s">
        <v>342</v>
      </c>
      <c r="D904" s="275" t="s">
        <v>216</v>
      </c>
      <c r="E904" s="275">
        <v>41353.570590277777</v>
      </c>
      <c r="F904" s="276">
        <v>1</v>
      </c>
      <c r="G904" s="243">
        <f t="shared" si="14"/>
        <v>77</v>
      </c>
      <c r="H904" s="244"/>
      <c r="I904" s="71" t="e">
        <f>IF(COUNTIF((rName rData),H904),"","Name Error!")</f>
        <v>#NAME?</v>
      </c>
    </row>
    <row r="905" spans="2:9" s="126" customFormat="1" ht="15" customHeight="1" x14ac:dyDescent="0.25">
      <c r="B905" s="271" t="s">
        <v>322</v>
      </c>
      <c r="C905" s="272" t="s">
        <v>321</v>
      </c>
      <c r="D905" s="275" t="s">
        <v>216</v>
      </c>
      <c r="E905" s="275">
        <v>41353.570960648147</v>
      </c>
      <c r="F905" s="276">
        <v>6</v>
      </c>
      <c r="G905" s="243">
        <f t="shared" si="14"/>
        <v>77</v>
      </c>
      <c r="H905" s="244"/>
      <c r="I905" s="71" t="e">
        <f>IF(COUNTIF((rName rData),H905),"","Name Error!")</f>
        <v>#NAME?</v>
      </c>
    </row>
    <row r="906" spans="2:9" s="126" customFormat="1" ht="15" customHeight="1" x14ac:dyDescent="0.25">
      <c r="B906" s="271" t="s">
        <v>335</v>
      </c>
      <c r="C906" s="272" t="s">
        <v>334</v>
      </c>
      <c r="D906" s="275" t="s">
        <v>216</v>
      </c>
      <c r="E906" s="275">
        <v>41353.573807870373</v>
      </c>
      <c r="F906" s="276">
        <v>1</v>
      </c>
      <c r="G906" s="243">
        <f t="shared" ref="G906:G969" si="15">TRUNC((E906-start)/7)+1</f>
        <v>77</v>
      </c>
      <c r="H906" s="244"/>
      <c r="I906" s="71" t="e">
        <f>IF(COUNTIF((rName rData),H906),"","Name Error!")</f>
        <v>#NAME?</v>
      </c>
    </row>
    <row r="907" spans="2:9" s="126" customFormat="1" ht="15" customHeight="1" x14ac:dyDescent="0.25">
      <c r="B907" s="271" t="s">
        <v>352</v>
      </c>
      <c r="C907" s="272" t="s">
        <v>351</v>
      </c>
      <c r="D907" s="275" t="s">
        <v>216</v>
      </c>
      <c r="E907" s="275">
        <v>41354.289930555555</v>
      </c>
      <c r="F907" s="276">
        <v>1</v>
      </c>
      <c r="G907" s="243">
        <f t="shared" si="15"/>
        <v>77</v>
      </c>
      <c r="H907" s="244"/>
      <c r="I907" s="71" t="e">
        <f>IF(COUNTIF((rName rData),H907),"","Name Error!")</f>
        <v>#NAME?</v>
      </c>
    </row>
    <row r="908" spans="2:9" s="126" customFormat="1" ht="15" customHeight="1" x14ac:dyDescent="0.25">
      <c r="B908" s="271" t="s">
        <v>322</v>
      </c>
      <c r="C908" s="272" t="s">
        <v>321</v>
      </c>
      <c r="D908" s="275" t="s">
        <v>216</v>
      </c>
      <c r="E908" s="275">
        <v>41354.333668981482</v>
      </c>
      <c r="F908" s="276">
        <v>1</v>
      </c>
      <c r="G908" s="243">
        <f t="shared" si="15"/>
        <v>77</v>
      </c>
      <c r="H908" s="244"/>
      <c r="I908" s="71" t="e">
        <f>IF(COUNTIF((rName rData),H908),"","Name Error!")</f>
        <v>#NAME?</v>
      </c>
    </row>
    <row r="909" spans="2:9" s="126" customFormat="1" ht="15" customHeight="1" x14ac:dyDescent="0.25">
      <c r="B909" s="271" t="s">
        <v>326</v>
      </c>
      <c r="C909" s="272" t="s">
        <v>325</v>
      </c>
      <c r="D909" s="275" t="s">
        <v>216</v>
      </c>
      <c r="E909" s="275">
        <v>41354.342685185184</v>
      </c>
      <c r="F909" s="276">
        <v>1</v>
      </c>
      <c r="G909" s="243">
        <f t="shared" si="15"/>
        <v>77</v>
      </c>
      <c r="H909" s="244"/>
      <c r="I909" s="71" t="e">
        <f>IF(COUNTIF((rName rData),H909),"","Name Error!")</f>
        <v>#NAME?</v>
      </c>
    </row>
    <row r="910" spans="2:9" s="126" customFormat="1" ht="15" customHeight="1" x14ac:dyDescent="0.25">
      <c r="B910" s="271" t="s">
        <v>267</v>
      </c>
      <c r="C910" s="272" t="s">
        <v>268</v>
      </c>
      <c r="D910" s="275" t="s">
        <v>216</v>
      </c>
      <c r="E910" s="275">
        <v>41354.831041666665</v>
      </c>
      <c r="F910" s="276">
        <v>1</v>
      </c>
      <c r="G910" s="243">
        <f t="shared" si="15"/>
        <v>77</v>
      </c>
      <c r="H910" s="244"/>
      <c r="I910" s="71" t="e">
        <f>IF(COUNTIF((rName rData),H910),"","Name Error!")</f>
        <v>#NAME?</v>
      </c>
    </row>
    <row r="911" spans="2:9" s="126" customFormat="1" ht="15" customHeight="1" x14ac:dyDescent="0.25">
      <c r="B911" s="271" t="s">
        <v>350</v>
      </c>
      <c r="C911" s="272" t="s">
        <v>349</v>
      </c>
      <c r="D911" s="275" t="s">
        <v>216</v>
      </c>
      <c r="E911" s="275">
        <v>41356.785081018519</v>
      </c>
      <c r="F911" s="276">
        <v>1</v>
      </c>
      <c r="G911" s="243">
        <f t="shared" si="15"/>
        <v>78</v>
      </c>
      <c r="H911" s="244"/>
      <c r="I911" s="71" t="e">
        <f>IF(COUNTIF((rName rData),H911),"","Name Error!")</f>
        <v>#NAME?</v>
      </c>
    </row>
    <row r="912" spans="2:9" s="126" customFormat="1" ht="15" customHeight="1" x14ac:dyDescent="0.25">
      <c r="B912" s="271" t="s">
        <v>360</v>
      </c>
      <c r="C912" s="272" t="s">
        <v>359</v>
      </c>
      <c r="D912" s="275" t="s">
        <v>216</v>
      </c>
      <c r="E912" s="275">
        <v>41356.895046296297</v>
      </c>
      <c r="F912" s="276">
        <v>1</v>
      </c>
      <c r="G912" s="243">
        <f t="shared" si="15"/>
        <v>78</v>
      </c>
      <c r="H912" s="244"/>
      <c r="I912" s="71" t="e">
        <f>IF(COUNTIF((rName rData),H912),"","Name Error!")</f>
        <v>#NAME?</v>
      </c>
    </row>
    <row r="913" spans="2:9" s="126" customFormat="1" ht="15" customHeight="1" x14ac:dyDescent="0.25">
      <c r="B913" s="271" t="s">
        <v>358</v>
      </c>
      <c r="C913" s="272" t="s">
        <v>357</v>
      </c>
      <c r="D913" s="275" t="s">
        <v>216</v>
      </c>
      <c r="E913" s="275">
        <v>41357.629432870373</v>
      </c>
      <c r="F913" s="276">
        <v>1</v>
      </c>
      <c r="G913" s="243">
        <f t="shared" si="15"/>
        <v>78</v>
      </c>
      <c r="H913" s="244"/>
      <c r="I913" s="71" t="e">
        <f>IF(COUNTIF((rName rData),H913),"","Name Error!")</f>
        <v>#NAME?</v>
      </c>
    </row>
    <row r="914" spans="2:9" s="126" customFormat="1" ht="15" customHeight="1" x14ac:dyDescent="0.25">
      <c r="B914" s="271" t="s">
        <v>341</v>
      </c>
      <c r="C914" s="272" t="s">
        <v>340</v>
      </c>
      <c r="D914" s="275" t="s">
        <v>216</v>
      </c>
      <c r="E914" s="275">
        <v>41357.794374999998</v>
      </c>
      <c r="F914" s="276">
        <v>1</v>
      </c>
      <c r="G914" s="243">
        <f t="shared" si="15"/>
        <v>78</v>
      </c>
      <c r="H914" s="244"/>
      <c r="I914" s="71" t="e">
        <f>IF(COUNTIF((rName rData),H914),"","Name Error!")</f>
        <v>#NAME?</v>
      </c>
    </row>
    <row r="915" spans="2:9" s="126" customFormat="1" ht="15" customHeight="1" x14ac:dyDescent="0.25">
      <c r="B915" s="271" t="s">
        <v>322</v>
      </c>
      <c r="C915" s="272" t="s">
        <v>321</v>
      </c>
      <c r="D915" s="275" t="s">
        <v>216</v>
      </c>
      <c r="E915" s="275">
        <v>41358.072696759256</v>
      </c>
      <c r="F915" s="276">
        <v>1</v>
      </c>
      <c r="G915" s="243">
        <f t="shared" si="15"/>
        <v>78</v>
      </c>
      <c r="H915" s="244"/>
      <c r="I915" s="71" t="e">
        <f>IF(COUNTIF((rName rData),H915),"","Name Error!")</f>
        <v>#NAME?</v>
      </c>
    </row>
    <row r="916" spans="2:9" s="126" customFormat="1" ht="15" customHeight="1" x14ac:dyDescent="0.25">
      <c r="B916" s="271" t="s">
        <v>279</v>
      </c>
      <c r="C916" s="272" t="s">
        <v>280</v>
      </c>
      <c r="D916" s="275" t="s">
        <v>216</v>
      </c>
      <c r="E916" s="275">
        <v>41358.695567129631</v>
      </c>
      <c r="F916" s="276">
        <v>1</v>
      </c>
      <c r="G916" s="243">
        <f t="shared" si="15"/>
        <v>78</v>
      </c>
      <c r="H916" s="244"/>
      <c r="I916" s="71" t="e">
        <f>IF(COUNTIF((rName rData),H916),"","Name Error!")</f>
        <v>#NAME?</v>
      </c>
    </row>
    <row r="917" spans="2:9" s="126" customFormat="1" ht="15" customHeight="1" x14ac:dyDescent="0.25">
      <c r="B917" s="271" t="s">
        <v>360</v>
      </c>
      <c r="C917" s="272" t="s">
        <v>359</v>
      </c>
      <c r="D917" s="275" t="s">
        <v>216</v>
      </c>
      <c r="E917" s="275">
        <v>41358.793622685182</v>
      </c>
      <c r="F917" s="276">
        <v>1</v>
      </c>
      <c r="G917" s="243">
        <f t="shared" si="15"/>
        <v>78</v>
      </c>
      <c r="H917" s="244"/>
      <c r="I917" s="71" t="e">
        <f>IF(COUNTIF((rName rData),H917),"","Name Error!")</f>
        <v>#NAME?</v>
      </c>
    </row>
    <row r="918" spans="2:9" s="126" customFormat="1" ht="15" customHeight="1" x14ac:dyDescent="0.25">
      <c r="B918" s="271" t="s">
        <v>352</v>
      </c>
      <c r="C918" s="272" t="s">
        <v>351</v>
      </c>
      <c r="D918" s="275" t="s">
        <v>216</v>
      </c>
      <c r="E918" s="275">
        <v>41358.87023148148</v>
      </c>
      <c r="F918" s="276">
        <v>1</v>
      </c>
      <c r="G918" s="243">
        <f t="shared" si="15"/>
        <v>78</v>
      </c>
      <c r="H918" s="244"/>
      <c r="I918" s="71" t="e">
        <f>IF(COUNTIF((rName rData),H918),"","Name Error!")</f>
        <v>#NAME?</v>
      </c>
    </row>
    <row r="919" spans="2:9" s="126" customFormat="1" ht="15" customHeight="1" x14ac:dyDescent="0.25">
      <c r="B919" s="271" t="s">
        <v>328</v>
      </c>
      <c r="C919" s="272" t="s">
        <v>327</v>
      </c>
      <c r="D919" s="275" t="s">
        <v>216</v>
      </c>
      <c r="E919" s="275">
        <v>41359.028368055559</v>
      </c>
      <c r="F919" s="276">
        <v>1</v>
      </c>
      <c r="G919" s="243">
        <f t="shared" si="15"/>
        <v>78</v>
      </c>
      <c r="H919" s="244"/>
      <c r="I919" s="71" t="e">
        <f>IF(COUNTIF((rName rData),H919),"","Name Error!")</f>
        <v>#NAME?</v>
      </c>
    </row>
    <row r="920" spans="2:9" s="126" customFormat="1" ht="15" customHeight="1" x14ac:dyDescent="0.25">
      <c r="B920" s="271" t="s">
        <v>279</v>
      </c>
      <c r="C920" s="272" t="s">
        <v>280</v>
      </c>
      <c r="D920" s="275" t="s">
        <v>216</v>
      </c>
      <c r="E920" s="275">
        <v>41359.40519675926</v>
      </c>
      <c r="F920" s="276">
        <v>2</v>
      </c>
      <c r="G920" s="243">
        <f t="shared" si="15"/>
        <v>78</v>
      </c>
      <c r="H920" s="244"/>
      <c r="I920" s="71" t="e">
        <f>IF(COUNTIF((rName rData),H920),"","Name Error!")</f>
        <v>#NAME?</v>
      </c>
    </row>
    <row r="921" spans="2:9" s="126" customFormat="1" ht="15" customHeight="1" x14ac:dyDescent="0.25">
      <c r="B921" s="271" t="s">
        <v>350</v>
      </c>
      <c r="C921" s="272" t="s">
        <v>349</v>
      </c>
      <c r="D921" s="275" t="s">
        <v>216</v>
      </c>
      <c r="E921" s="275">
        <v>41359.553553240738</v>
      </c>
      <c r="F921" s="276">
        <v>1</v>
      </c>
      <c r="G921" s="243">
        <f t="shared" si="15"/>
        <v>78</v>
      </c>
      <c r="H921" s="244"/>
      <c r="I921" s="71" t="e">
        <f>IF(COUNTIF((rName rData),H921),"","Name Error!")</f>
        <v>#NAME?</v>
      </c>
    </row>
    <row r="922" spans="2:9" s="126" customFormat="1" ht="15" customHeight="1" x14ac:dyDescent="0.25">
      <c r="B922" s="271" t="s">
        <v>360</v>
      </c>
      <c r="C922" s="272" t="s">
        <v>359</v>
      </c>
      <c r="D922" s="275" t="s">
        <v>216</v>
      </c>
      <c r="E922" s="275">
        <v>41359.752581018518</v>
      </c>
      <c r="F922" s="276">
        <v>1</v>
      </c>
      <c r="G922" s="243">
        <f t="shared" si="15"/>
        <v>78</v>
      </c>
      <c r="H922" s="244"/>
      <c r="I922" s="71" t="e">
        <f>IF(COUNTIF((rName rData),H922),"","Name Error!")</f>
        <v>#NAME?</v>
      </c>
    </row>
    <row r="923" spans="2:9" s="126" customFormat="1" ht="15" customHeight="1" x14ac:dyDescent="0.25">
      <c r="B923" s="271" t="s">
        <v>267</v>
      </c>
      <c r="C923" s="272" t="s">
        <v>268</v>
      </c>
      <c r="D923" s="275" t="s">
        <v>216</v>
      </c>
      <c r="E923" s="275">
        <v>41360.777094907404</v>
      </c>
      <c r="F923" s="276">
        <v>3</v>
      </c>
      <c r="G923" s="243">
        <f t="shared" si="15"/>
        <v>78</v>
      </c>
      <c r="H923" s="244"/>
      <c r="I923" s="71" t="e">
        <f>IF(COUNTIF((rName rData),H923),"","Name Error!")</f>
        <v>#NAME?</v>
      </c>
    </row>
    <row r="924" spans="2:9" s="126" customFormat="1" ht="15" customHeight="1" x14ac:dyDescent="0.25">
      <c r="B924" s="271" t="s">
        <v>352</v>
      </c>
      <c r="C924" s="272" t="s">
        <v>351</v>
      </c>
      <c r="D924" s="275" t="s">
        <v>216</v>
      </c>
      <c r="E924" s="275">
        <v>41361.898888888885</v>
      </c>
      <c r="F924" s="276">
        <v>1</v>
      </c>
      <c r="G924" s="243">
        <f t="shared" si="15"/>
        <v>78</v>
      </c>
      <c r="H924" s="244"/>
      <c r="I924" s="71" t="e">
        <f>IF(COUNTIF((rName rData),H924),"","Name Error!")</f>
        <v>#NAME?</v>
      </c>
    </row>
    <row r="925" spans="2:9" s="126" customFormat="1" ht="15" customHeight="1" x14ac:dyDescent="0.25">
      <c r="B925" s="271" t="s">
        <v>328</v>
      </c>
      <c r="C925" s="272" t="s">
        <v>327</v>
      </c>
      <c r="D925" s="275" t="s">
        <v>216</v>
      </c>
      <c r="E925" s="275">
        <v>41361.999652777777</v>
      </c>
      <c r="F925" s="276">
        <v>1</v>
      </c>
      <c r="G925" s="243">
        <f t="shared" si="15"/>
        <v>78</v>
      </c>
      <c r="H925" s="244"/>
      <c r="I925" s="71" t="e">
        <f>IF(COUNTIF((rName rData),H925),"","Name Error!")</f>
        <v>#NAME?</v>
      </c>
    </row>
    <row r="926" spans="2:9" s="126" customFormat="1" ht="15" customHeight="1" x14ac:dyDescent="0.25">
      <c r="B926" s="271" t="s">
        <v>341</v>
      </c>
      <c r="C926" s="272" t="s">
        <v>340</v>
      </c>
      <c r="D926" s="275" t="s">
        <v>216</v>
      </c>
      <c r="E926" s="275">
        <v>41362.859826388885</v>
      </c>
      <c r="F926" s="276">
        <v>3</v>
      </c>
      <c r="G926" s="243">
        <f t="shared" si="15"/>
        <v>78</v>
      </c>
      <c r="H926" s="244"/>
      <c r="I926" s="71" t="e">
        <f>IF(COUNTIF((rName rData),H926),"","Name Error!")</f>
        <v>#NAME?</v>
      </c>
    </row>
    <row r="927" spans="2:9" s="126" customFormat="1" ht="15" customHeight="1" x14ac:dyDescent="0.25">
      <c r="B927" s="271" t="s">
        <v>352</v>
      </c>
      <c r="C927" s="272" t="s">
        <v>351</v>
      </c>
      <c r="D927" s="275" t="s">
        <v>216</v>
      </c>
      <c r="E927" s="275">
        <v>41362.925555555557</v>
      </c>
      <c r="F927" s="276">
        <v>1</v>
      </c>
      <c r="G927" s="243">
        <f t="shared" si="15"/>
        <v>78</v>
      </c>
      <c r="H927" s="244"/>
      <c r="I927" s="71" t="e">
        <f>IF(COUNTIF((rName rData),H927),"","Name Error!")</f>
        <v>#NAME?</v>
      </c>
    </row>
    <row r="928" spans="2:9" s="126" customFormat="1" ht="15" customHeight="1" x14ac:dyDescent="0.25">
      <c r="B928" s="271" t="s">
        <v>341</v>
      </c>
      <c r="C928" s="272" t="s">
        <v>340</v>
      </c>
      <c r="D928" s="275" t="s">
        <v>216</v>
      </c>
      <c r="E928" s="275">
        <v>41363.42564814815</v>
      </c>
      <c r="F928" s="276">
        <v>2</v>
      </c>
      <c r="G928" s="243">
        <f t="shared" si="15"/>
        <v>79</v>
      </c>
      <c r="H928" s="244"/>
      <c r="I928" s="71" t="e">
        <f>IF(COUNTIF((rName rData),H928),"","Name Error!")</f>
        <v>#NAME?</v>
      </c>
    </row>
    <row r="929" spans="2:9" s="126" customFormat="1" ht="15" customHeight="1" x14ac:dyDescent="0.25">
      <c r="B929" s="271" t="s">
        <v>360</v>
      </c>
      <c r="C929" s="272" t="s">
        <v>359</v>
      </c>
      <c r="D929" s="275" t="s">
        <v>216</v>
      </c>
      <c r="E929" s="275">
        <v>41363.582372685189</v>
      </c>
      <c r="F929" s="276">
        <v>1</v>
      </c>
      <c r="G929" s="243">
        <f t="shared" si="15"/>
        <v>79</v>
      </c>
      <c r="H929" s="244"/>
      <c r="I929" s="71" t="e">
        <f>IF(COUNTIF((rName rData),H929),"","Name Error!")</f>
        <v>#NAME?</v>
      </c>
    </row>
    <row r="930" spans="2:9" s="126" customFormat="1" ht="15" customHeight="1" x14ac:dyDescent="0.25">
      <c r="B930" s="271" t="s">
        <v>267</v>
      </c>
      <c r="C930" s="272" t="s">
        <v>268</v>
      </c>
      <c r="D930" s="275" t="s">
        <v>216</v>
      </c>
      <c r="E930" s="275">
        <v>41363.63449074074</v>
      </c>
      <c r="F930" s="276">
        <v>4</v>
      </c>
      <c r="G930" s="243">
        <f t="shared" si="15"/>
        <v>79</v>
      </c>
      <c r="H930" s="244"/>
      <c r="I930" s="71" t="e">
        <f>IF(COUNTIF((rName rData),H930),"","Name Error!")</f>
        <v>#NAME?</v>
      </c>
    </row>
    <row r="931" spans="2:9" s="126" customFormat="1" ht="15" customHeight="1" x14ac:dyDescent="0.25">
      <c r="B931" s="271" t="s">
        <v>352</v>
      </c>
      <c r="C931" s="272" t="s">
        <v>351</v>
      </c>
      <c r="D931" s="275" t="s">
        <v>216</v>
      </c>
      <c r="E931" s="275">
        <v>41363.701886574076</v>
      </c>
      <c r="F931" s="276">
        <v>2</v>
      </c>
      <c r="G931" s="243">
        <f t="shared" si="15"/>
        <v>79</v>
      </c>
      <c r="H931" s="244"/>
      <c r="I931" s="71" t="e">
        <f>IF(COUNTIF((rName rData),H931),"","Name Error!")</f>
        <v>#NAME?</v>
      </c>
    </row>
    <row r="932" spans="2:9" s="126" customFormat="1" ht="15" customHeight="1" x14ac:dyDescent="0.25">
      <c r="B932" s="271" t="s">
        <v>279</v>
      </c>
      <c r="C932" s="272" t="s">
        <v>280</v>
      </c>
      <c r="D932" s="275" t="s">
        <v>216</v>
      </c>
      <c r="E932" s="275">
        <v>41363.988379629627</v>
      </c>
      <c r="F932" s="276">
        <v>1</v>
      </c>
      <c r="G932" s="243">
        <f t="shared" si="15"/>
        <v>79</v>
      </c>
      <c r="H932" s="244"/>
      <c r="I932" s="71" t="e">
        <f>IF(COUNTIF((rName rData),H932),"","Name Error!")</f>
        <v>#NAME?</v>
      </c>
    </row>
    <row r="933" spans="2:9" s="126" customFormat="1" ht="15" customHeight="1" x14ac:dyDescent="0.25">
      <c r="B933" s="271" t="s">
        <v>267</v>
      </c>
      <c r="C933" s="272" t="s">
        <v>268</v>
      </c>
      <c r="D933" s="275" t="s">
        <v>216</v>
      </c>
      <c r="E933" s="275">
        <v>41364.331006944441</v>
      </c>
      <c r="F933" s="276">
        <v>2</v>
      </c>
      <c r="G933" s="243">
        <f t="shared" si="15"/>
        <v>79</v>
      </c>
      <c r="H933" s="244"/>
      <c r="I933" s="71" t="e">
        <f>IF(COUNTIF((rName rData),H933),"","Name Error!")</f>
        <v>#NAME?</v>
      </c>
    </row>
    <row r="934" spans="2:9" s="126" customFormat="1" ht="15" customHeight="1" x14ac:dyDescent="0.25">
      <c r="B934" s="271" t="s">
        <v>350</v>
      </c>
      <c r="C934" s="272" t="s">
        <v>349</v>
      </c>
      <c r="D934" s="275" t="s">
        <v>216</v>
      </c>
      <c r="E934" s="275">
        <v>41364.460219907407</v>
      </c>
      <c r="F934" s="276">
        <v>1</v>
      </c>
      <c r="G934" s="243">
        <f t="shared" si="15"/>
        <v>79</v>
      </c>
      <c r="H934" s="244"/>
      <c r="I934" s="71" t="e">
        <f>IF(COUNTIF((rName rData),H934),"","Name Error!")</f>
        <v>#NAME?</v>
      </c>
    </row>
    <row r="935" spans="2:9" s="126" customFormat="1" ht="15" customHeight="1" x14ac:dyDescent="0.25">
      <c r="B935" s="271" t="s">
        <v>341</v>
      </c>
      <c r="C935" s="272" t="s">
        <v>340</v>
      </c>
      <c r="D935" s="275" t="s">
        <v>216</v>
      </c>
      <c r="E935" s="275">
        <v>41364.73027777778</v>
      </c>
      <c r="F935" s="276">
        <v>1</v>
      </c>
      <c r="G935" s="243">
        <f t="shared" si="15"/>
        <v>79</v>
      </c>
      <c r="H935" s="244"/>
      <c r="I935" s="71" t="e">
        <f>IF(COUNTIF((rName rData),H935),"","Name Error!")</f>
        <v>#NAME?</v>
      </c>
    </row>
    <row r="936" spans="2:9" s="126" customFormat="1" ht="15" customHeight="1" x14ac:dyDescent="0.25">
      <c r="B936" s="271" t="s">
        <v>358</v>
      </c>
      <c r="C936" s="272" t="s">
        <v>357</v>
      </c>
      <c r="D936" s="275" t="s">
        <v>216</v>
      </c>
      <c r="E936" s="275">
        <v>41364.771261574075</v>
      </c>
      <c r="F936" s="276">
        <v>2</v>
      </c>
      <c r="G936" s="243">
        <f t="shared" si="15"/>
        <v>79</v>
      </c>
      <c r="H936" s="244"/>
      <c r="I936" s="71" t="e">
        <f>IF(COUNTIF((rName rData),H936),"","Name Error!")</f>
        <v>#NAME?</v>
      </c>
    </row>
    <row r="937" spans="2:9" s="126" customFormat="1" ht="15" customHeight="1" x14ac:dyDescent="0.25">
      <c r="B937" s="271" t="s">
        <v>352</v>
      </c>
      <c r="C937" s="272" t="s">
        <v>351</v>
      </c>
      <c r="D937" s="275" t="s">
        <v>216</v>
      </c>
      <c r="E937" s="275">
        <v>41364.916006944448</v>
      </c>
      <c r="F937" s="276">
        <v>1</v>
      </c>
      <c r="G937" s="243">
        <f t="shared" si="15"/>
        <v>79</v>
      </c>
      <c r="H937" s="244"/>
      <c r="I937" s="71" t="e">
        <f>IF(COUNTIF((rName rData),H937),"","Name Error!")</f>
        <v>#NAME?</v>
      </c>
    </row>
    <row r="938" spans="2:9" s="126" customFormat="1" ht="15" customHeight="1" x14ac:dyDescent="0.25">
      <c r="B938" s="271" t="s">
        <v>267</v>
      </c>
      <c r="C938" s="272" t="s">
        <v>268</v>
      </c>
      <c r="D938" s="275" t="s">
        <v>216</v>
      </c>
      <c r="E938" s="275">
        <v>41365.495972222219</v>
      </c>
      <c r="F938" s="276">
        <v>1</v>
      </c>
      <c r="G938" s="243">
        <f t="shared" si="15"/>
        <v>79</v>
      </c>
      <c r="H938" s="244"/>
      <c r="I938" s="71" t="e">
        <f>IF(COUNTIF((rName rData),H938),"","Name Error!")</f>
        <v>#NAME?</v>
      </c>
    </row>
    <row r="939" spans="2:9" s="126" customFormat="1" ht="15" customHeight="1" x14ac:dyDescent="0.25">
      <c r="B939" s="271" t="s">
        <v>358</v>
      </c>
      <c r="C939" s="272" t="s">
        <v>357</v>
      </c>
      <c r="D939" s="275" t="s">
        <v>216</v>
      </c>
      <c r="E939" s="275">
        <v>41365.826944444445</v>
      </c>
      <c r="F939" s="276">
        <v>1</v>
      </c>
      <c r="G939" s="243">
        <f t="shared" si="15"/>
        <v>79</v>
      </c>
      <c r="H939" s="244"/>
      <c r="I939" s="71" t="e">
        <f>IF(COUNTIF((rName rData),H939),"","Name Error!")</f>
        <v>#NAME?</v>
      </c>
    </row>
    <row r="940" spans="2:9" s="126" customFormat="1" ht="15" customHeight="1" x14ac:dyDescent="0.25">
      <c r="B940" s="271" t="s">
        <v>341</v>
      </c>
      <c r="C940" s="272" t="s">
        <v>340</v>
      </c>
      <c r="D940" s="275" t="s">
        <v>216</v>
      </c>
      <c r="E940" s="275">
        <v>41365.934953703705</v>
      </c>
      <c r="F940" s="276">
        <v>1</v>
      </c>
      <c r="G940" s="243">
        <f t="shared" si="15"/>
        <v>79</v>
      </c>
      <c r="H940" s="244"/>
      <c r="I940" s="71" t="e">
        <f>IF(COUNTIF((rName rData),H940),"","Name Error!")</f>
        <v>#NAME?</v>
      </c>
    </row>
    <row r="941" spans="2:9" s="126" customFormat="1" ht="15" customHeight="1" x14ac:dyDescent="0.25">
      <c r="B941" s="271" t="s">
        <v>279</v>
      </c>
      <c r="C941" s="272" t="s">
        <v>280</v>
      </c>
      <c r="D941" s="275" t="s">
        <v>216</v>
      </c>
      <c r="E941" s="275">
        <v>41365.936377314814</v>
      </c>
      <c r="F941" s="276">
        <v>1</v>
      </c>
      <c r="G941" s="243">
        <f t="shared" si="15"/>
        <v>79</v>
      </c>
      <c r="H941" s="244"/>
      <c r="I941" s="71" t="e">
        <f>IF(COUNTIF((rName rData),H941),"","Name Error!")</f>
        <v>#NAME?</v>
      </c>
    </row>
    <row r="942" spans="2:9" s="126" customFormat="1" ht="15" customHeight="1" x14ac:dyDescent="0.25">
      <c r="B942" s="271" t="s">
        <v>324</v>
      </c>
      <c r="C942" s="272" t="s">
        <v>323</v>
      </c>
      <c r="D942" s="275" t="s">
        <v>216</v>
      </c>
      <c r="E942" s="275">
        <v>41365.968263888892</v>
      </c>
      <c r="F942" s="276">
        <v>1</v>
      </c>
      <c r="G942" s="243">
        <f t="shared" si="15"/>
        <v>79</v>
      </c>
      <c r="H942" s="244"/>
      <c r="I942" s="71" t="e">
        <f>IF(COUNTIF((rName rData),H942),"","Name Error!")</f>
        <v>#NAME?</v>
      </c>
    </row>
    <row r="943" spans="2:9" s="126" customFormat="1" ht="15" customHeight="1" x14ac:dyDescent="0.25">
      <c r="B943" s="271" t="s">
        <v>267</v>
      </c>
      <c r="C943" s="272" t="s">
        <v>268</v>
      </c>
      <c r="D943" s="275" t="s">
        <v>216</v>
      </c>
      <c r="E943" s="275">
        <v>41366.761203703703</v>
      </c>
      <c r="F943" s="276">
        <v>1</v>
      </c>
      <c r="G943" s="243">
        <f t="shared" si="15"/>
        <v>79</v>
      </c>
      <c r="H943" s="244"/>
      <c r="I943" s="71" t="e">
        <f>IF(COUNTIF((rName rData),H943),"","Name Error!")</f>
        <v>#NAME?</v>
      </c>
    </row>
    <row r="944" spans="2:9" s="126" customFormat="1" ht="15" customHeight="1" x14ac:dyDescent="0.25">
      <c r="B944" s="271" t="s">
        <v>322</v>
      </c>
      <c r="C944" s="272" t="s">
        <v>321</v>
      </c>
      <c r="D944" s="275" t="s">
        <v>216</v>
      </c>
      <c r="E944" s="275">
        <v>41366.926828703705</v>
      </c>
      <c r="F944" s="276">
        <v>1</v>
      </c>
      <c r="G944" s="243">
        <f t="shared" si="15"/>
        <v>79</v>
      </c>
      <c r="H944" s="244"/>
      <c r="I944" s="71" t="e">
        <f>IF(COUNTIF((rName rData),H944),"","Name Error!")</f>
        <v>#NAME?</v>
      </c>
    </row>
    <row r="945" spans="2:9" s="126" customFormat="1" ht="15" customHeight="1" x14ac:dyDescent="0.25">
      <c r="B945" s="271" t="s">
        <v>324</v>
      </c>
      <c r="C945" s="272" t="s">
        <v>323</v>
      </c>
      <c r="D945" s="275" t="s">
        <v>216</v>
      </c>
      <c r="E945" s="275">
        <v>41366.941145833334</v>
      </c>
      <c r="F945" s="276">
        <v>1</v>
      </c>
      <c r="G945" s="243">
        <f t="shared" si="15"/>
        <v>79</v>
      </c>
      <c r="H945" s="244"/>
      <c r="I945" s="71" t="e">
        <f>IF(COUNTIF((rName rData),H945),"","Name Error!")</f>
        <v>#NAME?</v>
      </c>
    </row>
    <row r="946" spans="2:9" s="126" customFormat="1" ht="15" customHeight="1" x14ac:dyDescent="0.25">
      <c r="B946" s="271" t="s">
        <v>279</v>
      </c>
      <c r="C946" s="272" t="s">
        <v>280</v>
      </c>
      <c r="D946" s="275" t="s">
        <v>216</v>
      </c>
      <c r="E946" s="275">
        <v>41366.942037037035</v>
      </c>
      <c r="F946" s="276">
        <v>2</v>
      </c>
      <c r="G946" s="243">
        <f t="shared" si="15"/>
        <v>79</v>
      </c>
      <c r="H946" s="244"/>
      <c r="I946" s="71" t="e">
        <f>IF(COUNTIF((rName rData),H946),"","Name Error!")</f>
        <v>#NAME?</v>
      </c>
    </row>
    <row r="947" spans="2:9" s="126" customFormat="1" ht="15" customHeight="1" x14ac:dyDescent="0.25">
      <c r="B947" s="271" t="s">
        <v>350</v>
      </c>
      <c r="C947" s="272" t="s">
        <v>349</v>
      </c>
      <c r="D947" s="275" t="s">
        <v>216</v>
      </c>
      <c r="E947" s="275">
        <v>41366.992384259262</v>
      </c>
      <c r="F947" s="276">
        <v>1</v>
      </c>
      <c r="G947" s="243">
        <f t="shared" si="15"/>
        <v>79</v>
      </c>
      <c r="H947" s="244"/>
      <c r="I947" s="71" t="e">
        <f>IF(COUNTIF((rName rData),H947),"","Name Error!")</f>
        <v>#NAME?</v>
      </c>
    </row>
    <row r="948" spans="2:9" s="126" customFormat="1" ht="15" customHeight="1" x14ac:dyDescent="0.25">
      <c r="B948" s="271" t="s">
        <v>328</v>
      </c>
      <c r="C948" s="272" t="s">
        <v>327</v>
      </c>
      <c r="D948" s="275" t="s">
        <v>216</v>
      </c>
      <c r="E948" s="275">
        <v>41367.035763888889</v>
      </c>
      <c r="F948" s="276">
        <v>1</v>
      </c>
      <c r="G948" s="243">
        <f t="shared" si="15"/>
        <v>79</v>
      </c>
      <c r="H948" s="244"/>
      <c r="I948" s="71" t="e">
        <f>IF(COUNTIF((rName rData),H948),"","Name Error!")</f>
        <v>#NAME?</v>
      </c>
    </row>
    <row r="949" spans="2:9" s="126" customFormat="1" ht="15" customHeight="1" x14ac:dyDescent="0.25">
      <c r="B949" s="271" t="s">
        <v>267</v>
      </c>
      <c r="C949" s="272" t="s">
        <v>268</v>
      </c>
      <c r="D949" s="275" t="s">
        <v>216</v>
      </c>
      <c r="E949" s="275">
        <v>41367.776909722219</v>
      </c>
      <c r="F949" s="276">
        <v>1</v>
      </c>
      <c r="G949" s="243">
        <f t="shared" si="15"/>
        <v>79</v>
      </c>
      <c r="H949" s="244"/>
      <c r="I949" s="71" t="e">
        <f>IF(COUNTIF((rName rData),H949),"","Name Error!")</f>
        <v>#NAME?</v>
      </c>
    </row>
    <row r="950" spans="2:9" s="126" customFormat="1" ht="15" customHeight="1" x14ac:dyDescent="0.25">
      <c r="B950" s="271" t="s">
        <v>341</v>
      </c>
      <c r="C950" s="272" t="s">
        <v>340</v>
      </c>
      <c r="D950" s="275" t="s">
        <v>216</v>
      </c>
      <c r="E950" s="275">
        <v>41367.847534722219</v>
      </c>
      <c r="F950" s="276">
        <v>1</v>
      </c>
      <c r="G950" s="243">
        <f t="shared" si="15"/>
        <v>79</v>
      </c>
      <c r="H950" s="244"/>
      <c r="I950" s="71" t="e">
        <f>IF(COUNTIF((rName rData),H950),"","Name Error!")</f>
        <v>#NAME?</v>
      </c>
    </row>
    <row r="951" spans="2:9" s="126" customFormat="1" ht="15" customHeight="1" x14ac:dyDescent="0.25">
      <c r="B951" s="271" t="s">
        <v>358</v>
      </c>
      <c r="C951" s="272" t="s">
        <v>357</v>
      </c>
      <c r="D951" s="275" t="s">
        <v>216</v>
      </c>
      <c r="E951" s="275">
        <v>41367.869837962964</v>
      </c>
      <c r="F951" s="276">
        <v>2</v>
      </c>
      <c r="G951" s="243">
        <f t="shared" si="15"/>
        <v>79</v>
      </c>
      <c r="H951" s="244"/>
      <c r="I951" s="71" t="e">
        <f>IF(COUNTIF((rName rData),H951),"","Name Error!")</f>
        <v>#NAME?</v>
      </c>
    </row>
    <row r="952" spans="2:9" s="126" customFormat="1" ht="15" customHeight="1" x14ac:dyDescent="0.25">
      <c r="B952" s="271" t="s">
        <v>358</v>
      </c>
      <c r="C952" s="272" t="s">
        <v>357</v>
      </c>
      <c r="D952" s="275" t="s">
        <v>216</v>
      </c>
      <c r="E952" s="275">
        <v>41368.782442129632</v>
      </c>
      <c r="F952" s="276">
        <v>1</v>
      </c>
      <c r="G952" s="243">
        <f t="shared" si="15"/>
        <v>79</v>
      </c>
      <c r="H952" s="244"/>
      <c r="I952" s="71" t="e">
        <f>IF(COUNTIF((rName rData),H952),"","Name Error!")</f>
        <v>#NAME?</v>
      </c>
    </row>
    <row r="953" spans="2:9" s="126" customFormat="1" ht="15" customHeight="1" x14ac:dyDescent="0.25">
      <c r="B953" s="271" t="s">
        <v>267</v>
      </c>
      <c r="C953" s="272" t="s">
        <v>268</v>
      </c>
      <c r="D953" s="275" t="s">
        <v>216</v>
      </c>
      <c r="E953" s="275">
        <v>41368.85056712963</v>
      </c>
      <c r="F953" s="276">
        <v>1</v>
      </c>
      <c r="G953" s="243">
        <f t="shared" si="15"/>
        <v>79</v>
      </c>
      <c r="H953" s="244"/>
      <c r="I953" s="71" t="e">
        <f>IF(COUNTIF((rName rData),H953),"","Name Error!")</f>
        <v>#NAME?</v>
      </c>
    </row>
    <row r="954" spans="2:9" s="126" customFormat="1" ht="15" customHeight="1" x14ac:dyDescent="0.25">
      <c r="B954" s="271" t="s">
        <v>350</v>
      </c>
      <c r="C954" s="272" t="s">
        <v>349</v>
      </c>
      <c r="D954" s="275" t="s">
        <v>216</v>
      </c>
      <c r="E954" s="275">
        <v>41369.033437500002</v>
      </c>
      <c r="F954" s="276">
        <v>1</v>
      </c>
      <c r="G954" s="243">
        <f t="shared" si="15"/>
        <v>79</v>
      </c>
      <c r="H954" s="244"/>
      <c r="I954" s="71" t="e">
        <f>IF(COUNTIF((rName rData),H954),"","Name Error!")</f>
        <v>#NAME?</v>
      </c>
    </row>
    <row r="955" spans="2:9" s="126" customFormat="1" ht="15" customHeight="1" x14ac:dyDescent="0.25">
      <c r="B955" s="271" t="s">
        <v>341</v>
      </c>
      <c r="C955" s="272" t="s">
        <v>340</v>
      </c>
      <c r="D955" s="275" t="s">
        <v>216</v>
      </c>
      <c r="E955" s="275">
        <v>41369.986851851849</v>
      </c>
      <c r="F955" s="276">
        <v>1</v>
      </c>
      <c r="G955" s="243">
        <f t="shared" si="15"/>
        <v>79</v>
      </c>
      <c r="H955" s="244"/>
      <c r="I955" s="71" t="e">
        <f>IF(COUNTIF((rName rData),H955),"","Name Error!")</f>
        <v>#NAME?</v>
      </c>
    </row>
    <row r="956" spans="2:9" s="126" customFormat="1" ht="15" customHeight="1" x14ac:dyDescent="0.25">
      <c r="B956" s="271" t="s">
        <v>279</v>
      </c>
      <c r="C956" s="272" t="s">
        <v>280</v>
      </c>
      <c r="D956" s="275" t="s">
        <v>216</v>
      </c>
      <c r="E956" s="275">
        <v>41370.052349537036</v>
      </c>
      <c r="F956" s="276">
        <v>3</v>
      </c>
      <c r="G956" s="243">
        <f t="shared" si="15"/>
        <v>80</v>
      </c>
      <c r="H956" s="244"/>
      <c r="I956" s="71" t="e">
        <f>IF(COUNTIF((rName rData),H956),"","Name Error!")</f>
        <v>#NAME?</v>
      </c>
    </row>
    <row r="957" spans="2:9" s="126" customFormat="1" ht="15" customHeight="1" x14ac:dyDescent="0.25">
      <c r="B957" s="271" t="s">
        <v>341</v>
      </c>
      <c r="C957" s="272" t="s">
        <v>340</v>
      </c>
      <c r="D957" s="275" t="s">
        <v>216</v>
      </c>
      <c r="E957" s="275">
        <v>41370.450972222221</v>
      </c>
      <c r="F957" s="276">
        <v>2</v>
      </c>
      <c r="G957" s="243">
        <f t="shared" si="15"/>
        <v>80</v>
      </c>
      <c r="H957" s="244"/>
      <c r="I957" s="71" t="e">
        <f>IF(COUNTIF((rName rData),H957),"","Name Error!")</f>
        <v>#NAME?</v>
      </c>
    </row>
    <row r="958" spans="2:9" s="126" customFormat="1" ht="15" customHeight="1" x14ac:dyDescent="0.25">
      <c r="B958" s="271" t="s">
        <v>350</v>
      </c>
      <c r="C958" s="272" t="s">
        <v>349</v>
      </c>
      <c r="D958" s="275" t="s">
        <v>216</v>
      </c>
      <c r="E958" s="275">
        <v>41370.665914351855</v>
      </c>
      <c r="F958" s="276">
        <v>2</v>
      </c>
      <c r="G958" s="243">
        <f t="shared" si="15"/>
        <v>80</v>
      </c>
      <c r="H958" s="244"/>
      <c r="I958" s="71" t="e">
        <f>IF(COUNTIF((rName rData),H958),"","Name Error!")</f>
        <v>#NAME?</v>
      </c>
    </row>
    <row r="959" spans="2:9" s="126" customFormat="1" ht="15" customHeight="1" x14ac:dyDescent="0.25">
      <c r="B959" s="271" t="s">
        <v>328</v>
      </c>
      <c r="C959" s="272" t="s">
        <v>327</v>
      </c>
      <c r="D959" s="275" t="s">
        <v>216</v>
      </c>
      <c r="E959" s="275">
        <v>41370.711956018517</v>
      </c>
      <c r="F959" s="276">
        <v>1</v>
      </c>
      <c r="G959" s="243">
        <f t="shared" si="15"/>
        <v>80</v>
      </c>
      <c r="H959" s="244"/>
      <c r="I959" s="71" t="e">
        <f>IF(COUNTIF((rName rData),H959),"","Name Error!")</f>
        <v>#NAME?</v>
      </c>
    </row>
    <row r="960" spans="2:9" s="126" customFormat="1" ht="15" customHeight="1" x14ac:dyDescent="0.25">
      <c r="B960" s="271" t="s">
        <v>279</v>
      </c>
      <c r="C960" s="272" t="s">
        <v>280</v>
      </c>
      <c r="D960" s="275" t="s">
        <v>216</v>
      </c>
      <c r="E960" s="275">
        <v>41371.032395833332</v>
      </c>
      <c r="F960" s="276">
        <v>1</v>
      </c>
      <c r="G960" s="243">
        <f t="shared" si="15"/>
        <v>80</v>
      </c>
      <c r="H960" s="244"/>
      <c r="I960" s="71" t="e">
        <f>IF(COUNTIF((rName rData),H960),"","Name Error!")</f>
        <v>#NAME?</v>
      </c>
    </row>
    <row r="961" spans="2:9" s="126" customFormat="1" ht="15" customHeight="1" x14ac:dyDescent="0.25">
      <c r="B961" s="271" t="s">
        <v>328</v>
      </c>
      <c r="C961" s="272" t="s">
        <v>327</v>
      </c>
      <c r="D961" s="275" t="s">
        <v>216</v>
      </c>
      <c r="E961" s="275">
        <v>41371.039293981485</v>
      </c>
      <c r="F961" s="276">
        <v>2</v>
      </c>
      <c r="G961" s="243">
        <f t="shared" si="15"/>
        <v>80</v>
      </c>
      <c r="H961" s="244"/>
      <c r="I961" s="71" t="e">
        <f>IF(COUNTIF((rName rData),H961),"","Name Error!")</f>
        <v>#NAME?</v>
      </c>
    </row>
    <row r="962" spans="2:9" s="126" customFormat="1" ht="15" customHeight="1" x14ac:dyDescent="0.25">
      <c r="B962" s="271" t="s">
        <v>267</v>
      </c>
      <c r="C962" s="272" t="s">
        <v>268</v>
      </c>
      <c r="D962" s="275" t="s">
        <v>216</v>
      </c>
      <c r="E962" s="275">
        <v>41371.4609837963</v>
      </c>
      <c r="F962" s="276">
        <v>4</v>
      </c>
      <c r="G962" s="243">
        <f t="shared" si="15"/>
        <v>80</v>
      </c>
      <c r="H962" s="244"/>
      <c r="I962" s="71" t="e">
        <f>IF(COUNTIF((rName rData),H962),"","Name Error!")</f>
        <v>#NAME?</v>
      </c>
    </row>
    <row r="963" spans="2:9" s="126" customFormat="1" ht="15" customHeight="1" x14ac:dyDescent="0.25">
      <c r="B963" s="271" t="s">
        <v>358</v>
      </c>
      <c r="C963" s="272" t="s">
        <v>357</v>
      </c>
      <c r="D963" s="275" t="s">
        <v>216</v>
      </c>
      <c r="E963" s="275">
        <v>41371.870578703703</v>
      </c>
      <c r="F963" s="276">
        <v>1</v>
      </c>
      <c r="G963" s="243">
        <f t="shared" si="15"/>
        <v>80</v>
      </c>
      <c r="H963" s="244"/>
      <c r="I963" s="71" t="e">
        <f>IF(COUNTIF((rName rData),H963),"","Name Error!")</f>
        <v>#NAME?</v>
      </c>
    </row>
    <row r="964" spans="2:9" s="126" customFormat="1" ht="15" customHeight="1" x14ac:dyDescent="0.25">
      <c r="B964" s="271" t="s">
        <v>267</v>
      </c>
      <c r="C964" s="272" t="s">
        <v>268</v>
      </c>
      <c r="D964" s="275" t="s">
        <v>216</v>
      </c>
      <c r="E964" s="275">
        <v>41372.286261574074</v>
      </c>
      <c r="F964" s="276">
        <v>1</v>
      </c>
      <c r="G964" s="243">
        <f t="shared" si="15"/>
        <v>80</v>
      </c>
      <c r="H964" s="244"/>
      <c r="I964" s="71" t="e">
        <f>IF(COUNTIF((rName rData),H964),"","Name Error!")</f>
        <v>#NAME?</v>
      </c>
    </row>
    <row r="965" spans="2:9" s="126" customFormat="1" ht="15" customHeight="1" x14ac:dyDescent="0.25">
      <c r="B965" s="271" t="s">
        <v>279</v>
      </c>
      <c r="C965" s="272" t="s">
        <v>280</v>
      </c>
      <c r="D965" s="275" t="s">
        <v>216</v>
      </c>
      <c r="E965" s="275">
        <v>41372.910243055558</v>
      </c>
      <c r="F965" s="276">
        <v>3</v>
      </c>
      <c r="G965" s="243">
        <f t="shared" si="15"/>
        <v>80</v>
      </c>
      <c r="H965" s="244"/>
      <c r="I965" s="71" t="e">
        <f>IF(COUNTIF((rName rData),H965),"","Name Error!")</f>
        <v>#NAME?</v>
      </c>
    </row>
    <row r="966" spans="2:9" s="126" customFormat="1" ht="15" customHeight="1" x14ac:dyDescent="0.25">
      <c r="B966" s="271" t="s">
        <v>328</v>
      </c>
      <c r="C966" s="272" t="s">
        <v>327</v>
      </c>
      <c r="D966" s="275" t="s">
        <v>216</v>
      </c>
      <c r="E966" s="275">
        <v>41372.985208333332</v>
      </c>
      <c r="F966" s="276">
        <v>1</v>
      </c>
      <c r="G966" s="243">
        <f t="shared" si="15"/>
        <v>80</v>
      </c>
      <c r="H966" s="244"/>
      <c r="I966" s="71" t="e">
        <f>IF(COUNTIF((rName rData),H966),"","Name Error!")</f>
        <v>#NAME?</v>
      </c>
    </row>
    <row r="967" spans="2:9" s="126" customFormat="1" ht="15" customHeight="1" x14ac:dyDescent="0.25">
      <c r="B967" s="271" t="s">
        <v>279</v>
      </c>
      <c r="C967" s="272" t="s">
        <v>280</v>
      </c>
      <c r="D967" s="275" t="s">
        <v>216</v>
      </c>
      <c r="E967" s="275">
        <v>41373.097800925927</v>
      </c>
      <c r="F967" s="276">
        <v>1</v>
      </c>
      <c r="G967" s="243">
        <f t="shared" si="15"/>
        <v>80</v>
      </c>
      <c r="H967" s="244"/>
      <c r="I967" s="71" t="e">
        <f>IF(COUNTIF((rName rData),H967),"","Name Error!")</f>
        <v>#NAME?</v>
      </c>
    </row>
    <row r="968" spans="2:9" s="126" customFormat="1" ht="15" customHeight="1" x14ac:dyDescent="0.25">
      <c r="B968" s="271" t="s">
        <v>341</v>
      </c>
      <c r="C968" s="272" t="s">
        <v>340</v>
      </c>
      <c r="D968" s="275" t="s">
        <v>216</v>
      </c>
      <c r="E968" s="275">
        <v>41374.766203703701</v>
      </c>
      <c r="F968" s="276">
        <v>1</v>
      </c>
      <c r="G968" s="243">
        <f t="shared" si="15"/>
        <v>80</v>
      </c>
      <c r="H968" s="244"/>
      <c r="I968" s="71" t="e">
        <f>IF(COUNTIF((rName rData),H968),"","Name Error!")</f>
        <v>#NAME?</v>
      </c>
    </row>
    <row r="969" spans="2:9" s="126" customFormat="1" ht="15" customHeight="1" x14ac:dyDescent="0.25">
      <c r="B969" s="271" t="s">
        <v>350</v>
      </c>
      <c r="C969" s="272" t="s">
        <v>349</v>
      </c>
      <c r="D969" s="275" t="s">
        <v>216</v>
      </c>
      <c r="E969" s="275">
        <v>41374.777453703704</v>
      </c>
      <c r="F969" s="276">
        <v>2</v>
      </c>
      <c r="G969" s="243">
        <f t="shared" si="15"/>
        <v>80</v>
      </c>
      <c r="H969" s="244"/>
      <c r="I969" s="71" t="e">
        <f>IF(COUNTIF((rName rData),H969),"","Name Error!")</f>
        <v>#NAME?</v>
      </c>
    </row>
    <row r="970" spans="2:9" s="126" customFormat="1" ht="15" customHeight="1" x14ac:dyDescent="0.25">
      <c r="B970" s="271" t="s">
        <v>279</v>
      </c>
      <c r="C970" s="272" t="s">
        <v>280</v>
      </c>
      <c r="D970" s="275" t="s">
        <v>216</v>
      </c>
      <c r="E970" s="275">
        <v>41374.854212962964</v>
      </c>
      <c r="F970" s="276">
        <v>2</v>
      </c>
      <c r="G970" s="243">
        <f t="shared" ref="G970:G1033" si="16">TRUNC((E970-start)/7)+1</f>
        <v>80</v>
      </c>
      <c r="H970" s="244"/>
      <c r="I970" s="71" t="e">
        <f>IF(COUNTIF((rName rData),H970),"","Name Error!")</f>
        <v>#NAME?</v>
      </c>
    </row>
    <row r="971" spans="2:9" s="126" customFormat="1" ht="15" customHeight="1" x14ac:dyDescent="0.25">
      <c r="B971" s="271" t="s">
        <v>267</v>
      </c>
      <c r="C971" s="272" t="s">
        <v>268</v>
      </c>
      <c r="D971" s="275" t="s">
        <v>216</v>
      </c>
      <c r="E971" s="275">
        <v>41374.876770833333</v>
      </c>
      <c r="F971" s="276">
        <v>1</v>
      </c>
      <c r="G971" s="243">
        <f t="shared" si="16"/>
        <v>80</v>
      </c>
      <c r="H971" s="244"/>
      <c r="I971" s="71" t="e">
        <f>IF(COUNTIF((rName rData),H971),"","Name Error!")</f>
        <v>#NAME?</v>
      </c>
    </row>
    <row r="972" spans="2:9" s="126" customFormat="1" ht="15" customHeight="1" x14ac:dyDescent="0.25">
      <c r="B972" s="271" t="s">
        <v>267</v>
      </c>
      <c r="C972" s="272" t="s">
        <v>268</v>
      </c>
      <c r="D972" s="275" t="s">
        <v>216</v>
      </c>
      <c r="E972" s="275">
        <v>41375.26771990741</v>
      </c>
      <c r="F972" s="276">
        <v>3</v>
      </c>
      <c r="G972" s="243">
        <f t="shared" si="16"/>
        <v>80</v>
      </c>
      <c r="H972" s="244"/>
      <c r="I972" s="71" t="e">
        <f>IF(COUNTIF((rName rData),H972),"","Name Error!")</f>
        <v>#NAME?</v>
      </c>
    </row>
    <row r="973" spans="2:9" s="126" customFormat="1" ht="15" customHeight="1" x14ac:dyDescent="0.25">
      <c r="B973" s="271" t="s">
        <v>341</v>
      </c>
      <c r="C973" s="272" t="s">
        <v>340</v>
      </c>
      <c r="D973" s="275" t="s">
        <v>216</v>
      </c>
      <c r="E973" s="275">
        <v>41375.878483796296</v>
      </c>
      <c r="F973" s="276">
        <v>1</v>
      </c>
      <c r="G973" s="243">
        <f t="shared" si="16"/>
        <v>80</v>
      </c>
      <c r="H973" s="244"/>
      <c r="I973" s="71" t="e">
        <f>IF(COUNTIF((rName rData),H973),"","Name Error!")</f>
        <v>#NAME?</v>
      </c>
    </row>
    <row r="974" spans="2:9" s="126" customFormat="1" ht="15" customHeight="1" x14ac:dyDescent="0.25">
      <c r="B974" s="271" t="s">
        <v>279</v>
      </c>
      <c r="C974" s="272" t="s">
        <v>280</v>
      </c>
      <c r="D974" s="275" t="s">
        <v>216</v>
      </c>
      <c r="E974" s="275">
        <v>41376.001944444448</v>
      </c>
      <c r="F974" s="276">
        <v>3</v>
      </c>
      <c r="G974" s="243">
        <f t="shared" si="16"/>
        <v>80</v>
      </c>
      <c r="H974" s="244"/>
      <c r="I974" s="71" t="e">
        <f>IF(COUNTIF((rName rData),H974),"","Name Error!")</f>
        <v>#NAME?</v>
      </c>
    </row>
    <row r="975" spans="2:9" s="126" customFormat="1" ht="15" customHeight="1" x14ac:dyDescent="0.25">
      <c r="B975" s="271" t="s">
        <v>343</v>
      </c>
      <c r="C975" s="272" t="s">
        <v>342</v>
      </c>
      <c r="D975" s="275" t="s">
        <v>216</v>
      </c>
      <c r="E975" s="275">
        <v>41376.519456018519</v>
      </c>
      <c r="F975" s="276">
        <v>2</v>
      </c>
      <c r="G975" s="243">
        <f t="shared" si="16"/>
        <v>80</v>
      </c>
      <c r="H975" s="244"/>
      <c r="I975" s="71" t="e">
        <f>IF(COUNTIF((rName rData),H975),"","Name Error!")</f>
        <v>#NAME?</v>
      </c>
    </row>
    <row r="976" spans="2:9" s="126" customFormat="1" ht="15" customHeight="1" x14ac:dyDescent="0.25">
      <c r="B976" s="271" t="s">
        <v>341</v>
      </c>
      <c r="C976" s="272" t="s">
        <v>340</v>
      </c>
      <c r="D976" s="275" t="s">
        <v>216</v>
      </c>
      <c r="E976" s="275">
        <v>41376.603344907409</v>
      </c>
      <c r="F976" s="276">
        <v>2</v>
      </c>
      <c r="G976" s="243">
        <f t="shared" si="16"/>
        <v>80</v>
      </c>
      <c r="H976" s="244"/>
      <c r="I976" s="71" t="e">
        <f>IF(COUNTIF((rName rData),H976),"","Name Error!")</f>
        <v>#NAME?</v>
      </c>
    </row>
    <row r="977" spans="2:9" s="126" customFormat="1" ht="15" customHeight="1" x14ac:dyDescent="0.25">
      <c r="B977" s="271" t="s">
        <v>328</v>
      </c>
      <c r="C977" s="272" t="s">
        <v>327</v>
      </c>
      <c r="D977" s="275" t="s">
        <v>216</v>
      </c>
      <c r="E977" s="275">
        <v>41377.076458333337</v>
      </c>
      <c r="F977" s="276">
        <v>3</v>
      </c>
      <c r="G977" s="243">
        <f t="shared" si="16"/>
        <v>81</v>
      </c>
      <c r="H977" s="244"/>
      <c r="I977" s="71" t="e">
        <f>IF(COUNTIF((rName rData),H977),"","Name Error!")</f>
        <v>#NAME?</v>
      </c>
    </row>
    <row r="978" spans="2:9" s="126" customFormat="1" ht="15" customHeight="1" x14ac:dyDescent="0.25">
      <c r="B978" s="271" t="s">
        <v>267</v>
      </c>
      <c r="C978" s="272" t="s">
        <v>268</v>
      </c>
      <c r="D978" s="275" t="s">
        <v>216</v>
      </c>
      <c r="E978" s="275">
        <v>41377.091689814813</v>
      </c>
      <c r="F978" s="276">
        <v>4</v>
      </c>
      <c r="G978" s="243">
        <f t="shared" si="16"/>
        <v>81</v>
      </c>
      <c r="H978" s="244"/>
      <c r="I978" s="71" t="e">
        <f>IF(COUNTIF((rName rData),H978),"","Name Error!")</f>
        <v>#NAME?</v>
      </c>
    </row>
    <row r="979" spans="2:9" s="126" customFormat="1" ht="15" customHeight="1" x14ac:dyDescent="0.25">
      <c r="B979" s="271" t="s">
        <v>358</v>
      </c>
      <c r="C979" s="272" t="s">
        <v>357</v>
      </c>
      <c r="D979" s="275" t="s">
        <v>216</v>
      </c>
      <c r="E979" s="275">
        <v>41377.404999999999</v>
      </c>
      <c r="F979" s="276">
        <v>2</v>
      </c>
      <c r="G979" s="243">
        <f t="shared" si="16"/>
        <v>81</v>
      </c>
      <c r="H979" s="244"/>
      <c r="I979" s="71" t="e">
        <f>IF(COUNTIF((rName rData),H979),"","Name Error!")</f>
        <v>#NAME?</v>
      </c>
    </row>
    <row r="980" spans="2:9" s="126" customFormat="1" ht="15" customHeight="1" x14ac:dyDescent="0.25">
      <c r="B980" s="271" t="s">
        <v>341</v>
      </c>
      <c r="C980" s="272" t="s">
        <v>340</v>
      </c>
      <c r="D980" s="275" t="s">
        <v>216</v>
      </c>
      <c r="E980" s="275">
        <v>41377.441932870373</v>
      </c>
      <c r="F980" s="276">
        <v>2</v>
      </c>
      <c r="G980" s="243">
        <f t="shared" si="16"/>
        <v>81</v>
      </c>
      <c r="H980" s="244"/>
      <c r="I980" s="71" t="e">
        <f>IF(COUNTIF((rName rData),H980),"","Name Error!")</f>
        <v>#NAME?</v>
      </c>
    </row>
    <row r="981" spans="2:9" s="126" customFormat="1" ht="15" customHeight="1" x14ac:dyDescent="0.25">
      <c r="B981" s="271" t="s">
        <v>343</v>
      </c>
      <c r="C981" s="272" t="s">
        <v>342</v>
      </c>
      <c r="D981" s="275" t="s">
        <v>216</v>
      </c>
      <c r="E981" s="275">
        <v>41377.531724537039</v>
      </c>
      <c r="F981" s="276">
        <v>1</v>
      </c>
      <c r="G981" s="243">
        <f t="shared" si="16"/>
        <v>81</v>
      </c>
      <c r="H981" s="244"/>
      <c r="I981" s="71" t="e">
        <f>IF(COUNTIF((rName rData),H981),"","Name Error!")</f>
        <v>#NAME?</v>
      </c>
    </row>
    <row r="982" spans="2:9" s="126" customFormat="1" ht="15" customHeight="1" x14ac:dyDescent="0.25">
      <c r="B982" s="271" t="s">
        <v>350</v>
      </c>
      <c r="C982" s="272" t="s">
        <v>349</v>
      </c>
      <c r="D982" s="275" t="s">
        <v>216</v>
      </c>
      <c r="E982" s="275">
        <v>41377.790277777778</v>
      </c>
      <c r="F982" s="276">
        <v>2</v>
      </c>
      <c r="G982" s="243">
        <f t="shared" si="16"/>
        <v>81</v>
      </c>
      <c r="H982" s="244"/>
      <c r="I982" s="71" t="e">
        <f>IF(COUNTIF((rName rData),H982),"","Name Error!")</f>
        <v>#NAME?</v>
      </c>
    </row>
    <row r="983" spans="2:9" s="126" customFormat="1" ht="15" customHeight="1" x14ac:dyDescent="0.25">
      <c r="B983" s="271" t="s">
        <v>333</v>
      </c>
      <c r="C983" s="272" t="s">
        <v>332</v>
      </c>
      <c r="D983" s="275" t="s">
        <v>216</v>
      </c>
      <c r="E983" s="275">
        <v>41377.851030092592</v>
      </c>
      <c r="F983" s="276">
        <v>1</v>
      </c>
      <c r="G983" s="243">
        <f t="shared" si="16"/>
        <v>81</v>
      </c>
      <c r="H983" s="244"/>
      <c r="I983" s="71" t="e">
        <f>IF(COUNTIF((rName rData),H983),"","Name Error!")</f>
        <v>#NAME?</v>
      </c>
    </row>
    <row r="984" spans="2:9" s="126" customFormat="1" ht="15" customHeight="1" x14ac:dyDescent="0.25">
      <c r="B984" s="271" t="s">
        <v>350</v>
      </c>
      <c r="C984" s="272" t="s">
        <v>349</v>
      </c>
      <c r="D984" s="275" t="s">
        <v>216</v>
      </c>
      <c r="E984" s="275">
        <v>41378.48940972222</v>
      </c>
      <c r="F984" s="276">
        <v>2</v>
      </c>
      <c r="G984" s="243">
        <f t="shared" si="16"/>
        <v>81</v>
      </c>
      <c r="H984" s="244"/>
      <c r="I984" s="71" t="e">
        <f>IF(COUNTIF((rName rData),H984),"","Name Error!")</f>
        <v>#NAME?</v>
      </c>
    </row>
    <row r="985" spans="2:9" s="126" customFormat="1" ht="15" customHeight="1" x14ac:dyDescent="0.25">
      <c r="B985" s="271" t="s">
        <v>279</v>
      </c>
      <c r="C985" s="272" t="s">
        <v>280</v>
      </c>
      <c r="D985" s="275" t="s">
        <v>216</v>
      </c>
      <c r="E985" s="275">
        <v>41378.536446759259</v>
      </c>
      <c r="F985" s="276">
        <v>1</v>
      </c>
      <c r="G985" s="243">
        <f t="shared" si="16"/>
        <v>81</v>
      </c>
      <c r="H985" s="244"/>
      <c r="I985" s="71" t="e">
        <f>IF(COUNTIF((rName rData),H985),"","Name Error!")</f>
        <v>#NAME?</v>
      </c>
    </row>
    <row r="986" spans="2:9" s="126" customFormat="1" ht="15" customHeight="1" x14ac:dyDescent="0.25">
      <c r="B986" s="271" t="s">
        <v>358</v>
      </c>
      <c r="C986" s="272" t="s">
        <v>357</v>
      </c>
      <c r="D986" s="275" t="s">
        <v>216</v>
      </c>
      <c r="E986" s="275">
        <v>41378.784351851849</v>
      </c>
      <c r="F986" s="276">
        <v>2</v>
      </c>
      <c r="G986" s="243">
        <f t="shared" si="16"/>
        <v>81</v>
      </c>
      <c r="H986" s="244"/>
      <c r="I986" s="71" t="e">
        <f>IF(COUNTIF((rName rData),H986),"","Name Error!")</f>
        <v>#NAME?</v>
      </c>
    </row>
    <row r="987" spans="2:9" s="126" customFormat="1" ht="15" customHeight="1" x14ac:dyDescent="0.25">
      <c r="B987" s="271" t="s">
        <v>328</v>
      </c>
      <c r="C987" s="272" t="s">
        <v>327</v>
      </c>
      <c r="D987" s="275" t="s">
        <v>216</v>
      </c>
      <c r="E987" s="275">
        <v>41378.978032407409</v>
      </c>
      <c r="F987" s="276">
        <v>1</v>
      </c>
      <c r="G987" s="243">
        <f t="shared" si="16"/>
        <v>81</v>
      </c>
      <c r="H987" s="244"/>
      <c r="I987" s="71" t="e">
        <f>IF(COUNTIF((rName rData),H987),"","Name Error!")</f>
        <v>#NAME?</v>
      </c>
    </row>
    <row r="988" spans="2:9" s="126" customFormat="1" ht="15" customHeight="1" x14ac:dyDescent="0.25">
      <c r="B988" s="271" t="s">
        <v>360</v>
      </c>
      <c r="C988" s="272" t="s">
        <v>359</v>
      </c>
      <c r="D988" s="275" t="s">
        <v>216</v>
      </c>
      <c r="E988" s="275">
        <v>41379.312824074077</v>
      </c>
      <c r="F988" s="276">
        <v>1</v>
      </c>
      <c r="G988" s="243">
        <f t="shared" si="16"/>
        <v>81</v>
      </c>
      <c r="H988" s="244"/>
      <c r="I988" s="71" t="e">
        <f>IF(COUNTIF((rName rData),H988),"","Name Error!")</f>
        <v>#NAME?</v>
      </c>
    </row>
    <row r="989" spans="2:9" s="126" customFormat="1" ht="15" customHeight="1" x14ac:dyDescent="0.25">
      <c r="B989" s="271" t="s">
        <v>343</v>
      </c>
      <c r="C989" s="272" t="s">
        <v>342</v>
      </c>
      <c r="D989" s="275" t="s">
        <v>216</v>
      </c>
      <c r="E989" s="275">
        <v>41379.589837962965</v>
      </c>
      <c r="F989" s="276">
        <v>1</v>
      </c>
      <c r="G989" s="243">
        <f t="shared" si="16"/>
        <v>81</v>
      </c>
      <c r="H989" s="244"/>
      <c r="I989" s="71" t="e">
        <f>IF(COUNTIF((rName rData),H989),"","Name Error!")</f>
        <v>#NAME?</v>
      </c>
    </row>
    <row r="990" spans="2:9" s="126" customFormat="1" ht="15" customHeight="1" x14ac:dyDescent="0.25">
      <c r="B990" s="271" t="s">
        <v>335</v>
      </c>
      <c r="C990" s="272" t="s">
        <v>334</v>
      </c>
      <c r="D990" s="275" t="s">
        <v>216</v>
      </c>
      <c r="E990" s="275">
        <v>41379.718611111108</v>
      </c>
      <c r="F990" s="276">
        <v>1</v>
      </c>
      <c r="G990" s="243">
        <f t="shared" si="16"/>
        <v>81</v>
      </c>
      <c r="H990" s="244"/>
      <c r="I990" s="71" t="e">
        <f>IF(COUNTIF((rName rData),H990),"","Name Error!")</f>
        <v>#NAME?</v>
      </c>
    </row>
    <row r="991" spans="2:9" s="126" customFormat="1" ht="15" customHeight="1" x14ac:dyDescent="0.25">
      <c r="B991" s="271" t="s">
        <v>267</v>
      </c>
      <c r="C991" s="272" t="s">
        <v>268</v>
      </c>
      <c r="D991" s="275" t="s">
        <v>216</v>
      </c>
      <c r="E991" s="275">
        <v>41379.788935185185</v>
      </c>
      <c r="F991" s="276">
        <v>1</v>
      </c>
      <c r="G991" s="243">
        <f t="shared" si="16"/>
        <v>81</v>
      </c>
      <c r="H991" s="244"/>
      <c r="I991" s="71" t="e">
        <f>IF(COUNTIF((rName rData),H991),"","Name Error!")</f>
        <v>#NAME?</v>
      </c>
    </row>
    <row r="992" spans="2:9" s="126" customFormat="1" ht="15" customHeight="1" x14ac:dyDescent="0.25">
      <c r="B992" s="271" t="s">
        <v>341</v>
      </c>
      <c r="C992" s="272" t="s">
        <v>340</v>
      </c>
      <c r="D992" s="275" t="s">
        <v>216</v>
      </c>
      <c r="E992" s="275">
        <v>41379.79954861111</v>
      </c>
      <c r="F992" s="276">
        <v>1</v>
      </c>
      <c r="G992" s="243">
        <f t="shared" si="16"/>
        <v>81</v>
      </c>
      <c r="H992" s="244"/>
      <c r="I992" s="71" t="e">
        <f>IF(COUNTIF((rName rData),H992),"","Name Error!")</f>
        <v>#NAME?</v>
      </c>
    </row>
    <row r="993" spans="2:9" s="126" customFormat="1" ht="15" customHeight="1" x14ac:dyDescent="0.25">
      <c r="B993" s="271" t="s">
        <v>358</v>
      </c>
      <c r="C993" s="272" t="s">
        <v>357</v>
      </c>
      <c r="D993" s="275" t="s">
        <v>216</v>
      </c>
      <c r="E993" s="275">
        <v>41379.847500000003</v>
      </c>
      <c r="F993" s="276">
        <v>1</v>
      </c>
      <c r="G993" s="243">
        <f t="shared" si="16"/>
        <v>81</v>
      </c>
      <c r="H993" s="244"/>
      <c r="I993" s="71" t="e">
        <f>IF(COUNTIF((rName rData),H993),"","Name Error!")</f>
        <v>#NAME?</v>
      </c>
    </row>
    <row r="994" spans="2:9" s="126" customFormat="1" ht="15" customHeight="1" x14ac:dyDescent="0.25">
      <c r="B994" s="271" t="s">
        <v>333</v>
      </c>
      <c r="C994" s="272" t="s">
        <v>332</v>
      </c>
      <c r="D994" s="275" t="s">
        <v>216</v>
      </c>
      <c r="E994" s="275">
        <v>41379.87703703704</v>
      </c>
      <c r="F994" s="276">
        <v>2</v>
      </c>
      <c r="G994" s="243">
        <f t="shared" si="16"/>
        <v>81</v>
      </c>
      <c r="H994" s="244"/>
      <c r="I994" s="71" t="e">
        <f>IF(COUNTIF((rName rData),H994),"","Name Error!")</f>
        <v>#NAME?</v>
      </c>
    </row>
    <row r="995" spans="2:9" s="126" customFormat="1" ht="15" customHeight="1" x14ac:dyDescent="0.25">
      <c r="B995" s="271" t="s">
        <v>328</v>
      </c>
      <c r="C995" s="272" t="s">
        <v>327</v>
      </c>
      <c r="D995" s="275" t="s">
        <v>216</v>
      </c>
      <c r="E995" s="275">
        <v>41380.002523148149</v>
      </c>
      <c r="F995" s="276">
        <v>1</v>
      </c>
      <c r="G995" s="243">
        <f t="shared" si="16"/>
        <v>81</v>
      </c>
      <c r="H995" s="244"/>
      <c r="I995" s="71" t="e">
        <f>IF(COUNTIF((rName rData),H995),"","Name Error!")</f>
        <v>#NAME?</v>
      </c>
    </row>
    <row r="996" spans="2:9" s="126" customFormat="1" ht="15" customHeight="1" x14ac:dyDescent="0.25">
      <c r="B996" s="271" t="s">
        <v>279</v>
      </c>
      <c r="C996" s="272" t="s">
        <v>280</v>
      </c>
      <c r="D996" s="275" t="s">
        <v>216</v>
      </c>
      <c r="E996" s="275">
        <v>41380.284490740742</v>
      </c>
      <c r="F996" s="276">
        <v>1</v>
      </c>
      <c r="G996" s="243">
        <f t="shared" si="16"/>
        <v>81</v>
      </c>
      <c r="H996" s="244"/>
      <c r="I996" s="71" t="e">
        <f>IF(COUNTIF((rName rData),H996),"","Name Error!")</f>
        <v>#NAME?</v>
      </c>
    </row>
    <row r="997" spans="2:9" s="126" customFormat="1" ht="15" customHeight="1" x14ac:dyDescent="0.25">
      <c r="B997" s="271" t="s">
        <v>350</v>
      </c>
      <c r="C997" s="272" t="s">
        <v>349</v>
      </c>
      <c r="D997" s="275" t="s">
        <v>216</v>
      </c>
      <c r="E997" s="275">
        <v>41380.452569444446</v>
      </c>
      <c r="F997" s="276">
        <v>1</v>
      </c>
      <c r="G997" s="243">
        <f t="shared" si="16"/>
        <v>81</v>
      </c>
      <c r="H997" s="244"/>
      <c r="I997" s="71" t="e">
        <f>IF(COUNTIF((rName rData),H997),"","Name Error!")</f>
        <v>#NAME?</v>
      </c>
    </row>
    <row r="998" spans="2:9" s="126" customFormat="1" ht="15" customHeight="1" x14ac:dyDescent="0.25">
      <c r="B998" s="271" t="s">
        <v>322</v>
      </c>
      <c r="C998" s="272" t="s">
        <v>321</v>
      </c>
      <c r="D998" s="275" t="s">
        <v>216</v>
      </c>
      <c r="E998" s="275">
        <v>41380.721145833333</v>
      </c>
      <c r="F998" s="276">
        <v>1</v>
      </c>
      <c r="G998" s="243">
        <f t="shared" si="16"/>
        <v>81</v>
      </c>
      <c r="H998" s="244"/>
      <c r="I998" s="71" t="e">
        <f>IF(COUNTIF((rName rData),H998),"","Name Error!")</f>
        <v>#NAME?</v>
      </c>
    </row>
    <row r="999" spans="2:9" s="126" customFormat="1" ht="15" customHeight="1" x14ac:dyDescent="0.25">
      <c r="B999" s="271" t="s">
        <v>358</v>
      </c>
      <c r="C999" s="272" t="s">
        <v>357</v>
      </c>
      <c r="D999" s="275" t="s">
        <v>216</v>
      </c>
      <c r="E999" s="275">
        <v>41380.790138888886</v>
      </c>
      <c r="F999" s="276">
        <v>2</v>
      </c>
      <c r="G999" s="243">
        <f t="shared" si="16"/>
        <v>81</v>
      </c>
      <c r="H999" s="244"/>
      <c r="I999" s="71" t="e">
        <f>IF(COUNTIF((rName rData),H999),"","Name Error!")</f>
        <v>#NAME?</v>
      </c>
    </row>
    <row r="1000" spans="2:9" s="126" customFormat="1" ht="15" customHeight="1" x14ac:dyDescent="0.25">
      <c r="B1000" s="271" t="s">
        <v>267</v>
      </c>
      <c r="C1000" s="272" t="s">
        <v>268</v>
      </c>
      <c r="D1000" s="275" t="s">
        <v>216</v>
      </c>
      <c r="E1000" s="275">
        <v>41380.885567129626</v>
      </c>
      <c r="F1000" s="276">
        <v>2</v>
      </c>
      <c r="G1000" s="243">
        <f t="shared" si="16"/>
        <v>81</v>
      </c>
      <c r="H1000" s="244"/>
      <c r="I1000" s="71" t="e">
        <f>IF(COUNTIF((rName rData),H1000),"","Name Error!")</f>
        <v>#NAME?</v>
      </c>
    </row>
    <row r="1001" spans="2:9" s="126" customFormat="1" ht="15" customHeight="1" x14ac:dyDescent="0.25">
      <c r="B1001" s="271" t="s">
        <v>343</v>
      </c>
      <c r="C1001" s="272" t="s">
        <v>342</v>
      </c>
      <c r="D1001" s="275" t="s">
        <v>216</v>
      </c>
      <c r="E1001" s="275">
        <v>41382.358483796299</v>
      </c>
      <c r="F1001" s="276">
        <v>1</v>
      </c>
      <c r="G1001" s="243">
        <f t="shared" si="16"/>
        <v>81</v>
      </c>
      <c r="H1001" s="244"/>
      <c r="I1001" s="71" t="e">
        <f>IF(COUNTIF((rName rData),H1001),"","Name Error!")</f>
        <v>#NAME?</v>
      </c>
    </row>
    <row r="1002" spans="2:9" s="126" customFormat="1" ht="15" customHeight="1" x14ac:dyDescent="0.25">
      <c r="B1002" s="271" t="s">
        <v>341</v>
      </c>
      <c r="C1002" s="272" t="s">
        <v>340</v>
      </c>
      <c r="D1002" s="275" t="s">
        <v>216</v>
      </c>
      <c r="E1002" s="275">
        <v>41382.466979166667</v>
      </c>
      <c r="F1002" s="276">
        <v>4</v>
      </c>
      <c r="G1002" s="243">
        <f t="shared" si="16"/>
        <v>81</v>
      </c>
      <c r="H1002" s="244"/>
      <c r="I1002" s="71" t="e">
        <f>IF(COUNTIF((rName rData),H1002),"","Name Error!")</f>
        <v>#NAME?</v>
      </c>
    </row>
    <row r="1003" spans="2:9" s="126" customFormat="1" ht="15" customHeight="1" x14ac:dyDescent="0.25">
      <c r="B1003" s="271" t="s">
        <v>267</v>
      </c>
      <c r="C1003" s="272" t="s">
        <v>268</v>
      </c>
      <c r="D1003" s="275" t="s">
        <v>216</v>
      </c>
      <c r="E1003" s="275">
        <v>41382.670949074076</v>
      </c>
      <c r="F1003" s="276">
        <v>1</v>
      </c>
      <c r="G1003" s="243">
        <f t="shared" si="16"/>
        <v>81</v>
      </c>
      <c r="H1003" s="244"/>
      <c r="I1003" s="71" t="e">
        <f>IF(COUNTIF((rName rData),H1003),"","Name Error!")</f>
        <v>#NAME?</v>
      </c>
    </row>
    <row r="1004" spans="2:9" s="126" customFormat="1" ht="15" customHeight="1" x14ac:dyDescent="0.25">
      <c r="B1004" s="271" t="s">
        <v>350</v>
      </c>
      <c r="C1004" s="272" t="s">
        <v>349</v>
      </c>
      <c r="D1004" s="275" t="s">
        <v>216</v>
      </c>
      <c r="E1004" s="275">
        <v>41382.779004629629</v>
      </c>
      <c r="F1004" s="276">
        <v>1</v>
      </c>
      <c r="G1004" s="243">
        <f t="shared" si="16"/>
        <v>81</v>
      </c>
      <c r="H1004" s="244"/>
      <c r="I1004" s="71" t="e">
        <f>IF(COUNTIF((rName rData),H1004),"","Name Error!")</f>
        <v>#NAME?</v>
      </c>
    </row>
    <row r="1005" spans="2:9" s="126" customFormat="1" ht="15" customHeight="1" x14ac:dyDescent="0.25">
      <c r="B1005" s="271" t="s">
        <v>333</v>
      </c>
      <c r="C1005" s="272" t="s">
        <v>332</v>
      </c>
      <c r="D1005" s="275" t="s">
        <v>216</v>
      </c>
      <c r="E1005" s="275">
        <v>41382.908333333333</v>
      </c>
      <c r="F1005" s="276">
        <v>1</v>
      </c>
      <c r="G1005" s="243">
        <f t="shared" si="16"/>
        <v>81</v>
      </c>
      <c r="H1005" s="244"/>
      <c r="I1005" s="71" t="e">
        <f>IF(COUNTIF((rName rData),H1005),"","Name Error!")</f>
        <v>#NAME?</v>
      </c>
    </row>
    <row r="1006" spans="2:9" s="126" customFormat="1" ht="15" customHeight="1" x14ac:dyDescent="0.25">
      <c r="B1006" s="271" t="s">
        <v>279</v>
      </c>
      <c r="C1006" s="272" t="s">
        <v>280</v>
      </c>
      <c r="D1006" s="275" t="s">
        <v>216</v>
      </c>
      <c r="E1006" s="275">
        <v>41382.982164351852</v>
      </c>
      <c r="F1006" s="276">
        <v>1</v>
      </c>
      <c r="G1006" s="243">
        <f t="shared" si="16"/>
        <v>81</v>
      </c>
      <c r="H1006" s="244"/>
      <c r="I1006" s="71" t="e">
        <f>IF(COUNTIF((rName rData),H1006),"","Name Error!")</f>
        <v>#NAME?</v>
      </c>
    </row>
    <row r="1007" spans="2:9" s="126" customFormat="1" ht="15" customHeight="1" x14ac:dyDescent="0.25">
      <c r="B1007" s="271" t="s">
        <v>343</v>
      </c>
      <c r="C1007" s="272" t="s">
        <v>342</v>
      </c>
      <c r="D1007" s="275" t="s">
        <v>216</v>
      </c>
      <c r="E1007" s="275">
        <v>41383.333043981482</v>
      </c>
      <c r="F1007" s="276">
        <v>1</v>
      </c>
      <c r="G1007" s="243">
        <f t="shared" si="16"/>
        <v>81</v>
      </c>
      <c r="H1007" s="244"/>
      <c r="I1007" s="71" t="e">
        <f>IF(COUNTIF((rName rData),H1007),"","Name Error!")</f>
        <v>#NAME?</v>
      </c>
    </row>
    <row r="1008" spans="2:9" s="126" customFormat="1" ht="15" customHeight="1" x14ac:dyDescent="0.25">
      <c r="B1008" s="271" t="s">
        <v>350</v>
      </c>
      <c r="C1008" s="272" t="s">
        <v>349</v>
      </c>
      <c r="D1008" s="275" t="s">
        <v>216</v>
      </c>
      <c r="E1008" s="275">
        <v>41383.506874999999</v>
      </c>
      <c r="F1008" s="276">
        <v>2</v>
      </c>
      <c r="G1008" s="243">
        <f t="shared" si="16"/>
        <v>81</v>
      </c>
      <c r="H1008" s="244"/>
      <c r="I1008" s="71" t="e">
        <f>IF(COUNTIF((rName rData),H1008),"","Name Error!")</f>
        <v>#NAME?</v>
      </c>
    </row>
    <row r="1009" spans="2:9" s="126" customFormat="1" ht="15" customHeight="1" x14ac:dyDescent="0.25">
      <c r="B1009" s="271" t="s">
        <v>341</v>
      </c>
      <c r="C1009" s="272" t="s">
        <v>340</v>
      </c>
      <c r="D1009" s="275" t="s">
        <v>216</v>
      </c>
      <c r="E1009" s="275">
        <v>41383.941342592596</v>
      </c>
      <c r="F1009" s="276">
        <v>1</v>
      </c>
      <c r="G1009" s="243">
        <f t="shared" si="16"/>
        <v>81</v>
      </c>
      <c r="H1009" s="244"/>
      <c r="I1009" s="71" t="e">
        <f>IF(COUNTIF((rName rData),H1009),"","Name Error!")</f>
        <v>#NAME?</v>
      </c>
    </row>
    <row r="1010" spans="2:9" s="126" customFormat="1" ht="15" customHeight="1" x14ac:dyDescent="0.25">
      <c r="B1010" s="271" t="s">
        <v>350</v>
      </c>
      <c r="C1010" s="272" t="s">
        <v>349</v>
      </c>
      <c r="D1010" s="275" t="s">
        <v>216</v>
      </c>
      <c r="E1010" s="275">
        <v>41384.040497685186</v>
      </c>
      <c r="F1010" s="276">
        <v>3</v>
      </c>
      <c r="G1010" s="243">
        <f t="shared" si="16"/>
        <v>82</v>
      </c>
      <c r="H1010" s="244"/>
      <c r="I1010" s="71" t="e">
        <f>IF(COUNTIF((rName rData),H1010),"","Name Error!")</f>
        <v>#NAME?</v>
      </c>
    </row>
    <row r="1011" spans="2:9" s="126" customFormat="1" ht="15" customHeight="1" x14ac:dyDescent="0.25">
      <c r="B1011" s="271" t="s">
        <v>328</v>
      </c>
      <c r="C1011" s="272" t="s">
        <v>327</v>
      </c>
      <c r="D1011" s="275" t="s">
        <v>216</v>
      </c>
      <c r="E1011" s="275">
        <v>41384.112361111111</v>
      </c>
      <c r="F1011" s="276">
        <v>1</v>
      </c>
      <c r="G1011" s="243">
        <f t="shared" si="16"/>
        <v>82</v>
      </c>
      <c r="H1011" s="244"/>
      <c r="I1011" s="71" t="e">
        <f>IF(COUNTIF((rName rData),H1011),"","Name Error!")</f>
        <v>#NAME?</v>
      </c>
    </row>
    <row r="1012" spans="2:9" s="126" customFormat="1" ht="15" customHeight="1" x14ac:dyDescent="0.25">
      <c r="B1012" s="271" t="s">
        <v>333</v>
      </c>
      <c r="C1012" s="272" t="s">
        <v>332</v>
      </c>
      <c r="D1012" s="275" t="s">
        <v>216</v>
      </c>
      <c r="E1012" s="275">
        <v>41384.178657407407</v>
      </c>
      <c r="F1012" s="276">
        <v>1</v>
      </c>
      <c r="G1012" s="243">
        <f t="shared" si="16"/>
        <v>82</v>
      </c>
      <c r="H1012" s="244"/>
      <c r="I1012" s="71" t="e">
        <f>IF(COUNTIF((rName rData),H1012),"","Name Error!")</f>
        <v>#NAME?</v>
      </c>
    </row>
    <row r="1013" spans="2:9" s="126" customFormat="1" ht="15" customHeight="1" x14ac:dyDescent="0.25">
      <c r="B1013" s="271" t="s">
        <v>341</v>
      </c>
      <c r="C1013" s="272" t="s">
        <v>340</v>
      </c>
      <c r="D1013" s="275" t="s">
        <v>216</v>
      </c>
      <c r="E1013" s="275">
        <v>41384.306250000001</v>
      </c>
      <c r="F1013" s="276">
        <v>3</v>
      </c>
      <c r="G1013" s="243">
        <f t="shared" si="16"/>
        <v>82</v>
      </c>
      <c r="H1013" s="244"/>
      <c r="I1013" s="71" t="e">
        <f>IF(COUNTIF((rName rData),H1013),"","Name Error!")</f>
        <v>#NAME?</v>
      </c>
    </row>
    <row r="1014" spans="2:9" s="126" customFormat="1" ht="15" customHeight="1" x14ac:dyDescent="0.25">
      <c r="B1014" s="271" t="s">
        <v>343</v>
      </c>
      <c r="C1014" s="272" t="s">
        <v>342</v>
      </c>
      <c r="D1014" s="275" t="s">
        <v>216</v>
      </c>
      <c r="E1014" s="275">
        <v>41384.344594907408</v>
      </c>
      <c r="F1014" s="276">
        <v>1</v>
      </c>
      <c r="G1014" s="243">
        <f t="shared" si="16"/>
        <v>82</v>
      </c>
      <c r="H1014" s="244"/>
      <c r="I1014" s="71" t="e">
        <f>IF(COUNTIF((rName rData),H1014),"","Name Error!")</f>
        <v>#NAME?</v>
      </c>
    </row>
    <row r="1015" spans="2:9" s="126" customFormat="1" ht="15" customHeight="1" x14ac:dyDescent="0.25">
      <c r="B1015" s="271" t="s">
        <v>358</v>
      </c>
      <c r="C1015" s="272" t="s">
        <v>357</v>
      </c>
      <c r="D1015" s="275" t="s">
        <v>216</v>
      </c>
      <c r="E1015" s="275">
        <v>41384.531180555554</v>
      </c>
      <c r="F1015" s="276">
        <v>1</v>
      </c>
      <c r="G1015" s="243">
        <f t="shared" si="16"/>
        <v>82</v>
      </c>
      <c r="H1015" s="244"/>
      <c r="I1015" s="71" t="e">
        <f>IF(COUNTIF((rName rData),H1015),"","Name Error!")</f>
        <v>#NAME?</v>
      </c>
    </row>
    <row r="1016" spans="2:9" s="126" customFormat="1" ht="15" customHeight="1" x14ac:dyDescent="0.25">
      <c r="B1016" s="271" t="s">
        <v>328</v>
      </c>
      <c r="C1016" s="272" t="s">
        <v>327</v>
      </c>
      <c r="D1016" s="275" t="s">
        <v>216</v>
      </c>
      <c r="E1016" s="275">
        <v>41385.074895833335</v>
      </c>
      <c r="F1016" s="276">
        <v>2</v>
      </c>
      <c r="G1016" s="243">
        <f t="shared" si="16"/>
        <v>82</v>
      </c>
      <c r="H1016" s="244"/>
      <c r="I1016" s="71" t="e">
        <f>IF(COUNTIF((rName rData),H1016),"","Name Error!")</f>
        <v>#NAME?</v>
      </c>
    </row>
    <row r="1017" spans="2:9" s="126" customFormat="1" ht="15" customHeight="1" x14ac:dyDescent="0.25">
      <c r="B1017" s="271" t="s">
        <v>333</v>
      </c>
      <c r="C1017" s="272" t="s">
        <v>332</v>
      </c>
      <c r="D1017" s="275" t="s">
        <v>216</v>
      </c>
      <c r="E1017" s="275">
        <v>41385.677534722221</v>
      </c>
      <c r="F1017" s="276">
        <v>1</v>
      </c>
      <c r="G1017" s="243">
        <f t="shared" si="16"/>
        <v>82</v>
      </c>
      <c r="H1017" s="244"/>
      <c r="I1017" s="71" t="e">
        <f>IF(COUNTIF((rName rData),H1017),"","Name Error!")</f>
        <v>#NAME?</v>
      </c>
    </row>
    <row r="1018" spans="2:9" s="126" customFormat="1" ht="15" customHeight="1" x14ac:dyDescent="0.25">
      <c r="B1018" s="271" t="s">
        <v>341</v>
      </c>
      <c r="C1018" s="272" t="s">
        <v>340</v>
      </c>
      <c r="D1018" s="275" t="s">
        <v>216</v>
      </c>
      <c r="E1018" s="275">
        <v>41385.832488425927</v>
      </c>
      <c r="F1018" s="276">
        <v>1</v>
      </c>
      <c r="G1018" s="243">
        <f t="shared" si="16"/>
        <v>82</v>
      </c>
      <c r="H1018" s="244"/>
      <c r="I1018" s="71" t="e">
        <f>IF(COUNTIF((rName rData),H1018),"","Name Error!")</f>
        <v>#NAME?</v>
      </c>
    </row>
    <row r="1019" spans="2:9" s="126" customFormat="1" ht="15" customHeight="1" x14ac:dyDescent="0.25">
      <c r="B1019" s="271" t="s">
        <v>358</v>
      </c>
      <c r="C1019" s="272" t="s">
        <v>357</v>
      </c>
      <c r="D1019" s="275" t="s">
        <v>216</v>
      </c>
      <c r="E1019" s="275">
        <v>41385.84983796296</v>
      </c>
      <c r="F1019" s="276">
        <v>1</v>
      </c>
      <c r="G1019" s="243">
        <f t="shared" si="16"/>
        <v>82</v>
      </c>
      <c r="H1019" s="244"/>
      <c r="I1019" s="71" t="e">
        <f>IF(COUNTIF((rName rData),H1019),"","Name Error!")</f>
        <v>#NAME?</v>
      </c>
    </row>
    <row r="1020" spans="2:9" s="126" customFormat="1" ht="15" customHeight="1" x14ac:dyDescent="0.25">
      <c r="B1020" s="271" t="s">
        <v>328</v>
      </c>
      <c r="C1020" s="272" t="s">
        <v>327</v>
      </c>
      <c r="D1020" s="275" t="s">
        <v>216</v>
      </c>
      <c r="E1020" s="275">
        <v>41386.009641203702</v>
      </c>
      <c r="F1020" s="276">
        <v>2</v>
      </c>
      <c r="G1020" s="243">
        <f t="shared" si="16"/>
        <v>82</v>
      </c>
      <c r="H1020" s="244"/>
      <c r="I1020" s="71" t="e">
        <f>IF(COUNTIF((rName rData),H1020),"","Name Error!")</f>
        <v>#NAME?</v>
      </c>
    </row>
    <row r="1021" spans="2:9" s="126" customFormat="1" ht="15" customHeight="1" x14ac:dyDescent="0.25">
      <c r="B1021" s="271" t="s">
        <v>350</v>
      </c>
      <c r="C1021" s="272" t="s">
        <v>349</v>
      </c>
      <c r="D1021" s="275" t="s">
        <v>216</v>
      </c>
      <c r="E1021" s="275">
        <v>41386.622187499997</v>
      </c>
      <c r="F1021" s="276">
        <v>2</v>
      </c>
      <c r="G1021" s="243">
        <f t="shared" si="16"/>
        <v>82</v>
      </c>
      <c r="H1021" s="244"/>
      <c r="I1021" s="71" t="e">
        <f>IF(COUNTIF((rName rData),H1021),"","Name Error!")</f>
        <v>#NAME?</v>
      </c>
    </row>
    <row r="1022" spans="2:9" s="126" customFormat="1" ht="15" customHeight="1" x14ac:dyDescent="0.25">
      <c r="B1022" s="271" t="s">
        <v>358</v>
      </c>
      <c r="C1022" s="272" t="s">
        <v>357</v>
      </c>
      <c r="D1022" s="275" t="s">
        <v>216</v>
      </c>
      <c r="E1022" s="275">
        <v>41386.865162037036</v>
      </c>
      <c r="F1022" s="276">
        <v>1</v>
      </c>
      <c r="G1022" s="243">
        <f t="shared" si="16"/>
        <v>82</v>
      </c>
      <c r="H1022" s="244"/>
      <c r="I1022" s="71" t="e">
        <f>IF(COUNTIF((rName rData),H1022),"","Name Error!")</f>
        <v>#NAME?</v>
      </c>
    </row>
    <row r="1023" spans="2:9" s="126" customFormat="1" ht="15" customHeight="1" x14ac:dyDescent="0.25">
      <c r="B1023" s="271" t="s">
        <v>328</v>
      </c>
      <c r="C1023" s="272" t="s">
        <v>327</v>
      </c>
      <c r="D1023" s="275" t="s">
        <v>216</v>
      </c>
      <c r="E1023" s="275">
        <v>41387.01630787037</v>
      </c>
      <c r="F1023" s="276">
        <v>2</v>
      </c>
      <c r="G1023" s="243">
        <f t="shared" si="16"/>
        <v>82</v>
      </c>
      <c r="H1023" s="244"/>
      <c r="I1023" s="71" t="e">
        <f>IF(COUNTIF((rName rData),H1023),"","Name Error!")</f>
        <v>#NAME?</v>
      </c>
    </row>
    <row r="1024" spans="2:9" s="126" customFormat="1" ht="15" customHeight="1" x14ac:dyDescent="0.25">
      <c r="B1024" s="271" t="s">
        <v>350</v>
      </c>
      <c r="C1024" s="272" t="s">
        <v>349</v>
      </c>
      <c r="D1024" s="275" t="s">
        <v>216</v>
      </c>
      <c r="E1024" s="275">
        <v>41387.745752314811</v>
      </c>
      <c r="F1024" s="276">
        <v>1</v>
      </c>
      <c r="G1024" s="243">
        <f t="shared" si="16"/>
        <v>82</v>
      </c>
      <c r="H1024" s="244"/>
      <c r="I1024" s="71" t="e">
        <f>IF(COUNTIF((rName rData),H1024),"","Name Error!")</f>
        <v>#NAME?</v>
      </c>
    </row>
    <row r="1025" spans="2:9" s="126" customFormat="1" ht="15" customHeight="1" x14ac:dyDescent="0.25">
      <c r="B1025" s="271" t="s">
        <v>358</v>
      </c>
      <c r="C1025" s="272" t="s">
        <v>357</v>
      </c>
      <c r="D1025" s="275" t="s">
        <v>216</v>
      </c>
      <c r="E1025" s="275">
        <v>41387.75508101852</v>
      </c>
      <c r="F1025" s="276">
        <v>3</v>
      </c>
      <c r="G1025" s="243">
        <f t="shared" si="16"/>
        <v>82</v>
      </c>
      <c r="H1025" s="244"/>
      <c r="I1025" s="71" t="e">
        <f>IF(COUNTIF((rName rData),H1025),"","Name Error!")</f>
        <v>#NAME?</v>
      </c>
    </row>
    <row r="1026" spans="2:9" s="126" customFormat="1" ht="15" customHeight="1" x14ac:dyDescent="0.25">
      <c r="B1026" s="271" t="s">
        <v>267</v>
      </c>
      <c r="C1026" s="272" t="s">
        <v>268</v>
      </c>
      <c r="D1026" s="275" t="s">
        <v>216</v>
      </c>
      <c r="E1026" s="275">
        <v>41387.833587962959</v>
      </c>
      <c r="F1026" s="276">
        <v>2</v>
      </c>
      <c r="G1026" s="243">
        <f t="shared" si="16"/>
        <v>82</v>
      </c>
      <c r="H1026" s="244"/>
      <c r="I1026" s="71" t="e">
        <f>IF(COUNTIF((rName rData),H1026),"","Name Error!")</f>
        <v>#NAME?</v>
      </c>
    </row>
    <row r="1027" spans="2:9" s="126" customFormat="1" ht="15" customHeight="1" x14ac:dyDescent="0.25">
      <c r="B1027" s="271" t="s">
        <v>350</v>
      </c>
      <c r="C1027" s="272" t="s">
        <v>349</v>
      </c>
      <c r="D1027" s="275" t="s">
        <v>216</v>
      </c>
      <c r="E1027" s="275">
        <v>41388.505243055559</v>
      </c>
      <c r="F1027" s="276">
        <v>1</v>
      </c>
      <c r="G1027" s="243">
        <f t="shared" si="16"/>
        <v>82</v>
      </c>
      <c r="H1027" s="244"/>
      <c r="I1027" s="71" t="e">
        <f>IF(COUNTIF((rName rData),H1027),"","Name Error!")</f>
        <v>#NAME?</v>
      </c>
    </row>
    <row r="1028" spans="2:9" s="126" customFormat="1" ht="15" customHeight="1" x14ac:dyDescent="0.25">
      <c r="B1028" s="271" t="s">
        <v>343</v>
      </c>
      <c r="C1028" s="272" t="s">
        <v>342</v>
      </c>
      <c r="D1028" s="275" t="s">
        <v>216</v>
      </c>
      <c r="E1028" s="275">
        <v>41388.674270833333</v>
      </c>
      <c r="F1028" s="276">
        <v>1</v>
      </c>
      <c r="G1028" s="243">
        <f t="shared" si="16"/>
        <v>82</v>
      </c>
      <c r="H1028" s="244"/>
      <c r="I1028" s="71" t="e">
        <f>IF(COUNTIF((rName rData),H1028),"","Name Error!")</f>
        <v>#NAME?</v>
      </c>
    </row>
    <row r="1029" spans="2:9" s="126" customFormat="1" ht="15" customHeight="1" x14ac:dyDescent="0.25">
      <c r="B1029" s="271" t="s">
        <v>333</v>
      </c>
      <c r="C1029" s="272" t="s">
        <v>332</v>
      </c>
      <c r="D1029" s="275" t="s">
        <v>216</v>
      </c>
      <c r="E1029" s="275">
        <v>41388.692175925928</v>
      </c>
      <c r="F1029" s="276">
        <v>1</v>
      </c>
      <c r="G1029" s="243">
        <f t="shared" si="16"/>
        <v>82</v>
      </c>
      <c r="H1029" s="244"/>
      <c r="I1029" s="71" t="e">
        <f>IF(COUNTIF((rName rData),H1029),"","Name Error!")</f>
        <v>#NAME?</v>
      </c>
    </row>
    <row r="1030" spans="2:9" s="126" customFormat="1" ht="15" customHeight="1" x14ac:dyDescent="0.25">
      <c r="B1030" s="271" t="s">
        <v>341</v>
      </c>
      <c r="C1030" s="272" t="s">
        <v>340</v>
      </c>
      <c r="D1030" s="275" t="s">
        <v>216</v>
      </c>
      <c r="E1030" s="275">
        <v>41388.697557870371</v>
      </c>
      <c r="F1030" s="276">
        <v>1</v>
      </c>
      <c r="G1030" s="243">
        <f t="shared" si="16"/>
        <v>82</v>
      </c>
      <c r="H1030" s="244"/>
      <c r="I1030" s="71" t="e">
        <f>IF(COUNTIF((rName rData),H1030),"","Name Error!")</f>
        <v>#NAME?</v>
      </c>
    </row>
    <row r="1031" spans="2:9" s="126" customFormat="1" ht="15" customHeight="1" x14ac:dyDescent="0.25">
      <c r="B1031" s="271" t="s">
        <v>358</v>
      </c>
      <c r="C1031" s="272" t="s">
        <v>357</v>
      </c>
      <c r="D1031" s="275" t="s">
        <v>216</v>
      </c>
      <c r="E1031" s="275">
        <v>41388.783020833333</v>
      </c>
      <c r="F1031" s="276">
        <v>1</v>
      </c>
      <c r="G1031" s="243">
        <f t="shared" si="16"/>
        <v>82</v>
      </c>
      <c r="H1031" s="244"/>
      <c r="I1031" s="71" t="e">
        <f>IF(COUNTIF((rName rData),H1031),"","Name Error!")</f>
        <v>#NAME?</v>
      </c>
    </row>
    <row r="1032" spans="2:9" s="126" customFormat="1" ht="15" customHeight="1" x14ac:dyDescent="0.25">
      <c r="B1032" s="271" t="s">
        <v>279</v>
      </c>
      <c r="C1032" s="272" t="s">
        <v>280</v>
      </c>
      <c r="D1032" s="275" t="s">
        <v>216</v>
      </c>
      <c r="E1032" s="275">
        <v>41388.971736111111</v>
      </c>
      <c r="F1032" s="276">
        <v>1</v>
      </c>
      <c r="G1032" s="243">
        <f t="shared" si="16"/>
        <v>82</v>
      </c>
      <c r="H1032" s="244"/>
      <c r="I1032" s="71" t="e">
        <f>IF(COUNTIF((rName rData),H1032),"","Name Error!")</f>
        <v>#NAME?</v>
      </c>
    </row>
    <row r="1033" spans="2:9" s="126" customFormat="1" ht="15" customHeight="1" x14ac:dyDescent="0.25">
      <c r="B1033" s="271" t="s">
        <v>343</v>
      </c>
      <c r="C1033" s="272" t="s">
        <v>342</v>
      </c>
      <c r="D1033" s="275" t="s">
        <v>216</v>
      </c>
      <c r="E1033" s="275">
        <v>41389.482870370368</v>
      </c>
      <c r="F1033" s="276">
        <v>1</v>
      </c>
      <c r="G1033" s="243">
        <f t="shared" si="16"/>
        <v>82</v>
      </c>
      <c r="H1033" s="244"/>
      <c r="I1033" s="71" t="e">
        <f>IF(COUNTIF((rName rData),H1033),"","Name Error!")</f>
        <v>#NAME?</v>
      </c>
    </row>
    <row r="1034" spans="2:9" s="126" customFormat="1" ht="15" customHeight="1" x14ac:dyDescent="0.25">
      <c r="B1034" s="271" t="s">
        <v>333</v>
      </c>
      <c r="C1034" s="272" t="s">
        <v>332</v>
      </c>
      <c r="D1034" s="275" t="s">
        <v>216</v>
      </c>
      <c r="E1034" s="275">
        <v>41389.488518518519</v>
      </c>
      <c r="F1034" s="276">
        <v>1</v>
      </c>
      <c r="G1034" s="243">
        <f t="shared" ref="G1034:G1097" si="17">TRUNC((E1034-start)/7)+1</f>
        <v>82</v>
      </c>
      <c r="H1034" s="244"/>
      <c r="I1034" s="71" t="e">
        <f>IF(COUNTIF((rName rData),H1034),"","Name Error!")</f>
        <v>#NAME?</v>
      </c>
    </row>
    <row r="1035" spans="2:9" s="126" customFormat="1" ht="15" customHeight="1" x14ac:dyDescent="0.25">
      <c r="B1035" s="271" t="s">
        <v>341</v>
      </c>
      <c r="C1035" s="272" t="s">
        <v>340</v>
      </c>
      <c r="D1035" s="275" t="s">
        <v>216</v>
      </c>
      <c r="E1035" s="275">
        <v>41389.512719907405</v>
      </c>
      <c r="F1035" s="276">
        <v>2</v>
      </c>
      <c r="G1035" s="243">
        <f t="shared" si="17"/>
        <v>82</v>
      </c>
      <c r="H1035" s="244"/>
      <c r="I1035" s="71" t="e">
        <f>IF(COUNTIF((rName rData),H1035),"","Name Error!")</f>
        <v>#NAME?</v>
      </c>
    </row>
    <row r="1036" spans="2:9" s="126" customFormat="1" ht="15" customHeight="1" x14ac:dyDescent="0.25">
      <c r="B1036" s="271" t="s">
        <v>358</v>
      </c>
      <c r="C1036" s="272" t="s">
        <v>357</v>
      </c>
      <c r="D1036" s="275" t="s">
        <v>216</v>
      </c>
      <c r="E1036" s="275">
        <v>41389.821053240739</v>
      </c>
      <c r="F1036" s="276">
        <v>2</v>
      </c>
      <c r="G1036" s="243">
        <f t="shared" si="17"/>
        <v>82</v>
      </c>
      <c r="H1036" s="244"/>
      <c r="I1036" s="71" t="e">
        <f>IF(COUNTIF((rName rData),H1036),"","Name Error!")</f>
        <v>#NAME?</v>
      </c>
    </row>
    <row r="1037" spans="2:9" s="126" customFormat="1" ht="15" customHeight="1" x14ac:dyDescent="0.25">
      <c r="B1037" s="271" t="s">
        <v>328</v>
      </c>
      <c r="C1037" s="272" t="s">
        <v>327</v>
      </c>
      <c r="D1037" s="275" t="s">
        <v>216</v>
      </c>
      <c r="E1037" s="275">
        <v>41389.961701388886</v>
      </c>
      <c r="F1037" s="276">
        <v>1</v>
      </c>
      <c r="G1037" s="243">
        <f t="shared" si="17"/>
        <v>82</v>
      </c>
      <c r="H1037" s="244"/>
      <c r="I1037" s="71" t="e">
        <f>IF(COUNTIF((rName rData),H1037),"","Name Error!")</f>
        <v>#NAME?</v>
      </c>
    </row>
    <row r="1038" spans="2:9" s="126" customFormat="1" ht="15" customHeight="1" x14ac:dyDescent="0.25">
      <c r="B1038" s="271" t="s">
        <v>328</v>
      </c>
      <c r="C1038" s="272" t="s">
        <v>327</v>
      </c>
      <c r="D1038" s="275" t="s">
        <v>216</v>
      </c>
      <c r="E1038" s="275">
        <v>41390.992824074077</v>
      </c>
      <c r="F1038" s="276">
        <v>1</v>
      </c>
      <c r="G1038" s="243">
        <f t="shared" si="17"/>
        <v>82</v>
      </c>
      <c r="H1038" s="244"/>
      <c r="I1038" s="71" t="e">
        <f>IF(COUNTIF((rName rData),H1038),"","Name Error!")</f>
        <v>#NAME?</v>
      </c>
    </row>
    <row r="1039" spans="2:9" s="126" customFormat="1" ht="15" customHeight="1" x14ac:dyDescent="0.25">
      <c r="B1039" s="271" t="s">
        <v>328</v>
      </c>
      <c r="C1039" s="272" t="s">
        <v>327</v>
      </c>
      <c r="D1039" s="275" t="s">
        <v>216</v>
      </c>
      <c r="E1039" s="275">
        <v>41391.071261574078</v>
      </c>
      <c r="F1039" s="276">
        <v>5</v>
      </c>
      <c r="G1039" s="243">
        <f t="shared" si="17"/>
        <v>83</v>
      </c>
      <c r="H1039" s="244"/>
      <c r="I1039" s="71" t="e">
        <f>IF(COUNTIF((rName rData),H1039),"","Name Error!")</f>
        <v>#NAME?</v>
      </c>
    </row>
    <row r="1040" spans="2:9" s="126" customFormat="1" ht="15" customHeight="1" x14ac:dyDescent="0.25">
      <c r="B1040" s="271" t="s">
        <v>341</v>
      </c>
      <c r="C1040" s="272" t="s">
        <v>340</v>
      </c>
      <c r="D1040" s="275" t="s">
        <v>216</v>
      </c>
      <c r="E1040" s="275">
        <v>41391.3280787037</v>
      </c>
      <c r="F1040" s="276">
        <v>2</v>
      </c>
      <c r="G1040" s="243">
        <f t="shared" si="17"/>
        <v>83</v>
      </c>
      <c r="H1040" s="244"/>
      <c r="I1040" s="71" t="e">
        <f>IF(COUNTIF((rName rData),H1040),"","Name Error!")</f>
        <v>#NAME?</v>
      </c>
    </row>
    <row r="1041" spans="2:9" s="126" customFormat="1" ht="15" customHeight="1" x14ac:dyDescent="0.25">
      <c r="B1041" s="271" t="s">
        <v>358</v>
      </c>
      <c r="C1041" s="272" t="s">
        <v>357</v>
      </c>
      <c r="D1041" s="275" t="s">
        <v>216</v>
      </c>
      <c r="E1041" s="275">
        <v>41391.699988425928</v>
      </c>
      <c r="F1041" s="276">
        <v>1</v>
      </c>
      <c r="G1041" s="243">
        <f t="shared" si="17"/>
        <v>83</v>
      </c>
      <c r="H1041" s="244"/>
      <c r="I1041" s="71" t="e">
        <f>IF(COUNTIF((rName rData),H1041),"","Name Error!")</f>
        <v>#NAME?</v>
      </c>
    </row>
    <row r="1042" spans="2:9" s="126" customFormat="1" ht="15" customHeight="1" x14ac:dyDescent="0.25">
      <c r="B1042" s="271" t="s">
        <v>267</v>
      </c>
      <c r="C1042" s="272" t="s">
        <v>268</v>
      </c>
      <c r="D1042" s="275" t="s">
        <v>216</v>
      </c>
      <c r="E1042" s="275">
        <v>41391.735925925925</v>
      </c>
      <c r="F1042" s="276">
        <v>3</v>
      </c>
      <c r="G1042" s="243">
        <f t="shared" si="17"/>
        <v>83</v>
      </c>
      <c r="H1042" s="244"/>
      <c r="I1042" s="71" t="e">
        <f>IF(COUNTIF((rName rData),H1042),"","Name Error!")</f>
        <v>#NAME?</v>
      </c>
    </row>
    <row r="1043" spans="2:9" s="126" customFormat="1" ht="15" customHeight="1" x14ac:dyDescent="0.25">
      <c r="B1043" s="271" t="s">
        <v>279</v>
      </c>
      <c r="C1043" s="272" t="s">
        <v>280</v>
      </c>
      <c r="D1043" s="275" t="s">
        <v>216</v>
      </c>
      <c r="E1043" s="275">
        <v>41391.98574074074</v>
      </c>
      <c r="F1043" s="276">
        <v>1</v>
      </c>
      <c r="G1043" s="243">
        <f t="shared" si="17"/>
        <v>83</v>
      </c>
      <c r="H1043" s="244"/>
      <c r="I1043" s="71" t="e">
        <f>IF(COUNTIF((rName rData),H1043),"","Name Error!")</f>
        <v>#NAME?</v>
      </c>
    </row>
    <row r="1044" spans="2:9" s="126" customFormat="1" ht="15" customHeight="1" x14ac:dyDescent="0.25">
      <c r="B1044" s="271" t="s">
        <v>267</v>
      </c>
      <c r="C1044" s="272" t="s">
        <v>268</v>
      </c>
      <c r="D1044" s="275" t="s">
        <v>216</v>
      </c>
      <c r="E1044" s="275">
        <v>41392.440925925926</v>
      </c>
      <c r="F1044" s="276">
        <v>1</v>
      </c>
      <c r="G1044" s="243">
        <f t="shared" si="17"/>
        <v>83</v>
      </c>
      <c r="H1044" s="244"/>
      <c r="I1044" s="71" t="e">
        <f>IF(COUNTIF((rName rData),H1044),"","Name Error!")</f>
        <v>#NAME?</v>
      </c>
    </row>
    <row r="1045" spans="2:9" s="126" customFormat="1" ht="15" customHeight="1" x14ac:dyDescent="0.25">
      <c r="B1045" s="271" t="s">
        <v>358</v>
      </c>
      <c r="C1045" s="272" t="s">
        <v>357</v>
      </c>
      <c r="D1045" s="275" t="s">
        <v>216</v>
      </c>
      <c r="E1045" s="275">
        <v>41392.523900462962</v>
      </c>
      <c r="F1045" s="276">
        <v>2</v>
      </c>
      <c r="G1045" s="243">
        <f t="shared" si="17"/>
        <v>83</v>
      </c>
      <c r="H1045" s="244"/>
      <c r="I1045" s="71" t="e">
        <f>IF(COUNTIF((rName rData),H1045),"","Name Error!")</f>
        <v>#NAME?</v>
      </c>
    </row>
    <row r="1046" spans="2:9" s="126" customFormat="1" ht="15" customHeight="1" x14ac:dyDescent="0.25">
      <c r="B1046" s="271" t="s">
        <v>341</v>
      </c>
      <c r="C1046" s="272" t="s">
        <v>340</v>
      </c>
      <c r="D1046" s="275" t="s">
        <v>216</v>
      </c>
      <c r="E1046" s="275">
        <v>41392.567754629628</v>
      </c>
      <c r="F1046" s="276">
        <v>2</v>
      </c>
      <c r="G1046" s="243">
        <f t="shared" si="17"/>
        <v>83</v>
      </c>
      <c r="H1046" s="244"/>
      <c r="I1046" s="71" t="e">
        <f>IF(COUNTIF((rName rData),H1046),"","Name Error!")</f>
        <v>#NAME?</v>
      </c>
    </row>
    <row r="1047" spans="2:9" s="126" customFormat="1" ht="15" customHeight="1" x14ac:dyDescent="0.25">
      <c r="B1047" s="271" t="s">
        <v>279</v>
      </c>
      <c r="C1047" s="272" t="s">
        <v>280</v>
      </c>
      <c r="D1047" s="275" t="s">
        <v>216</v>
      </c>
      <c r="E1047" s="275">
        <v>41392.629143518519</v>
      </c>
      <c r="F1047" s="276">
        <v>4</v>
      </c>
      <c r="G1047" s="243">
        <f t="shared" si="17"/>
        <v>83</v>
      </c>
      <c r="H1047" s="244"/>
      <c r="I1047" s="71" t="e">
        <f>IF(COUNTIF((rName rData),H1047),"","Name Error!")</f>
        <v>#NAME?</v>
      </c>
    </row>
    <row r="1048" spans="2:9" s="126" customFormat="1" ht="15" customHeight="1" x14ac:dyDescent="0.25">
      <c r="B1048" s="271" t="s">
        <v>350</v>
      </c>
      <c r="C1048" s="272" t="s">
        <v>349</v>
      </c>
      <c r="D1048" s="275" t="s">
        <v>216</v>
      </c>
      <c r="E1048" s="275">
        <v>41392.66133101852</v>
      </c>
      <c r="F1048" s="276">
        <v>2</v>
      </c>
      <c r="G1048" s="243">
        <f t="shared" si="17"/>
        <v>83</v>
      </c>
      <c r="H1048" s="244"/>
      <c r="I1048" s="71" t="e">
        <f>IF(COUNTIF((rName rData),H1048),"","Name Error!")</f>
        <v>#NAME?</v>
      </c>
    </row>
    <row r="1049" spans="2:9" s="126" customFormat="1" ht="15" customHeight="1" x14ac:dyDescent="0.25">
      <c r="B1049" s="271" t="s">
        <v>279</v>
      </c>
      <c r="C1049" s="272" t="s">
        <v>280</v>
      </c>
      <c r="D1049" s="275" t="s">
        <v>216</v>
      </c>
      <c r="E1049" s="275">
        <v>41393.037280092591</v>
      </c>
      <c r="F1049" s="276">
        <v>2</v>
      </c>
      <c r="G1049" s="243">
        <f t="shared" si="17"/>
        <v>83</v>
      </c>
      <c r="H1049" s="244"/>
      <c r="I1049" s="71" t="e">
        <f>IF(COUNTIF((rName rData),H1049),"","Name Error!")</f>
        <v>#NAME?</v>
      </c>
    </row>
    <row r="1050" spans="2:9" s="126" customFormat="1" ht="15" customHeight="1" x14ac:dyDescent="0.25">
      <c r="B1050" s="271" t="s">
        <v>341</v>
      </c>
      <c r="C1050" s="272" t="s">
        <v>340</v>
      </c>
      <c r="D1050" s="275" t="s">
        <v>216</v>
      </c>
      <c r="E1050" s="275">
        <v>41393.396655092591</v>
      </c>
      <c r="F1050" s="276">
        <v>6</v>
      </c>
      <c r="G1050" s="243">
        <f t="shared" si="17"/>
        <v>83</v>
      </c>
      <c r="H1050" s="244"/>
      <c r="I1050" s="71" t="e">
        <f>IF(COUNTIF((rName rData),H1050),"","Name Error!")</f>
        <v>#NAME?</v>
      </c>
    </row>
    <row r="1051" spans="2:9" s="126" customFormat="1" ht="15" customHeight="1" x14ac:dyDescent="0.25">
      <c r="B1051" s="271" t="s">
        <v>343</v>
      </c>
      <c r="C1051" s="272" t="s">
        <v>342</v>
      </c>
      <c r="D1051" s="275" t="s">
        <v>216</v>
      </c>
      <c r="E1051" s="275">
        <v>41393.422858796293</v>
      </c>
      <c r="F1051" s="276">
        <v>4</v>
      </c>
      <c r="G1051" s="243">
        <f t="shared" si="17"/>
        <v>83</v>
      </c>
      <c r="H1051" s="244"/>
      <c r="I1051" s="71" t="e">
        <f>IF(COUNTIF((rName rData),H1051),"","Name Error!")</f>
        <v>#NAME?</v>
      </c>
    </row>
    <row r="1052" spans="2:9" s="126" customFormat="1" ht="15" customHeight="1" x14ac:dyDescent="0.25">
      <c r="B1052" s="271" t="s">
        <v>362</v>
      </c>
      <c r="C1052" s="272" t="s">
        <v>361</v>
      </c>
      <c r="D1052" s="275" t="s">
        <v>216</v>
      </c>
      <c r="E1052" s="275">
        <v>41393.655034722222</v>
      </c>
      <c r="F1052" s="276">
        <v>1</v>
      </c>
      <c r="G1052" s="243">
        <f t="shared" si="17"/>
        <v>83</v>
      </c>
      <c r="H1052" s="244"/>
      <c r="I1052" s="71" t="e">
        <f>IF(COUNTIF((rName rData),H1052),"","Name Error!")</f>
        <v>#NAME?</v>
      </c>
    </row>
    <row r="1053" spans="2:9" s="126" customFormat="1" ht="15" customHeight="1" x14ac:dyDescent="0.25">
      <c r="B1053" s="271" t="s">
        <v>350</v>
      </c>
      <c r="C1053" s="272" t="s">
        <v>349</v>
      </c>
      <c r="D1053" s="275" t="s">
        <v>216</v>
      </c>
      <c r="E1053" s="275">
        <v>41393.792662037034</v>
      </c>
      <c r="F1053" s="276">
        <v>1</v>
      </c>
      <c r="G1053" s="243">
        <f t="shared" si="17"/>
        <v>83</v>
      </c>
      <c r="H1053" s="244"/>
      <c r="I1053" s="71" t="e">
        <f>IF(COUNTIF((rName rData),H1053),"","Name Error!")</f>
        <v>#NAME?</v>
      </c>
    </row>
    <row r="1054" spans="2:9" s="126" customFormat="1" ht="15" customHeight="1" x14ac:dyDescent="0.25">
      <c r="B1054" s="271" t="s">
        <v>350</v>
      </c>
      <c r="C1054" s="272" t="s">
        <v>349</v>
      </c>
      <c r="D1054" s="275" t="s">
        <v>216</v>
      </c>
      <c r="E1054" s="275">
        <v>41394.014027777775</v>
      </c>
      <c r="F1054" s="276">
        <v>3</v>
      </c>
      <c r="G1054" s="243">
        <f t="shared" si="17"/>
        <v>83</v>
      </c>
      <c r="H1054" s="244"/>
      <c r="I1054" s="71" t="e">
        <f>IF(COUNTIF((rName rData),H1054),"","Name Error!")</f>
        <v>#NAME?</v>
      </c>
    </row>
    <row r="1055" spans="2:9" s="126" customFormat="1" ht="15" customHeight="1" x14ac:dyDescent="0.25">
      <c r="B1055" s="271" t="s">
        <v>279</v>
      </c>
      <c r="C1055" s="272" t="s">
        <v>280</v>
      </c>
      <c r="D1055" s="275" t="s">
        <v>216</v>
      </c>
      <c r="E1055" s="275">
        <v>41394.045636574076</v>
      </c>
      <c r="F1055" s="276">
        <v>2</v>
      </c>
      <c r="G1055" s="243">
        <f t="shared" si="17"/>
        <v>83</v>
      </c>
      <c r="H1055" s="244"/>
      <c r="I1055" s="71" t="e">
        <f>IF(COUNTIF((rName rData),H1055),"","Name Error!")</f>
        <v>#NAME?</v>
      </c>
    </row>
    <row r="1056" spans="2:9" s="126" customFormat="1" ht="15" customHeight="1" x14ac:dyDescent="0.25">
      <c r="B1056" s="271" t="s">
        <v>341</v>
      </c>
      <c r="C1056" s="272" t="s">
        <v>340</v>
      </c>
      <c r="D1056" s="275" t="s">
        <v>216</v>
      </c>
      <c r="E1056" s="275">
        <v>41394.371099537035</v>
      </c>
      <c r="F1056" s="276">
        <v>1</v>
      </c>
      <c r="G1056" s="243">
        <f t="shared" si="17"/>
        <v>83</v>
      </c>
      <c r="H1056" s="244"/>
      <c r="I1056" s="71" t="e">
        <f>IF(COUNTIF((rName rData),H1056),"","Name Error!")</f>
        <v>#NAME?</v>
      </c>
    </row>
    <row r="1057" spans="2:9" s="126" customFormat="1" ht="15" customHeight="1" x14ac:dyDescent="0.25">
      <c r="B1057" s="271" t="s">
        <v>343</v>
      </c>
      <c r="C1057" s="272" t="s">
        <v>342</v>
      </c>
      <c r="D1057" s="275" t="s">
        <v>216</v>
      </c>
      <c r="E1057" s="275">
        <v>41394.784421296295</v>
      </c>
      <c r="F1057" s="276">
        <v>1</v>
      </c>
      <c r="G1057" s="243">
        <f t="shared" si="17"/>
        <v>83</v>
      </c>
      <c r="H1057" s="244"/>
      <c r="I1057" s="71" t="e">
        <f>IF(COUNTIF((rName rData),H1057),"","Name Error!")</f>
        <v>#NAME?</v>
      </c>
    </row>
    <row r="1058" spans="2:9" s="126" customFormat="1" ht="15" customHeight="1" x14ac:dyDescent="0.25">
      <c r="B1058" s="271" t="s">
        <v>350</v>
      </c>
      <c r="C1058" s="272" t="s">
        <v>349</v>
      </c>
      <c r="D1058" s="275" t="s">
        <v>216</v>
      </c>
      <c r="E1058" s="275">
        <v>41395.504236111112</v>
      </c>
      <c r="F1058" s="276">
        <v>3</v>
      </c>
      <c r="G1058" s="243">
        <f t="shared" si="17"/>
        <v>83</v>
      </c>
      <c r="H1058" s="244"/>
      <c r="I1058" s="71" t="e">
        <f>IF(COUNTIF((rName rData),H1058),"","Name Error!")</f>
        <v>#NAME?</v>
      </c>
    </row>
    <row r="1059" spans="2:9" s="126" customFormat="1" ht="15" customHeight="1" x14ac:dyDescent="0.25">
      <c r="B1059" s="271" t="s">
        <v>352</v>
      </c>
      <c r="C1059" s="272" t="s">
        <v>351</v>
      </c>
      <c r="D1059" s="275" t="s">
        <v>216</v>
      </c>
      <c r="E1059" s="275">
        <v>41395.506597222222</v>
      </c>
      <c r="F1059" s="276">
        <v>3</v>
      </c>
      <c r="G1059" s="243">
        <f t="shared" si="17"/>
        <v>83</v>
      </c>
      <c r="H1059" s="244"/>
      <c r="I1059" s="71" t="e">
        <f>IF(COUNTIF((rName rData),H1059),"","Name Error!")</f>
        <v>#NAME?</v>
      </c>
    </row>
    <row r="1060" spans="2:9" s="126" customFormat="1" ht="15" customHeight="1" x14ac:dyDescent="0.25">
      <c r="B1060" s="271" t="s">
        <v>267</v>
      </c>
      <c r="C1060" s="272" t="s">
        <v>268</v>
      </c>
      <c r="D1060" s="275" t="s">
        <v>216</v>
      </c>
      <c r="E1060" s="275">
        <v>41395.819155092591</v>
      </c>
      <c r="F1060" s="276">
        <v>2</v>
      </c>
      <c r="G1060" s="243">
        <f t="shared" si="17"/>
        <v>83</v>
      </c>
      <c r="H1060" s="244"/>
      <c r="I1060" s="71" t="e">
        <f>IF(COUNTIF((rName rData),H1060),"","Name Error!")</f>
        <v>#NAME?</v>
      </c>
    </row>
    <row r="1061" spans="2:9" s="126" customFormat="1" ht="15" customHeight="1" x14ac:dyDescent="0.25">
      <c r="B1061" s="271" t="s">
        <v>341</v>
      </c>
      <c r="C1061" s="272" t="s">
        <v>340</v>
      </c>
      <c r="D1061" s="275" t="s">
        <v>216</v>
      </c>
      <c r="E1061" s="275">
        <v>41395.83184027778</v>
      </c>
      <c r="F1061" s="276">
        <v>1</v>
      </c>
      <c r="G1061" s="243">
        <f t="shared" si="17"/>
        <v>83</v>
      </c>
      <c r="H1061" s="244"/>
      <c r="I1061" s="71" t="e">
        <f>IF(COUNTIF((rName rData),H1061),"","Name Error!")</f>
        <v>#NAME?</v>
      </c>
    </row>
    <row r="1062" spans="2:9" s="126" customFormat="1" ht="15" customHeight="1" x14ac:dyDescent="0.25">
      <c r="B1062" s="271" t="s">
        <v>358</v>
      </c>
      <c r="C1062" s="272" t="s">
        <v>357</v>
      </c>
      <c r="D1062" s="275" t="s">
        <v>216</v>
      </c>
      <c r="E1062" s="275">
        <v>41395.842210648145</v>
      </c>
      <c r="F1062" s="276">
        <v>2</v>
      </c>
      <c r="G1062" s="243">
        <f t="shared" si="17"/>
        <v>83</v>
      </c>
      <c r="H1062" s="244"/>
      <c r="I1062" s="71" t="e">
        <f>IF(COUNTIF((rName rData),H1062),"","Name Error!")</f>
        <v>#NAME?</v>
      </c>
    </row>
    <row r="1063" spans="2:9" s="126" customFormat="1" ht="15" customHeight="1" x14ac:dyDescent="0.25">
      <c r="B1063" s="271" t="s">
        <v>343</v>
      </c>
      <c r="C1063" s="272" t="s">
        <v>342</v>
      </c>
      <c r="D1063" s="275" t="s">
        <v>216</v>
      </c>
      <c r="E1063" s="275">
        <v>41395.905381944445</v>
      </c>
      <c r="F1063" s="276">
        <v>1</v>
      </c>
      <c r="G1063" s="243">
        <f t="shared" si="17"/>
        <v>83</v>
      </c>
      <c r="H1063" s="244"/>
      <c r="I1063" s="71" t="e">
        <f>IF(COUNTIF((rName rData),H1063),"","Name Error!")</f>
        <v>#NAME?</v>
      </c>
    </row>
    <row r="1064" spans="2:9" s="126" customFormat="1" ht="15" customHeight="1" x14ac:dyDescent="0.25">
      <c r="B1064" s="271" t="s">
        <v>352</v>
      </c>
      <c r="C1064" s="272" t="s">
        <v>351</v>
      </c>
      <c r="D1064" s="275" t="s">
        <v>216</v>
      </c>
      <c r="E1064" s="275">
        <v>41396.756747685184</v>
      </c>
      <c r="F1064" s="276">
        <v>1</v>
      </c>
      <c r="G1064" s="243">
        <f t="shared" si="17"/>
        <v>83</v>
      </c>
      <c r="H1064" s="244"/>
      <c r="I1064" s="71" t="e">
        <f>IF(COUNTIF((rName rData),H1064),"","Name Error!")</f>
        <v>#NAME?</v>
      </c>
    </row>
    <row r="1065" spans="2:9" s="126" customFormat="1" ht="15" customHeight="1" x14ac:dyDescent="0.25">
      <c r="B1065" s="271" t="s">
        <v>267</v>
      </c>
      <c r="C1065" s="272" t="s">
        <v>268</v>
      </c>
      <c r="D1065" s="275" t="s">
        <v>216</v>
      </c>
      <c r="E1065" s="275">
        <v>41396.768553240741</v>
      </c>
      <c r="F1065" s="276">
        <v>1</v>
      </c>
      <c r="G1065" s="243">
        <f t="shared" si="17"/>
        <v>83</v>
      </c>
      <c r="H1065" s="244"/>
      <c r="I1065" s="71" t="e">
        <f>IF(COUNTIF((rName rData),H1065),"","Name Error!")</f>
        <v>#NAME?</v>
      </c>
    </row>
    <row r="1066" spans="2:9" s="126" customFormat="1" ht="15" customHeight="1" x14ac:dyDescent="0.25">
      <c r="B1066" s="271" t="s">
        <v>343</v>
      </c>
      <c r="C1066" s="272" t="s">
        <v>342</v>
      </c>
      <c r="D1066" s="275" t="s">
        <v>216</v>
      </c>
      <c r="E1066" s="275">
        <v>41396.905624999999</v>
      </c>
      <c r="F1066" s="276">
        <v>1</v>
      </c>
      <c r="G1066" s="243">
        <f t="shared" si="17"/>
        <v>83</v>
      </c>
      <c r="H1066" s="244"/>
      <c r="I1066" s="71" t="e">
        <f>IF(COUNTIF((rName rData),H1066),"","Name Error!")</f>
        <v>#NAME?</v>
      </c>
    </row>
    <row r="1067" spans="2:9" s="126" customFormat="1" ht="15" customHeight="1" x14ac:dyDescent="0.25">
      <c r="B1067" s="271" t="s">
        <v>279</v>
      </c>
      <c r="C1067" s="272" t="s">
        <v>280</v>
      </c>
      <c r="D1067" s="275" t="s">
        <v>216</v>
      </c>
      <c r="E1067" s="275">
        <v>41396.952164351853</v>
      </c>
      <c r="F1067" s="276">
        <v>1</v>
      </c>
      <c r="G1067" s="243">
        <f t="shared" si="17"/>
        <v>83</v>
      </c>
      <c r="H1067" s="244"/>
      <c r="I1067" s="71" t="e">
        <f>IF(COUNTIF((rName rData),H1067),"","Name Error!")</f>
        <v>#NAME?</v>
      </c>
    </row>
    <row r="1068" spans="2:9" s="126" customFormat="1" ht="15" customHeight="1" x14ac:dyDescent="0.25">
      <c r="B1068" s="271" t="s">
        <v>279</v>
      </c>
      <c r="C1068" s="272" t="s">
        <v>280</v>
      </c>
      <c r="D1068" s="275" t="s">
        <v>216</v>
      </c>
      <c r="E1068" s="275">
        <v>41397.009629629632</v>
      </c>
      <c r="F1068" s="276">
        <v>1</v>
      </c>
      <c r="G1068" s="243">
        <f t="shared" si="17"/>
        <v>83</v>
      </c>
      <c r="H1068" s="244"/>
      <c r="I1068" s="71" t="e">
        <f>IF(COUNTIF((rName rData),H1068),"","Name Error!")</f>
        <v>#NAME?</v>
      </c>
    </row>
    <row r="1069" spans="2:9" s="126" customFormat="1" ht="15" customHeight="1" x14ac:dyDescent="0.25">
      <c r="B1069" s="271" t="s">
        <v>341</v>
      </c>
      <c r="C1069" s="272" t="s">
        <v>340</v>
      </c>
      <c r="D1069" s="275" t="s">
        <v>216</v>
      </c>
      <c r="E1069" s="275">
        <v>41397.391793981478</v>
      </c>
      <c r="F1069" s="276">
        <v>1</v>
      </c>
      <c r="G1069" s="243">
        <f t="shared" si="17"/>
        <v>83</v>
      </c>
      <c r="H1069" s="244"/>
      <c r="I1069" s="71" t="e">
        <f>IF(COUNTIF((rName rData),H1069),"","Name Error!")</f>
        <v>#NAME?</v>
      </c>
    </row>
    <row r="1070" spans="2:9" s="126" customFormat="1" ht="15" customHeight="1" x14ac:dyDescent="0.25">
      <c r="B1070" s="271" t="s">
        <v>350</v>
      </c>
      <c r="C1070" s="272" t="s">
        <v>349</v>
      </c>
      <c r="D1070" s="275" t="s">
        <v>216</v>
      </c>
      <c r="E1070" s="275">
        <v>41397.516643518517</v>
      </c>
      <c r="F1070" s="276">
        <v>1</v>
      </c>
      <c r="G1070" s="243">
        <f t="shared" si="17"/>
        <v>83</v>
      </c>
      <c r="H1070" s="244"/>
      <c r="I1070" s="71" t="e">
        <f>IF(COUNTIF((rName rData),H1070),"","Name Error!")</f>
        <v>#NAME?</v>
      </c>
    </row>
    <row r="1071" spans="2:9" s="126" customFormat="1" ht="15" customHeight="1" x14ac:dyDescent="0.25">
      <c r="B1071" s="271" t="s">
        <v>352</v>
      </c>
      <c r="C1071" s="272" t="s">
        <v>351</v>
      </c>
      <c r="D1071" s="275" t="s">
        <v>216</v>
      </c>
      <c r="E1071" s="275">
        <v>41397.664525462962</v>
      </c>
      <c r="F1071" s="276">
        <v>1</v>
      </c>
      <c r="G1071" s="243">
        <f t="shared" si="17"/>
        <v>83</v>
      </c>
      <c r="H1071" s="244"/>
      <c r="I1071" s="71" t="e">
        <f>IF(COUNTIF((rName rData),H1071),"","Name Error!")</f>
        <v>#NAME?</v>
      </c>
    </row>
    <row r="1072" spans="2:9" s="126" customFormat="1" ht="15" customHeight="1" x14ac:dyDescent="0.25">
      <c r="B1072" s="271" t="s">
        <v>343</v>
      </c>
      <c r="C1072" s="272" t="s">
        <v>342</v>
      </c>
      <c r="D1072" s="275" t="s">
        <v>216</v>
      </c>
      <c r="E1072" s="275">
        <v>41397.789444444446</v>
      </c>
      <c r="F1072" s="276">
        <v>1</v>
      </c>
      <c r="G1072" s="243">
        <f t="shared" si="17"/>
        <v>83</v>
      </c>
      <c r="H1072" s="244"/>
      <c r="I1072" s="71" t="e">
        <f>IF(COUNTIF((rName rData),H1072),"","Name Error!")</f>
        <v>#NAME?</v>
      </c>
    </row>
    <row r="1073" spans="2:9" s="126" customFormat="1" ht="15" customHeight="1" x14ac:dyDescent="0.25">
      <c r="B1073" s="271" t="s">
        <v>358</v>
      </c>
      <c r="C1073" s="272" t="s">
        <v>357</v>
      </c>
      <c r="D1073" s="275" t="s">
        <v>216</v>
      </c>
      <c r="E1073" s="275">
        <v>41397.858206018522</v>
      </c>
      <c r="F1073" s="276">
        <v>1</v>
      </c>
      <c r="G1073" s="243">
        <f t="shared" si="17"/>
        <v>83</v>
      </c>
      <c r="H1073" s="244"/>
      <c r="I1073" s="71" t="e">
        <f>IF(COUNTIF((rName rData),H1073),"","Name Error!")</f>
        <v>#NAME?</v>
      </c>
    </row>
    <row r="1074" spans="2:9" s="126" customFormat="1" ht="15" customHeight="1" x14ac:dyDescent="0.25">
      <c r="B1074" s="271" t="s">
        <v>328</v>
      </c>
      <c r="C1074" s="272" t="s">
        <v>327</v>
      </c>
      <c r="D1074" s="275" t="s">
        <v>216</v>
      </c>
      <c r="E1074" s="275">
        <v>41398.07712962963</v>
      </c>
      <c r="F1074" s="276">
        <v>3</v>
      </c>
      <c r="G1074" s="243">
        <f t="shared" si="17"/>
        <v>84</v>
      </c>
      <c r="H1074" s="244"/>
      <c r="I1074" s="71" t="e">
        <f>IF(COUNTIF((rName rData),H1074),"","Name Error!")</f>
        <v>#NAME?</v>
      </c>
    </row>
    <row r="1075" spans="2:9" s="126" customFormat="1" ht="15" customHeight="1" x14ac:dyDescent="0.25">
      <c r="B1075" s="271" t="s">
        <v>279</v>
      </c>
      <c r="C1075" s="272" t="s">
        <v>280</v>
      </c>
      <c r="D1075" s="275" t="s">
        <v>216</v>
      </c>
      <c r="E1075" s="275">
        <v>41398.096145833333</v>
      </c>
      <c r="F1075" s="276">
        <v>1</v>
      </c>
      <c r="G1075" s="243">
        <f t="shared" si="17"/>
        <v>84</v>
      </c>
      <c r="H1075" s="244"/>
      <c r="I1075" s="71" t="e">
        <f>IF(COUNTIF((rName rData),H1075),"","Name Error!")</f>
        <v>#NAME?</v>
      </c>
    </row>
    <row r="1076" spans="2:9" s="126" customFormat="1" ht="15" customHeight="1" x14ac:dyDescent="0.25">
      <c r="B1076" s="271" t="s">
        <v>358</v>
      </c>
      <c r="C1076" s="272" t="s">
        <v>357</v>
      </c>
      <c r="D1076" s="275" t="s">
        <v>216</v>
      </c>
      <c r="E1076" s="275">
        <v>41398.5234837963</v>
      </c>
      <c r="F1076" s="276">
        <v>2</v>
      </c>
      <c r="G1076" s="243">
        <f t="shared" si="17"/>
        <v>84</v>
      </c>
      <c r="H1076" s="244"/>
      <c r="I1076" s="71" t="e">
        <f>IF(COUNTIF((rName rData),H1076),"","Name Error!")</f>
        <v>#NAME?</v>
      </c>
    </row>
    <row r="1077" spans="2:9" s="126" customFormat="1" ht="15" customHeight="1" x14ac:dyDescent="0.25">
      <c r="B1077" s="271" t="s">
        <v>350</v>
      </c>
      <c r="C1077" s="272" t="s">
        <v>349</v>
      </c>
      <c r="D1077" s="275" t="s">
        <v>216</v>
      </c>
      <c r="E1077" s="275">
        <v>41398.614398148151</v>
      </c>
      <c r="F1077" s="276">
        <v>1</v>
      </c>
      <c r="G1077" s="243">
        <f t="shared" si="17"/>
        <v>84</v>
      </c>
      <c r="H1077" s="244"/>
      <c r="I1077" s="71" t="e">
        <f>IF(COUNTIF((rName rData),H1077),"","Name Error!")</f>
        <v>#NAME?</v>
      </c>
    </row>
    <row r="1078" spans="2:9" s="126" customFormat="1" ht="15" customHeight="1" x14ac:dyDescent="0.25">
      <c r="B1078" s="271" t="s">
        <v>341</v>
      </c>
      <c r="C1078" s="272" t="s">
        <v>340</v>
      </c>
      <c r="D1078" s="275" t="s">
        <v>216</v>
      </c>
      <c r="E1078" s="275">
        <v>41398.660914351851</v>
      </c>
      <c r="F1078" s="276">
        <v>3</v>
      </c>
      <c r="G1078" s="243">
        <f t="shared" si="17"/>
        <v>84</v>
      </c>
      <c r="H1078" s="244"/>
      <c r="I1078" s="71" t="e">
        <f>IF(COUNTIF((rName rData),H1078),"","Name Error!")</f>
        <v>#NAME?</v>
      </c>
    </row>
    <row r="1079" spans="2:9" s="126" customFormat="1" ht="15" customHeight="1" x14ac:dyDescent="0.25">
      <c r="B1079" s="271" t="s">
        <v>267</v>
      </c>
      <c r="C1079" s="272" t="s">
        <v>268</v>
      </c>
      <c r="D1079" s="275" t="s">
        <v>216</v>
      </c>
      <c r="E1079" s="275">
        <v>41399.11042824074</v>
      </c>
      <c r="F1079" s="276">
        <v>1</v>
      </c>
      <c r="G1079" s="243">
        <f t="shared" si="17"/>
        <v>84</v>
      </c>
      <c r="H1079" s="244"/>
      <c r="I1079" s="71" t="e">
        <f>IF(COUNTIF((rName rData),H1079),"","Name Error!")</f>
        <v>#NAME?</v>
      </c>
    </row>
    <row r="1080" spans="2:9" s="126" customFormat="1" ht="15" customHeight="1" x14ac:dyDescent="0.25">
      <c r="B1080" s="271" t="s">
        <v>358</v>
      </c>
      <c r="C1080" s="272" t="s">
        <v>357</v>
      </c>
      <c r="D1080" s="275" t="s">
        <v>216</v>
      </c>
      <c r="E1080" s="275">
        <v>41399.37972222222</v>
      </c>
      <c r="F1080" s="276">
        <v>2</v>
      </c>
      <c r="G1080" s="243">
        <f t="shared" si="17"/>
        <v>84</v>
      </c>
      <c r="H1080" s="244"/>
      <c r="I1080" s="71" t="e">
        <f>IF(COUNTIF((rName rData),H1080),"","Name Error!")</f>
        <v>#NAME?</v>
      </c>
    </row>
    <row r="1081" spans="2:9" s="126" customFormat="1" ht="15" customHeight="1" x14ac:dyDescent="0.25">
      <c r="B1081" s="271" t="s">
        <v>341</v>
      </c>
      <c r="C1081" s="272" t="s">
        <v>340</v>
      </c>
      <c r="D1081" s="275" t="s">
        <v>216</v>
      </c>
      <c r="E1081" s="275">
        <v>41399.417118055557</v>
      </c>
      <c r="F1081" s="276">
        <v>3</v>
      </c>
      <c r="G1081" s="243">
        <f t="shared" si="17"/>
        <v>84</v>
      </c>
      <c r="H1081" s="244"/>
      <c r="I1081" s="71" t="e">
        <f>IF(COUNTIF((rName rData),H1081),"","Name Error!")</f>
        <v>#NAME?</v>
      </c>
    </row>
    <row r="1082" spans="2:9" s="126" customFormat="1" ht="15" customHeight="1" x14ac:dyDescent="0.25">
      <c r="B1082" s="271" t="s">
        <v>328</v>
      </c>
      <c r="C1082" s="272" t="s">
        <v>327</v>
      </c>
      <c r="D1082" s="275" t="s">
        <v>216</v>
      </c>
      <c r="E1082" s="275">
        <v>41399.864791666667</v>
      </c>
      <c r="F1082" s="276">
        <v>1</v>
      </c>
      <c r="G1082" s="243">
        <f t="shared" si="17"/>
        <v>84</v>
      </c>
      <c r="H1082" s="244"/>
      <c r="I1082" s="71" t="e">
        <f>IF(COUNTIF((rName rData),H1082),"","Name Error!")</f>
        <v>#NAME?</v>
      </c>
    </row>
    <row r="1083" spans="2:9" s="126" customFormat="1" ht="15" customHeight="1" x14ac:dyDescent="0.25">
      <c r="B1083" s="271" t="s">
        <v>350</v>
      </c>
      <c r="C1083" s="272" t="s">
        <v>349</v>
      </c>
      <c r="D1083" s="275" t="s">
        <v>216</v>
      </c>
      <c r="E1083" s="275">
        <v>41399.896296296298</v>
      </c>
      <c r="F1083" s="276">
        <v>1</v>
      </c>
      <c r="G1083" s="243">
        <f t="shared" si="17"/>
        <v>84</v>
      </c>
      <c r="H1083" s="244"/>
      <c r="I1083" s="71" t="e">
        <f>IF(COUNTIF((rName rData),H1083),"","Name Error!")</f>
        <v>#NAME?</v>
      </c>
    </row>
    <row r="1084" spans="2:9" s="126" customFormat="1" ht="15" customHeight="1" x14ac:dyDescent="0.25">
      <c r="B1084" s="271" t="s">
        <v>343</v>
      </c>
      <c r="C1084" s="272" t="s">
        <v>342</v>
      </c>
      <c r="D1084" s="275" t="s">
        <v>216</v>
      </c>
      <c r="E1084" s="275">
        <v>41400.649131944447</v>
      </c>
      <c r="F1084" s="276">
        <v>2</v>
      </c>
      <c r="G1084" s="243">
        <f t="shared" si="17"/>
        <v>84</v>
      </c>
      <c r="H1084" s="244"/>
      <c r="I1084" s="71" t="e">
        <f>IF(COUNTIF((rName rData),H1084),"","Name Error!")</f>
        <v>#NAME?</v>
      </c>
    </row>
    <row r="1085" spans="2:9" s="126" customFormat="1" ht="15" customHeight="1" x14ac:dyDescent="0.25">
      <c r="B1085" s="271" t="s">
        <v>352</v>
      </c>
      <c r="C1085" s="272" t="s">
        <v>351</v>
      </c>
      <c r="D1085" s="275" t="s">
        <v>216</v>
      </c>
      <c r="E1085" s="275">
        <v>41400.768703703703</v>
      </c>
      <c r="F1085" s="276">
        <v>1</v>
      </c>
      <c r="G1085" s="243">
        <f t="shared" si="17"/>
        <v>84</v>
      </c>
      <c r="H1085" s="244"/>
      <c r="I1085" s="71" t="e">
        <f>IF(COUNTIF((rName rData),H1085),"","Name Error!")</f>
        <v>#NAME?</v>
      </c>
    </row>
    <row r="1086" spans="2:9" s="126" customFormat="1" ht="15" customHeight="1" x14ac:dyDescent="0.25">
      <c r="B1086" s="271" t="s">
        <v>358</v>
      </c>
      <c r="C1086" s="272" t="s">
        <v>357</v>
      </c>
      <c r="D1086" s="275" t="s">
        <v>216</v>
      </c>
      <c r="E1086" s="275">
        <v>41400.909560185188</v>
      </c>
      <c r="F1086" s="276">
        <v>1</v>
      </c>
      <c r="G1086" s="243">
        <f t="shared" si="17"/>
        <v>84</v>
      </c>
      <c r="H1086" s="244"/>
      <c r="I1086" s="71" t="e">
        <f>IF(COUNTIF((rName rData),H1086),"","Name Error!")</f>
        <v>#NAME?</v>
      </c>
    </row>
    <row r="1087" spans="2:9" s="126" customFormat="1" ht="15" customHeight="1" x14ac:dyDescent="0.25">
      <c r="B1087" s="271" t="s">
        <v>267</v>
      </c>
      <c r="C1087" s="272" t="s">
        <v>268</v>
      </c>
      <c r="D1087" s="275" t="s">
        <v>216</v>
      </c>
      <c r="E1087" s="275">
        <v>41401.287499999999</v>
      </c>
      <c r="F1087" s="276">
        <v>1</v>
      </c>
      <c r="G1087" s="243">
        <f t="shared" si="17"/>
        <v>84</v>
      </c>
      <c r="H1087" s="244"/>
      <c r="I1087" s="71" t="e">
        <f>IF(COUNTIF((rName rData),H1087),"","Name Error!")</f>
        <v>#NAME?</v>
      </c>
    </row>
    <row r="1088" spans="2:9" s="126" customFormat="1" ht="15" customHeight="1" x14ac:dyDescent="0.25">
      <c r="B1088" s="271" t="s">
        <v>352</v>
      </c>
      <c r="C1088" s="272" t="s">
        <v>351</v>
      </c>
      <c r="D1088" s="275" t="s">
        <v>216</v>
      </c>
      <c r="E1088" s="275">
        <v>41401.685960648145</v>
      </c>
      <c r="F1088" s="276">
        <v>1</v>
      </c>
      <c r="G1088" s="243">
        <f t="shared" si="17"/>
        <v>84</v>
      </c>
      <c r="H1088" s="244"/>
      <c r="I1088" s="71" t="e">
        <f>IF(COUNTIF((rName rData),H1088),"","Name Error!")</f>
        <v>#NAME?</v>
      </c>
    </row>
    <row r="1089" spans="2:9" s="126" customFormat="1" ht="15" customHeight="1" x14ac:dyDescent="0.25">
      <c r="B1089" s="271" t="s">
        <v>358</v>
      </c>
      <c r="C1089" s="272" t="s">
        <v>357</v>
      </c>
      <c r="D1089" s="275" t="s">
        <v>216</v>
      </c>
      <c r="E1089" s="275">
        <v>41401.872361111113</v>
      </c>
      <c r="F1089" s="276">
        <v>2</v>
      </c>
      <c r="G1089" s="243">
        <f t="shared" si="17"/>
        <v>84</v>
      </c>
      <c r="H1089" s="244"/>
      <c r="I1089" s="71" t="e">
        <f>IF(COUNTIF((rName rData),H1089),"","Name Error!")</f>
        <v>#NAME?</v>
      </c>
    </row>
    <row r="1090" spans="2:9" s="126" customFormat="1" ht="15" customHeight="1" x14ac:dyDescent="0.25">
      <c r="B1090" s="271" t="s">
        <v>267</v>
      </c>
      <c r="C1090" s="272" t="s">
        <v>268</v>
      </c>
      <c r="D1090" s="275" t="s">
        <v>216</v>
      </c>
      <c r="E1090" s="275">
        <v>41402.267071759263</v>
      </c>
      <c r="F1090" s="276">
        <v>3</v>
      </c>
      <c r="G1090" s="243">
        <f t="shared" si="17"/>
        <v>84</v>
      </c>
      <c r="H1090" s="244"/>
      <c r="I1090" s="71" t="e">
        <f>IF(COUNTIF((rName rData),H1090),"","Name Error!")</f>
        <v>#NAME?</v>
      </c>
    </row>
    <row r="1091" spans="2:9" s="126" customFormat="1" ht="15" customHeight="1" x14ac:dyDescent="0.25">
      <c r="B1091" s="271" t="s">
        <v>358</v>
      </c>
      <c r="C1091" s="272" t="s">
        <v>357</v>
      </c>
      <c r="D1091" s="275" t="s">
        <v>216</v>
      </c>
      <c r="E1091" s="275">
        <v>41402.858078703706</v>
      </c>
      <c r="F1091" s="276">
        <v>2</v>
      </c>
      <c r="G1091" s="243">
        <f t="shared" si="17"/>
        <v>84</v>
      </c>
      <c r="H1091" s="244"/>
      <c r="I1091" s="71" t="e">
        <f>IF(COUNTIF((rName rData),H1091),"","Name Error!")</f>
        <v>#NAME?</v>
      </c>
    </row>
    <row r="1092" spans="2:9" s="126" customFormat="1" ht="15" customHeight="1" x14ac:dyDescent="0.25">
      <c r="B1092" s="271" t="s">
        <v>341</v>
      </c>
      <c r="C1092" s="272" t="s">
        <v>340</v>
      </c>
      <c r="D1092" s="275" t="s">
        <v>216</v>
      </c>
      <c r="E1092" s="275">
        <v>41402.869189814817</v>
      </c>
      <c r="F1092" s="276">
        <v>1</v>
      </c>
      <c r="G1092" s="243">
        <f t="shared" si="17"/>
        <v>84</v>
      </c>
      <c r="H1092" s="244"/>
      <c r="I1092" s="71" t="e">
        <f>IF(COUNTIF((rName rData),H1092),"","Name Error!")</f>
        <v>#NAME?</v>
      </c>
    </row>
    <row r="1093" spans="2:9" s="126" customFormat="1" ht="15" customHeight="1" x14ac:dyDescent="0.25">
      <c r="B1093" s="271" t="s">
        <v>328</v>
      </c>
      <c r="C1093" s="272" t="s">
        <v>327</v>
      </c>
      <c r="D1093" s="275" t="s">
        <v>216</v>
      </c>
      <c r="E1093" s="275">
        <v>41402.94021990741</v>
      </c>
      <c r="F1093" s="276">
        <v>1</v>
      </c>
      <c r="G1093" s="243">
        <f t="shared" si="17"/>
        <v>84</v>
      </c>
      <c r="H1093" s="244"/>
      <c r="I1093" s="71" t="e">
        <f>IF(COUNTIF((rName rData),H1093),"","Name Error!")</f>
        <v>#NAME?</v>
      </c>
    </row>
    <row r="1094" spans="2:9" s="126" customFormat="1" ht="15" customHeight="1" x14ac:dyDescent="0.25">
      <c r="B1094" s="271" t="s">
        <v>341</v>
      </c>
      <c r="C1094" s="272" t="s">
        <v>340</v>
      </c>
      <c r="D1094" s="275" t="s">
        <v>216</v>
      </c>
      <c r="E1094" s="275">
        <v>41403.624178240738</v>
      </c>
      <c r="F1094" s="276">
        <v>2</v>
      </c>
      <c r="G1094" s="243">
        <f t="shared" si="17"/>
        <v>84</v>
      </c>
      <c r="H1094" s="244"/>
      <c r="I1094" s="71" t="e">
        <f>IF(COUNTIF((rName rData),H1094),"","Name Error!")</f>
        <v>#NAME?</v>
      </c>
    </row>
    <row r="1095" spans="2:9" s="126" customFormat="1" ht="15" customHeight="1" x14ac:dyDescent="0.25">
      <c r="B1095" s="271" t="s">
        <v>350</v>
      </c>
      <c r="C1095" s="272" t="s">
        <v>349</v>
      </c>
      <c r="D1095" s="275" t="s">
        <v>216</v>
      </c>
      <c r="E1095" s="275">
        <v>41403.652233796296</v>
      </c>
      <c r="F1095" s="276">
        <v>1</v>
      </c>
      <c r="G1095" s="243">
        <f t="shared" si="17"/>
        <v>84</v>
      </c>
      <c r="H1095" s="244"/>
      <c r="I1095" s="71" t="e">
        <f>IF(COUNTIF((rName rData),H1095),"","Name Error!")</f>
        <v>#NAME?</v>
      </c>
    </row>
    <row r="1096" spans="2:9" s="126" customFormat="1" ht="15" customHeight="1" x14ac:dyDescent="0.25">
      <c r="B1096" s="271" t="s">
        <v>352</v>
      </c>
      <c r="C1096" s="272" t="s">
        <v>351</v>
      </c>
      <c r="D1096" s="275" t="s">
        <v>216</v>
      </c>
      <c r="E1096" s="275">
        <v>41403.676446759258</v>
      </c>
      <c r="F1096" s="276">
        <v>3</v>
      </c>
      <c r="G1096" s="243">
        <f t="shared" si="17"/>
        <v>84</v>
      </c>
      <c r="H1096" s="244"/>
      <c r="I1096" s="71" t="e">
        <f>IF(COUNTIF((rName rData),H1096),"","Name Error!")</f>
        <v>#NAME?</v>
      </c>
    </row>
    <row r="1097" spans="2:9" s="126" customFormat="1" ht="15" customHeight="1" x14ac:dyDescent="0.25">
      <c r="B1097" s="271" t="s">
        <v>358</v>
      </c>
      <c r="C1097" s="272" t="s">
        <v>357</v>
      </c>
      <c r="D1097" s="275" t="s">
        <v>216</v>
      </c>
      <c r="E1097" s="275">
        <v>41403.787476851852</v>
      </c>
      <c r="F1097" s="276">
        <v>2</v>
      </c>
      <c r="G1097" s="243">
        <f t="shared" si="17"/>
        <v>84</v>
      </c>
      <c r="H1097" s="244"/>
      <c r="I1097" s="71" t="e">
        <f>IF(COUNTIF((rName rData),H1097),"","Name Error!")</f>
        <v>#NAME?</v>
      </c>
    </row>
    <row r="1098" spans="2:9" s="126" customFormat="1" ht="15" customHeight="1" x14ac:dyDescent="0.25">
      <c r="B1098" s="271" t="s">
        <v>267</v>
      </c>
      <c r="C1098" s="272" t="s">
        <v>268</v>
      </c>
      <c r="D1098" s="275" t="s">
        <v>216</v>
      </c>
      <c r="E1098" s="275">
        <v>41403.849861111114</v>
      </c>
      <c r="F1098" s="276">
        <v>2</v>
      </c>
      <c r="G1098" s="243">
        <f t="shared" ref="G1098:G1161" si="18">TRUNC((E1098-start)/7)+1</f>
        <v>84</v>
      </c>
      <c r="H1098" s="244"/>
      <c r="I1098" s="71" t="e">
        <f>IF(COUNTIF((rName rData),H1098),"","Name Error!")</f>
        <v>#NAME?</v>
      </c>
    </row>
    <row r="1099" spans="2:9" s="126" customFormat="1" ht="15" customHeight="1" x14ac:dyDescent="0.25">
      <c r="B1099" s="271" t="s">
        <v>328</v>
      </c>
      <c r="C1099" s="272" t="s">
        <v>327</v>
      </c>
      <c r="D1099" s="275" t="s">
        <v>216</v>
      </c>
      <c r="E1099" s="275">
        <v>41403.936747685184</v>
      </c>
      <c r="F1099" s="276">
        <v>1</v>
      </c>
      <c r="G1099" s="243">
        <f t="shared" si="18"/>
        <v>84</v>
      </c>
      <c r="H1099" s="244"/>
      <c r="I1099" s="71" t="e">
        <f>IF(COUNTIF((rName rData),H1099),"","Name Error!")</f>
        <v>#NAME?</v>
      </c>
    </row>
    <row r="1100" spans="2:9" s="126" customFormat="1" ht="15" customHeight="1" x14ac:dyDescent="0.25">
      <c r="B1100" s="271" t="s">
        <v>279</v>
      </c>
      <c r="C1100" s="272" t="s">
        <v>280</v>
      </c>
      <c r="D1100" s="275" t="s">
        <v>216</v>
      </c>
      <c r="E1100" s="275">
        <v>41404.105567129627</v>
      </c>
      <c r="F1100" s="276">
        <v>3</v>
      </c>
      <c r="G1100" s="243">
        <f t="shared" si="18"/>
        <v>84</v>
      </c>
      <c r="H1100" s="244"/>
      <c r="I1100" s="71" t="e">
        <f>IF(COUNTIF((rName rData),H1100),"","Name Error!")</f>
        <v>#NAME?</v>
      </c>
    </row>
    <row r="1101" spans="2:9" s="126" customFormat="1" ht="15" customHeight="1" x14ac:dyDescent="0.25">
      <c r="B1101" s="271" t="s">
        <v>343</v>
      </c>
      <c r="C1101" s="272" t="s">
        <v>342</v>
      </c>
      <c r="D1101" s="275" t="s">
        <v>216</v>
      </c>
      <c r="E1101" s="275">
        <v>41404.505925925929</v>
      </c>
      <c r="F1101" s="276">
        <v>1</v>
      </c>
      <c r="G1101" s="243">
        <f t="shared" si="18"/>
        <v>84</v>
      </c>
      <c r="H1101" s="244"/>
      <c r="I1101" s="71" t="e">
        <f>IF(COUNTIF((rName rData),H1101),"","Name Error!")</f>
        <v>#NAME?</v>
      </c>
    </row>
    <row r="1102" spans="2:9" s="126" customFormat="1" ht="15" customHeight="1" x14ac:dyDescent="0.25">
      <c r="B1102" s="271" t="s">
        <v>267</v>
      </c>
      <c r="C1102" s="272" t="s">
        <v>268</v>
      </c>
      <c r="D1102" s="275" t="s">
        <v>216</v>
      </c>
      <c r="E1102" s="275">
        <v>41404.789074074077</v>
      </c>
      <c r="F1102" s="276">
        <v>2</v>
      </c>
      <c r="G1102" s="243">
        <f t="shared" si="18"/>
        <v>84</v>
      </c>
      <c r="H1102" s="244"/>
      <c r="I1102" s="71" t="e">
        <f>IF(COUNTIF((rName rData),H1102),"","Name Error!")</f>
        <v>#NAME?</v>
      </c>
    </row>
    <row r="1103" spans="2:9" s="126" customFormat="1" ht="15" customHeight="1" x14ac:dyDescent="0.25">
      <c r="B1103" s="271" t="s">
        <v>350</v>
      </c>
      <c r="C1103" s="272" t="s">
        <v>349</v>
      </c>
      <c r="D1103" s="275" t="s">
        <v>216</v>
      </c>
      <c r="E1103" s="275">
        <v>41404.880567129629</v>
      </c>
      <c r="F1103" s="276">
        <v>2</v>
      </c>
      <c r="G1103" s="243">
        <f t="shared" si="18"/>
        <v>84</v>
      </c>
      <c r="H1103" s="244"/>
      <c r="I1103" s="71" t="e">
        <f>IF(COUNTIF((rName rData),H1103),"","Name Error!")</f>
        <v>#NAME?</v>
      </c>
    </row>
    <row r="1104" spans="2:9" s="126" customFormat="1" ht="15" customHeight="1" x14ac:dyDescent="0.25">
      <c r="B1104" s="271" t="s">
        <v>267</v>
      </c>
      <c r="C1104" s="272" t="s">
        <v>268</v>
      </c>
      <c r="D1104" s="275" t="s">
        <v>216</v>
      </c>
      <c r="E1104" s="275">
        <v>41405.352349537039</v>
      </c>
      <c r="F1104" s="276">
        <v>2</v>
      </c>
      <c r="G1104" s="243">
        <f t="shared" si="18"/>
        <v>85</v>
      </c>
      <c r="H1104" s="244"/>
      <c r="I1104" s="71" t="e">
        <f>IF(COUNTIF((rName rData),H1104),"","Name Error!")</f>
        <v>#NAME?</v>
      </c>
    </row>
    <row r="1105" spans="2:9" s="126" customFormat="1" ht="15" customHeight="1" x14ac:dyDescent="0.25">
      <c r="B1105" s="271" t="s">
        <v>358</v>
      </c>
      <c r="C1105" s="272" t="s">
        <v>357</v>
      </c>
      <c r="D1105" s="275" t="s">
        <v>216</v>
      </c>
      <c r="E1105" s="275">
        <v>41405.708391203705</v>
      </c>
      <c r="F1105" s="276">
        <v>2</v>
      </c>
      <c r="G1105" s="243">
        <f t="shared" si="18"/>
        <v>85</v>
      </c>
      <c r="H1105" s="244"/>
      <c r="I1105" s="71" t="e">
        <f>IF(COUNTIF((rName rData),H1105),"","Name Error!")</f>
        <v>#NAME?</v>
      </c>
    </row>
    <row r="1106" spans="2:9" s="126" customFormat="1" ht="15" customHeight="1" x14ac:dyDescent="0.25">
      <c r="B1106" s="271" t="s">
        <v>328</v>
      </c>
      <c r="C1106" s="272" t="s">
        <v>327</v>
      </c>
      <c r="D1106" s="275" t="s">
        <v>216</v>
      </c>
      <c r="E1106" s="275">
        <v>41405.713703703703</v>
      </c>
      <c r="F1106" s="276">
        <v>1</v>
      </c>
      <c r="G1106" s="243">
        <f t="shared" si="18"/>
        <v>85</v>
      </c>
      <c r="H1106" s="244"/>
      <c r="I1106" s="71" t="e">
        <f>IF(COUNTIF((rName rData),H1106),"","Name Error!")</f>
        <v>#NAME?</v>
      </c>
    </row>
    <row r="1107" spans="2:9" s="126" customFormat="1" ht="15" customHeight="1" x14ac:dyDescent="0.25">
      <c r="B1107" s="271" t="s">
        <v>328</v>
      </c>
      <c r="C1107" s="272" t="s">
        <v>327</v>
      </c>
      <c r="D1107" s="275" t="s">
        <v>216</v>
      </c>
      <c r="E1107" s="275">
        <v>41406.023275462961</v>
      </c>
      <c r="F1107" s="276">
        <v>2</v>
      </c>
      <c r="G1107" s="243">
        <f t="shared" si="18"/>
        <v>85</v>
      </c>
      <c r="H1107" s="244"/>
      <c r="I1107" s="71" t="e">
        <f>IF(COUNTIF((rName rData),H1107),"","Name Error!")</f>
        <v>#NAME?</v>
      </c>
    </row>
    <row r="1108" spans="2:9" s="126" customFormat="1" ht="15" customHeight="1" x14ac:dyDescent="0.25">
      <c r="B1108" s="271" t="s">
        <v>333</v>
      </c>
      <c r="C1108" s="272" t="s">
        <v>332</v>
      </c>
      <c r="D1108" s="275" t="s">
        <v>216</v>
      </c>
      <c r="E1108" s="275">
        <v>41406.066655092596</v>
      </c>
      <c r="F1108" s="276">
        <v>1</v>
      </c>
      <c r="G1108" s="243">
        <f t="shared" si="18"/>
        <v>85</v>
      </c>
      <c r="H1108" s="244"/>
      <c r="I1108" s="71" t="e">
        <f>IF(COUNTIF((rName rData),H1108),"","Name Error!")</f>
        <v>#NAME?</v>
      </c>
    </row>
    <row r="1109" spans="2:9" s="126" customFormat="1" ht="15" customHeight="1" x14ac:dyDescent="0.25">
      <c r="B1109" s="271" t="s">
        <v>358</v>
      </c>
      <c r="C1109" s="272" t="s">
        <v>357</v>
      </c>
      <c r="D1109" s="275" t="s">
        <v>216</v>
      </c>
      <c r="E1109" s="275">
        <v>41406.30201388889</v>
      </c>
      <c r="F1109" s="276">
        <v>5</v>
      </c>
      <c r="G1109" s="243">
        <f t="shared" si="18"/>
        <v>85</v>
      </c>
      <c r="H1109" s="244"/>
      <c r="I1109" s="71" t="e">
        <f>IF(COUNTIF((rName rData),H1109),"","Name Error!")</f>
        <v>#NAME?</v>
      </c>
    </row>
    <row r="1110" spans="2:9" s="126" customFormat="1" ht="15" customHeight="1" x14ac:dyDescent="0.25">
      <c r="B1110" s="271" t="s">
        <v>267</v>
      </c>
      <c r="C1110" s="272" t="s">
        <v>268</v>
      </c>
      <c r="D1110" s="275" t="s">
        <v>216</v>
      </c>
      <c r="E1110" s="275">
        <v>41406.3987037037</v>
      </c>
      <c r="F1110" s="276">
        <v>3</v>
      </c>
      <c r="G1110" s="243">
        <f t="shared" si="18"/>
        <v>85</v>
      </c>
      <c r="H1110" s="244"/>
      <c r="I1110" s="71" t="e">
        <f>IF(COUNTIF((rName rData),H1110),"","Name Error!")</f>
        <v>#NAME?</v>
      </c>
    </row>
    <row r="1111" spans="2:9" s="126" customFormat="1" ht="15" customHeight="1" x14ac:dyDescent="0.25">
      <c r="B1111" s="271" t="s">
        <v>352</v>
      </c>
      <c r="C1111" s="272" t="s">
        <v>351</v>
      </c>
      <c r="D1111" s="275" t="s">
        <v>216</v>
      </c>
      <c r="E1111" s="275">
        <v>41406.488217592596</v>
      </c>
      <c r="F1111" s="276">
        <v>2</v>
      </c>
      <c r="G1111" s="243">
        <f t="shared" si="18"/>
        <v>85</v>
      </c>
      <c r="H1111" s="244"/>
      <c r="I1111" s="71" t="e">
        <f>IF(COUNTIF((rName rData),H1111),"","Name Error!")</f>
        <v>#NAME?</v>
      </c>
    </row>
    <row r="1112" spans="2:9" s="126" customFormat="1" ht="15" customHeight="1" x14ac:dyDescent="0.25">
      <c r="B1112" s="271" t="s">
        <v>341</v>
      </c>
      <c r="C1112" s="272" t="s">
        <v>340</v>
      </c>
      <c r="D1112" s="275" t="s">
        <v>216</v>
      </c>
      <c r="E1112" s="275">
        <v>41406.503668981481</v>
      </c>
      <c r="F1112" s="276">
        <v>2</v>
      </c>
      <c r="G1112" s="243">
        <f t="shared" si="18"/>
        <v>85</v>
      </c>
      <c r="H1112" s="244"/>
      <c r="I1112" s="71" t="e">
        <f>IF(COUNTIF((rName rData),H1112),"","Name Error!")</f>
        <v>#NAME?</v>
      </c>
    </row>
    <row r="1113" spans="2:9" s="126" customFormat="1" ht="15" customHeight="1" x14ac:dyDescent="0.25">
      <c r="B1113" s="271" t="s">
        <v>350</v>
      </c>
      <c r="C1113" s="272" t="s">
        <v>349</v>
      </c>
      <c r="D1113" s="275" t="s">
        <v>216</v>
      </c>
      <c r="E1113" s="275">
        <v>41406.579131944447</v>
      </c>
      <c r="F1113" s="276">
        <v>3</v>
      </c>
      <c r="G1113" s="243">
        <f t="shared" si="18"/>
        <v>85</v>
      </c>
      <c r="H1113" s="244"/>
      <c r="I1113" s="71" t="e">
        <f>IF(COUNTIF((rName rData),H1113),"","Name Error!")</f>
        <v>#NAME?</v>
      </c>
    </row>
    <row r="1114" spans="2:9" s="126" customFormat="1" ht="15" customHeight="1" x14ac:dyDescent="0.25">
      <c r="B1114" s="271" t="s">
        <v>279</v>
      </c>
      <c r="C1114" s="272" t="s">
        <v>280</v>
      </c>
      <c r="D1114" s="275" t="s">
        <v>216</v>
      </c>
      <c r="E1114" s="275">
        <v>41406.881921296299</v>
      </c>
      <c r="F1114" s="276">
        <v>2</v>
      </c>
      <c r="G1114" s="243">
        <f t="shared" si="18"/>
        <v>85</v>
      </c>
      <c r="H1114" s="244"/>
      <c r="I1114" s="71" t="e">
        <f>IF(COUNTIF((rName rData),H1114),"","Name Error!")</f>
        <v>#NAME?</v>
      </c>
    </row>
    <row r="1115" spans="2:9" s="126" customFormat="1" ht="15" customHeight="1" x14ac:dyDescent="0.25">
      <c r="B1115" s="271" t="s">
        <v>267</v>
      </c>
      <c r="C1115" s="272" t="s">
        <v>268</v>
      </c>
      <c r="D1115" s="275" t="s">
        <v>216</v>
      </c>
      <c r="E1115" s="275">
        <v>41407.796944444446</v>
      </c>
      <c r="F1115" s="276">
        <v>1</v>
      </c>
      <c r="G1115" s="243">
        <f t="shared" si="18"/>
        <v>85</v>
      </c>
      <c r="H1115" s="244"/>
      <c r="I1115" s="71" t="e">
        <f>IF(COUNTIF((rName rData),H1115),"","Name Error!")</f>
        <v>#NAME?</v>
      </c>
    </row>
    <row r="1116" spans="2:9" s="126" customFormat="1" ht="15" customHeight="1" x14ac:dyDescent="0.25">
      <c r="B1116" s="271" t="s">
        <v>279</v>
      </c>
      <c r="C1116" s="272" t="s">
        <v>280</v>
      </c>
      <c r="D1116" s="275" t="s">
        <v>216</v>
      </c>
      <c r="E1116" s="275">
        <v>41407.866678240738</v>
      </c>
      <c r="F1116" s="276">
        <v>4</v>
      </c>
      <c r="G1116" s="243">
        <f t="shared" si="18"/>
        <v>85</v>
      </c>
      <c r="H1116" s="244"/>
      <c r="I1116" s="71" t="e">
        <f>IF(COUNTIF((rName rData),H1116),"","Name Error!")</f>
        <v>#NAME?</v>
      </c>
    </row>
    <row r="1117" spans="2:9" s="126" customFormat="1" ht="15" customHeight="1" x14ac:dyDescent="0.25">
      <c r="B1117" s="271" t="s">
        <v>341</v>
      </c>
      <c r="C1117" s="272" t="s">
        <v>340</v>
      </c>
      <c r="D1117" s="275" t="s">
        <v>216</v>
      </c>
      <c r="E1117" s="275">
        <v>41407.868020833332</v>
      </c>
      <c r="F1117" s="276">
        <v>1</v>
      </c>
      <c r="G1117" s="243">
        <f t="shared" si="18"/>
        <v>85</v>
      </c>
      <c r="H1117" s="244"/>
      <c r="I1117" s="71" t="e">
        <f>IF(COUNTIF((rName rData),H1117),"","Name Error!")</f>
        <v>#NAME?</v>
      </c>
    </row>
    <row r="1118" spans="2:9" s="126" customFormat="1" ht="15" customHeight="1" x14ac:dyDescent="0.25">
      <c r="B1118" s="271" t="s">
        <v>358</v>
      </c>
      <c r="C1118" s="272" t="s">
        <v>357</v>
      </c>
      <c r="D1118" s="275" t="s">
        <v>216</v>
      </c>
      <c r="E1118" s="275">
        <v>41407.883888888886</v>
      </c>
      <c r="F1118" s="276">
        <v>1</v>
      </c>
      <c r="G1118" s="243">
        <f t="shared" si="18"/>
        <v>85</v>
      </c>
      <c r="H1118" s="244"/>
      <c r="I1118" s="71" t="e">
        <f>IF(COUNTIF((rName rData),H1118),"","Name Error!")</f>
        <v>#NAME?</v>
      </c>
    </row>
    <row r="1119" spans="2:9" s="126" customFormat="1" ht="15" customHeight="1" x14ac:dyDescent="0.25">
      <c r="B1119" s="271" t="s">
        <v>279</v>
      </c>
      <c r="C1119" s="272" t="s">
        <v>280</v>
      </c>
      <c r="D1119" s="275" t="s">
        <v>216</v>
      </c>
      <c r="E1119" s="275">
        <v>41408.004305555558</v>
      </c>
      <c r="F1119" s="276">
        <v>1</v>
      </c>
      <c r="G1119" s="243">
        <f t="shared" si="18"/>
        <v>85</v>
      </c>
      <c r="H1119" s="244"/>
      <c r="I1119" s="71" t="e">
        <f>IF(COUNTIF((rName rData),H1119),"","Name Error!")</f>
        <v>#NAME?</v>
      </c>
    </row>
    <row r="1120" spans="2:9" s="126" customFormat="1" ht="15" customHeight="1" x14ac:dyDescent="0.25">
      <c r="B1120" s="271" t="s">
        <v>328</v>
      </c>
      <c r="C1120" s="272" t="s">
        <v>327</v>
      </c>
      <c r="D1120" s="275" t="s">
        <v>216</v>
      </c>
      <c r="E1120" s="275">
        <v>41408.026250000003</v>
      </c>
      <c r="F1120" s="276">
        <v>1</v>
      </c>
      <c r="G1120" s="243">
        <f t="shared" si="18"/>
        <v>85</v>
      </c>
      <c r="H1120" s="244"/>
      <c r="I1120" s="71" t="e">
        <f>IF(COUNTIF((rName rData),H1120),"","Name Error!")</f>
        <v>#NAME?</v>
      </c>
    </row>
    <row r="1121" spans="2:9" s="126" customFormat="1" ht="15" customHeight="1" x14ac:dyDescent="0.25">
      <c r="B1121" s="271" t="s">
        <v>267</v>
      </c>
      <c r="C1121" s="272" t="s">
        <v>268</v>
      </c>
      <c r="D1121" s="275" t="s">
        <v>216</v>
      </c>
      <c r="E1121" s="275">
        <v>41408.722592592596</v>
      </c>
      <c r="F1121" s="276">
        <v>3</v>
      </c>
      <c r="G1121" s="243">
        <f t="shared" si="18"/>
        <v>85</v>
      </c>
      <c r="H1121" s="244"/>
      <c r="I1121" s="71" t="e">
        <f>IF(COUNTIF((rName rData),H1121),"","Name Error!")</f>
        <v>#NAME?</v>
      </c>
    </row>
    <row r="1122" spans="2:9" s="126" customFormat="1" ht="15" customHeight="1" x14ac:dyDescent="0.25">
      <c r="B1122" s="271" t="s">
        <v>358</v>
      </c>
      <c r="C1122" s="272" t="s">
        <v>357</v>
      </c>
      <c r="D1122" s="275" t="s">
        <v>216</v>
      </c>
      <c r="E1122" s="275">
        <v>41408.727175925924</v>
      </c>
      <c r="F1122" s="276">
        <v>2</v>
      </c>
      <c r="G1122" s="243">
        <f t="shared" si="18"/>
        <v>85</v>
      </c>
      <c r="H1122" s="244"/>
      <c r="I1122" s="71" t="e">
        <f>IF(COUNTIF((rName rData),H1122),"","Name Error!")</f>
        <v>#NAME?</v>
      </c>
    </row>
    <row r="1123" spans="2:9" s="126" customFormat="1" ht="15" customHeight="1" x14ac:dyDescent="0.25">
      <c r="B1123" s="271" t="s">
        <v>350</v>
      </c>
      <c r="C1123" s="272" t="s">
        <v>349</v>
      </c>
      <c r="D1123" s="275" t="s">
        <v>216</v>
      </c>
      <c r="E1123" s="275">
        <v>41408.983923611115</v>
      </c>
      <c r="F1123" s="276">
        <v>1</v>
      </c>
      <c r="G1123" s="243">
        <f t="shared" si="18"/>
        <v>85</v>
      </c>
      <c r="H1123" s="244"/>
      <c r="I1123" s="71" t="e">
        <f>IF(COUNTIF((rName rData),H1123),"","Name Error!")</f>
        <v>#NAME?</v>
      </c>
    </row>
    <row r="1124" spans="2:9" s="126" customFormat="1" ht="15" customHeight="1" x14ac:dyDescent="0.25">
      <c r="B1124" s="271" t="s">
        <v>279</v>
      </c>
      <c r="C1124" s="272" t="s">
        <v>280</v>
      </c>
      <c r="D1124" s="275" t="s">
        <v>216</v>
      </c>
      <c r="E1124" s="275">
        <v>41409.585775462961</v>
      </c>
      <c r="F1124" s="276">
        <v>2</v>
      </c>
      <c r="G1124" s="243">
        <f t="shared" si="18"/>
        <v>85</v>
      </c>
      <c r="H1124" s="244"/>
      <c r="I1124" s="71" t="e">
        <f>IF(COUNTIF((rName rData),H1124),"","Name Error!")</f>
        <v>#NAME?</v>
      </c>
    </row>
    <row r="1125" spans="2:9" s="126" customFormat="1" ht="15" customHeight="1" x14ac:dyDescent="0.25">
      <c r="B1125" s="271" t="s">
        <v>352</v>
      </c>
      <c r="C1125" s="272" t="s">
        <v>351</v>
      </c>
      <c r="D1125" s="275" t="s">
        <v>216</v>
      </c>
      <c r="E1125" s="275">
        <v>41409.611168981479</v>
      </c>
      <c r="F1125" s="276">
        <v>1</v>
      </c>
      <c r="G1125" s="243">
        <f t="shared" si="18"/>
        <v>85</v>
      </c>
      <c r="H1125" s="244"/>
      <c r="I1125" s="71" t="e">
        <f>IF(COUNTIF((rName rData),H1125),"","Name Error!")</f>
        <v>#NAME?</v>
      </c>
    </row>
    <row r="1126" spans="2:9" s="126" customFormat="1" ht="15" customHeight="1" x14ac:dyDescent="0.25">
      <c r="B1126" s="271" t="s">
        <v>358</v>
      </c>
      <c r="C1126" s="272" t="s">
        <v>357</v>
      </c>
      <c r="D1126" s="275" t="s">
        <v>216</v>
      </c>
      <c r="E1126" s="275">
        <v>41409.742094907408</v>
      </c>
      <c r="F1126" s="276">
        <v>1</v>
      </c>
      <c r="G1126" s="243">
        <f t="shared" si="18"/>
        <v>85</v>
      </c>
      <c r="H1126" s="244"/>
      <c r="I1126" s="71" t="e">
        <f>IF(COUNTIF((rName rData),H1126),"","Name Error!")</f>
        <v>#NAME?</v>
      </c>
    </row>
    <row r="1127" spans="2:9" s="126" customFormat="1" ht="15" customHeight="1" x14ac:dyDescent="0.25">
      <c r="B1127" s="271" t="s">
        <v>267</v>
      </c>
      <c r="C1127" s="272" t="s">
        <v>268</v>
      </c>
      <c r="D1127" s="275" t="s">
        <v>216</v>
      </c>
      <c r="E1127" s="275">
        <v>41409.759097222224</v>
      </c>
      <c r="F1127" s="276">
        <v>3</v>
      </c>
      <c r="G1127" s="243">
        <f t="shared" si="18"/>
        <v>85</v>
      </c>
      <c r="H1127" s="244"/>
      <c r="I1127" s="71" t="e">
        <f>IF(COUNTIF((rName rData),H1127),"","Name Error!")</f>
        <v>#NAME?</v>
      </c>
    </row>
    <row r="1128" spans="2:9" s="126" customFormat="1" ht="15" customHeight="1" x14ac:dyDescent="0.25">
      <c r="B1128" s="271" t="s">
        <v>267</v>
      </c>
      <c r="C1128" s="272" t="s">
        <v>268</v>
      </c>
      <c r="D1128" s="275" t="s">
        <v>216</v>
      </c>
      <c r="E1128" s="275">
        <v>41410.733368055553</v>
      </c>
      <c r="F1128" s="276">
        <v>2</v>
      </c>
      <c r="G1128" s="243">
        <f t="shared" si="18"/>
        <v>85</v>
      </c>
      <c r="H1128" s="244"/>
      <c r="I1128" s="71" t="e">
        <f>IF(COUNTIF((rName rData),H1128),"","Name Error!")</f>
        <v>#NAME?</v>
      </c>
    </row>
    <row r="1129" spans="2:9" s="126" customFormat="1" ht="15" customHeight="1" x14ac:dyDescent="0.25">
      <c r="B1129" s="271" t="s">
        <v>358</v>
      </c>
      <c r="C1129" s="272" t="s">
        <v>357</v>
      </c>
      <c r="D1129" s="275" t="s">
        <v>216</v>
      </c>
      <c r="E1129" s="275">
        <v>41410.783819444441</v>
      </c>
      <c r="F1129" s="276">
        <v>3</v>
      </c>
      <c r="G1129" s="243">
        <f t="shared" si="18"/>
        <v>85</v>
      </c>
      <c r="H1129" s="244"/>
      <c r="I1129" s="71" t="e">
        <f>IF(COUNTIF((rName rData),H1129),"","Name Error!")</f>
        <v>#NAME?</v>
      </c>
    </row>
    <row r="1130" spans="2:9" s="126" customFormat="1" ht="15" customHeight="1" x14ac:dyDescent="0.25">
      <c r="B1130" s="271" t="s">
        <v>350</v>
      </c>
      <c r="C1130" s="272" t="s">
        <v>349</v>
      </c>
      <c r="D1130" s="275" t="s">
        <v>216</v>
      </c>
      <c r="E1130" s="275">
        <v>41410.897627314815</v>
      </c>
      <c r="F1130" s="276">
        <v>2</v>
      </c>
      <c r="G1130" s="243">
        <f t="shared" si="18"/>
        <v>85</v>
      </c>
      <c r="H1130" s="244"/>
      <c r="I1130" s="71" t="e">
        <f>IF(COUNTIF((rName rData),H1130),"","Name Error!")</f>
        <v>#NAME?</v>
      </c>
    </row>
    <row r="1131" spans="2:9" s="126" customFormat="1" ht="15" customHeight="1" x14ac:dyDescent="0.25">
      <c r="B1131" s="271" t="s">
        <v>279</v>
      </c>
      <c r="C1131" s="272" t="s">
        <v>280</v>
      </c>
      <c r="D1131" s="275" t="s">
        <v>216</v>
      </c>
      <c r="E1131" s="275">
        <v>41410.898425925923</v>
      </c>
      <c r="F1131" s="276">
        <v>1</v>
      </c>
      <c r="G1131" s="243">
        <f t="shared" si="18"/>
        <v>85</v>
      </c>
      <c r="H1131" s="244"/>
      <c r="I1131" s="71" t="e">
        <f>IF(COUNTIF((rName rData),H1131),"","Name Error!")</f>
        <v>#NAME?</v>
      </c>
    </row>
    <row r="1132" spans="2:9" s="126" customFormat="1" ht="15" customHeight="1" x14ac:dyDescent="0.25">
      <c r="B1132" s="271" t="s">
        <v>341</v>
      </c>
      <c r="C1132" s="272" t="s">
        <v>340</v>
      </c>
      <c r="D1132" s="275" t="s">
        <v>216</v>
      </c>
      <c r="E1132" s="275">
        <v>41410.93712962963</v>
      </c>
      <c r="F1132" s="276">
        <v>1</v>
      </c>
      <c r="G1132" s="243">
        <f t="shared" si="18"/>
        <v>85</v>
      </c>
      <c r="H1132" s="244"/>
      <c r="I1132" s="71" t="e">
        <f>IF(COUNTIF((rName rData),H1132),"","Name Error!")</f>
        <v>#NAME?</v>
      </c>
    </row>
    <row r="1133" spans="2:9" s="126" customFormat="1" ht="15" customHeight="1" x14ac:dyDescent="0.25">
      <c r="B1133" s="271" t="s">
        <v>350</v>
      </c>
      <c r="C1133" s="272" t="s">
        <v>349</v>
      </c>
      <c r="D1133" s="275" t="s">
        <v>216</v>
      </c>
      <c r="E1133" s="275">
        <v>41411.059016203704</v>
      </c>
      <c r="F1133" s="276">
        <v>3</v>
      </c>
      <c r="G1133" s="243">
        <f t="shared" si="18"/>
        <v>85</v>
      </c>
      <c r="H1133" s="244"/>
      <c r="I1133" s="71" t="e">
        <f>IF(COUNTIF((rName rData),H1133),"","Name Error!")</f>
        <v>#NAME?</v>
      </c>
    </row>
    <row r="1134" spans="2:9" s="126" customFormat="1" ht="15" customHeight="1" x14ac:dyDescent="0.25">
      <c r="B1134" s="271" t="s">
        <v>279</v>
      </c>
      <c r="C1134" s="272" t="s">
        <v>280</v>
      </c>
      <c r="D1134" s="275" t="s">
        <v>216</v>
      </c>
      <c r="E1134" s="275">
        <v>41411.062025462961</v>
      </c>
      <c r="F1134" s="276">
        <v>3</v>
      </c>
      <c r="G1134" s="243">
        <f t="shared" si="18"/>
        <v>85</v>
      </c>
      <c r="H1134" s="244"/>
      <c r="I1134" s="71" t="e">
        <f>IF(COUNTIF((rName rData),H1134),"","Name Error!")</f>
        <v>#NAME?</v>
      </c>
    </row>
    <row r="1135" spans="2:9" s="126" customFormat="1" ht="15" customHeight="1" x14ac:dyDescent="0.25">
      <c r="B1135" s="271" t="s">
        <v>352</v>
      </c>
      <c r="C1135" s="272" t="s">
        <v>351</v>
      </c>
      <c r="D1135" s="275" t="s">
        <v>216</v>
      </c>
      <c r="E1135" s="275">
        <v>41411.444247685184</v>
      </c>
      <c r="F1135" s="276">
        <v>1</v>
      </c>
      <c r="G1135" s="243">
        <f t="shared" si="18"/>
        <v>85</v>
      </c>
      <c r="H1135" s="244"/>
      <c r="I1135" s="71" t="e">
        <f>IF(COUNTIF((rName rData),H1135),"","Name Error!")</f>
        <v>#NAME?</v>
      </c>
    </row>
    <row r="1136" spans="2:9" s="126" customFormat="1" ht="15" customHeight="1" x14ac:dyDescent="0.25">
      <c r="B1136" s="271" t="s">
        <v>267</v>
      </c>
      <c r="C1136" s="272" t="s">
        <v>268</v>
      </c>
      <c r="D1136" s="275" t="s">
        <v>216</v>
      </c>
      <c r="E1136" s="275">
        <v>41411.729571759257</v>
      </c>
      <c r="F1136" s="276">
        <v>5</v>
      </c>
      <c r="G1136" s="243">
        <f t="shared" si="18"/>
        <v>85</v>
      </c>
      <c r="H1136" s="244"/>
      <c r="I1136" s="71" t="e">
        <f>IF(COUNTIF((rName rData),H1136),"","Name Error!")</f>
        <v>#NAME?</v>
      </c>
    </row>
    <row r="1137" spans="2:9" s="126" customFormat="1" ht="15" customHeight="1" x14ac:dyDescent="0.25">
      <c r="B1137" s="271" t="s">
        <v>328</v>
      </c>
      <c r="C1137" s="272" t="s">
        <v>327</v>
      </c>
      <c r="D1137" s="275" t="s">
        <v>216</v>
      </c>
      <c r="E1137" s="275">
        <v>41411.772326388891</v>
      </c>
      <c r="F1137" s="276">
        <v>2</v>
      </c>
      <c r="G1137" s="243">
        <f t="shared" si="18"/>
        <v>85</v>
      </c>
      <c r="H1137" s="244"/>
      <c r="I1137" s="71" t="e">
        <f>IF(COUNTIF((rName rData),H1137),"","Name Error!")</f>
        <v>#NAME?</v>
      </c>
    </row>
    <row r="1138" spans="2:9" s="126" customFormat="1" ht="15" customHeight="1" x14ac:dyDescent="0.25">
      <c r="B1138" s="271" t="s">
        <v>358</v>
      </c>
      <c r="C1138" s="272" t="s">
        <v>357</v>
      </c>
      <c r="D1138" s="275" t="s">
        <v>216</v>
      </c>
      <c r="E1138" s="275">
        <v>41411.778726851851</v>
      </c>
      <c r="F1138" s="276">
        <v>2</v>
      </c>
      <c r="G1138" s="243">
        <f t="shared" si="18"/>
        <v>85</v>
      </c>
      <c r="H1138" s="244"/>
      <c r="I1138" s="71" t="e">
        <f>IF(COUNTIF((rName rData),H1138),"","Name Error!")</f>
        <v>#NAME?</v>
      </c>
    </row>
    <row r="1139" spans="2:9" s="126" customFormat="1" ht="15" customHeight="1" x14ac:dyDescent="0.25">
      <c r="B1139" s="271" t="s">
        <v>341</v>
      </c>
      <c r="C1139" s="272" t="s">
        <v>340</v>
      </c>
      <c r="D1139" s="275" t="s">
        <v>216</v>
      </c>
      <c r="E1139" s="275">
        <v>41411.870925925927</v>
      </c>
      <c r="F1139" s="276">
        <v>1</v>
      </c>
      <c r="G1139" s="243">
        <f t="shared" si="18"/>
        <v>85</v>
      </c>
      <c r="H1139" s="244"/>
      <c r="I1139" s="71" t="e">
        <f>IF(COUNTIF((rName rData),H1139),"","Name Error!")</f>
        <v>#NAME?</v>
      </c>
    </row>
    <row r="1140" spans="2:9" s="126" customFormat="1" ht="15" customHeight="1" x14ac:dyDescent="0.25">
      <c r="B1140" s="271" t="s">
        <v>358</v>
      </c>
      <c r="C1140" s="272" t="s">
        <v>357</v>
      </c>
      <c r="D1140" s="275" t="s">
        <v>216</v>
      </c>
      <c r="E1140" s="275">
        <v>41412.318009259259</v>
      </c>
      <c r="F1140" s="276">
        <v>1</v>
      </c>
      <c r="G1140" s="243">
        <f t="shared" si="18"/>
        <v>86</v>
      </c>
      <c r="H1140" s="244"/>
      <c r="I1140" s="71" t="e">
        <f>IF(COUNTIF((rName rData),H1140),"","Name Error!")</f>
        <v>#NAME?</v>
      </c>
    </row>
    <row r="1141" spans="2:9" s="126" customFormat="1" ht="15" customHeight="1" x14ac:dyDescent="0.25">
      <c r="B1141" s="271" t="s">
        <v>341</v>
      </c>
      <c r="C1141" s="272" t="s">
        <v>340</v>
      </c>
      <c r="D1141" s="275" t="s">
        <v>216</v>
      </c>
      <c r="E1141" s="275">
        <v>41412.380231481482</v>
      </c>
      <c r="F1141" s="276">
        <v>1</v>
      </c>
      <c r="G1141" s="243">
        <f t="shared" si="18"/>
        <v>86</v>
      </c>
      <c r="H1141" s="244"/>
      <c r="I1141" s="71" t="e">
        <f>IF(COUNTIF((rName rData),H1141),"","Name Error!")</f>
        <v>#NAME?</v>
      </c>
    </row>
    <row r="1142" spans="2:9" s="126" customFormat="1" ht="15" customHeight="1" x14ac:dyDescent="0.25">
      <c r="B1142" s="271" t="s">
        <v>279</v>
      </c>
      <c r="C1142" s="272" t="s">
        <v>280</v>
      </c>
      <c r="D1142" s="275" t="s">
        <v>216</v>
      </c>
      <c r="E1142" s="275">
        <v>41412.829907407409</v>
      </c>
      <c r="F1142" s="276">
        <v>2</v>
      </c>
      <c r="G1142" s="243">
        <f t="shared" si="18"/>
        <v>86</v>
      </c>
      <c r="H1142" s="244"/>
      <c r="I1142" s="71" t="e">
        <f>IF(COUNTIF((rName rData),H1142),"","Name Error!")</f>
        <v>#NAME?</v>
      </c>
    </row>
    <row r="1143" spans="2:9" s="126" customFormat="1" ht="15" customHeight="1" x14ac:dyDescent="0.25">
      <c r="B1143" s="271" t="s">
        <v>328</v>
      </c>
      <c r="C1143" s="272" t="s">
        <v>327</v>
      </c>
      <c r="D1143" s="275" t="s">
        <v>216</v>
      </c>
      <c r="E1143" s="275">
        <v>41412.962407407409</v>
      </c>
      <c r="F1143" s="276">
        <v>1</v>
      </c>
      <c r="G1143" s="243">
        <f t="shared" si="18"/>
        <v>86</v>
      </c>
      <c r="H1143" s="244"/>
      <c r="I1143" s="71" t="e">
        <f>IF(COUNTIF((rName rData),H1143),"","Name Error!")</f>
        <v>#NAME?</v>
      </c>
    </row>
    <row r="1144" spans="2:9" s="126" customFormat="1" ht="15" customHeight="1" x14ac:dyDescent="0.25">
      <c r="B1144" s="271" t="s">
        <v>350</v>
      </c>
      <c r="C1144" s="272" t="s">
        <v>349</v>
      </c>
      <c r="D1144" s="275" t="s">
        <v>216</v>
      </c>
      <c r="E1144" s="275">
        <v>41413.827974537038</v>
      </c>
      <c r="F1144" s="276">
        <v>1</v>
      </c>
      <c r="G1144" s="243">
        <f t="shared" si="18"/>
        <v>86</v>
      </c>
      <c r="H1144" s="244"/>
      <c r="I1144" s="71" t="e">
        <f>IF(COUNTIF((rName rData),H1144),"","Name Error!")</f>
        <v>#NAME?</v>
      </c>
    </row>
    <row r="1145" spans="2:9" s="126" customFormat="1" ht="15" customHeight="1" x14ac:dyDescent="0.25">
      <c r="B1145" s="271" t="s">
        <v>343</v>
      </c>
      <c r="C1145" s="272" t="s">
        <v>342</v>
      </c>
      <c r="D1145" s="275" t="s">
        <v>216</v>
      </c>
      <c r="E1145" s="275">
        <v>41414.128333333334</v>
      </c>
      <c r="F1145" s="276">
        <v>1</v>
      </c>
      <c r="G1145" s="243">
        <f t="shared" si="18"/>
        <v>86</v>
      </c>
      <c r="H1145" s="244"/>
      <c r="I1145" s="71" t="e">
        <f>IF(COUNTIF((rName rData),H1145),"","Name Error!")</f>
        <v>#NAME?</v>
      </c>
    </row>
    <row r="1146" spans="2:9" s="126" customFormat="1" ht="15" customHeight="1" x14ac:dyDescent="0.25">
      <c r="B1146" s="271" t="s">
        <v>267</v>
      </c>
      <c r="C1146" s="272" t="s">
        <v>268</v>
      </c>
      <c r="D1146" s="275" t="s">
        <v>216</v>
      </c>
      <c r="E1146" s="275">
        <v>41414.680752314816</v>
      </c>
      <c r="F1146" s="276">
        <v>2</v>
      </c>
      <c r="G1146" s="243">
        <f t="shared" si="18"/>
        <v>86</v>
      </c>
      <c r="H1146" s="244"/>
      <c r="I1146" s="71" t="e">
        <f>IF(COUNTIF((rName rData),H1146),"","Name Error!")</f>
        <v>#NAME?</v>
      </c>
    </row>
    <row r="1147" spans="2:9" s="126" customFormat="1" ht="15" customHeight="1" x14ac:dyDescent="0.25">
      <c r="B1147" s="271" t="s">
        <v>350</v>
      </c>
      <c r="C1147" s="272" t="s">
        <v>349</v>
      </c>
      <c r="D1147" s="275" t="s">
        <v>216</v>
      </c>
      <c r="E1147" s="275">
        <v>41414.750821759262</v>
      </c>
      <c r="F1147" s="276">
        <v>1</v>
      </c>
      <c r="G1147" s="243">
        <f t="shared" si="18"/>
        <v>86</v>
      </c>
      <c r="H1147" s="244"/>
      <c r="I1147" s="71" t="e">
        <f>IF(COUNTIF((rName rData),H1147),"","Name Error!")</f>
        <v>#NAME?</v>
      </c>
    </row>
    <row r="1148" spans="2:9" s="126" customFormat="1" ht="15" customHeight="1" x14ac:dyDescent="0.25">
      <c r="B1148" s="271" t="s">
        <v>279</v>
      </c>
      <c r="C1148" s="272" t="s">
        <v>280</v>
      </c>
      <c r="D1148" s="275" t="s">
        <v>216</v>
      </c>
      <c r="E1148" s="275">
        <v>41415.001469907409</v>
      </c>
      <c r="F1148" s="276">
        <v>1</v>
      </c>
      <c r="G1148" s="243">
        <f t="shared" si="18"/>
        <v>86</v>
      </c>
      <c r="H1148" s="244"/>
      <c r="I1148" s="71" t="e">
        <f>IF(COUNTIF((rName rData),H1148),"","Name Error!")</f>
        <v>#NAME?</v>
      </c>
    </row>
    <row r="1149" spans="2:9" s="126" customFormat="1" ht="15" customHeight="1" x14ac:dyDescent="0.25">
      <c r="B1149" s="271" t="s">
        <v>350</v>
      </c>
      <c r="C1149" s="272" t="s">
        <v>349</v>
      </c>
      <c r="D1149" s="275" t="s">
        <v>216</v>
      </c>
      <c r="E1149" s="275">
        <v>41415.829872685186</v>
      </c>
      <c r="F1149" s="276">
        <v>1</v>
      </c>
      <c r="G1149" s="243">
        <f t="shared" si="18"/>
        <v>86</v>
      </c>
      <c r="H1149" s="244"/>
      <c r="I1149" s="71" t="e">
        <f>IF(COUNTIF((rName rData),H1149),"","Name Error!")</f>
        <v>#NAME?</v>
      </c>
    </row>
    <row r="1150" spans="2:9" s="126" customFormat="1" ht="15" customHeight="1" x14ac:dyDescent="0.25">
      <c r="B1150" s="271" t="s">
        <v>328</v>
      </c>
      <c r="C1150" s="272" t="s">
        <v>327</v>
      </c>
      <c r="D1150" s="275" t="s">
        <v>216</v>
      </c>
      <c r="E1150" s="275">
        <v>41416.008796296293</v>
      </c>
      <c r="F1150" s="276">
        <v>2</v>
      </c>
      <c r="G1150" s="243">
        <f t="shared" si="18"/>
        <v>86</v>
      </c>
      <c r="H1150" s="244"/>
      <c r="I1150" s="71" t="e">
        <f>IF(COUNTIF((rName rData),H1150),"","Name Error!")</f>
        <v>#NAME?</v>
      </c>
    </row>
    <row r="1151" spans="2:9" s="126" customFormat="1" ht="15" customHeight="1" x14ac:dyDescent="0.25">
      <c r="B1151" s="271" t="s">
        <v>341</v>
      </c>
      <c r="C1151" s="272" t="s">
        <v>340</v>
      </c>
      <c r="D1151" s="275" t="s">
        <v>216</v>
      </c>
      <c r="E1151" s="275">
        <v>41416.903645833336</v>
      </c>
      <c r="F1151" s="276">
        <v>1</v>
      </c>
      <c r="G1151" s="243">
        <f t="shared" si="18"/>
        <v>86</v>
      </c>
      <c r="H1151" s="244"/>
      <c r="I1151" s="71" t="e">
        <f>IF(COUNTIF((rName rData),H1151),"","Name Error!")</f>
        <v>#NAME?</v>
      </c>
    </row>
    <row r="1152" spans="2:9" s="126" customFormat="1" ht="15" customHeight="1" x14ac:dyDescent="0.25">
      <c r="B1152" s="271" t="s">
        <v>350</v>
      </c>
      <c r="C1152" s="272" t="s">
        <v>349</v>
      </c>
      <c r="D1152" s="275" t="s">
        <v>216</v>
      </c>
      <c r="E1152" s="275">
        <v>41416.958703703705</v>
      </c>
      <c r="F1152" s="276">
        <v>1</v>
      </c>
      <c r="G1152" s="243">
        <f t="shared" si="18"/>
        <v>86</v>
      </c>
      <c r="H1152" s="244"/>
      <c r="I1152" s="71" t="e">
        <f>IF(COUNTIF((rName rData),H1152),"","Name Error!")</f>
        <v>#NAME?</v>
      </c>
    </row>
    <row r="1153" spans="2:9" s="126" customFormat="1" ht="15" customHeight="1" x14ac:dyDescent="0.25">
      <c r="B1153" s="271" t="s">
        <v>350</v>
      </c>
      <c r="C1153" s="272" t="s">
        <v>349</v>
      </c>
      <c r="D1153" s="275" t="s">
        <v>216</v>
      </c>
      <c r="E1153" s="275">
        <v>41417.701331018521</v>
      </c>
      <c r="F1153" s="276">
        <v>1</v>
      </c>
      <c r="G1153" s="243">
        <f t="shared" si="18"/>
        <v>86</v>
      </c>
      <c r="H1153" s="244"/>
      <c r="I1153" s="71" t="e">
        <f>IF(COUNTIF((rName rData),H1153),"","Name Error!")</f>
        <v>#NAME?</v>
      </c>
    </row>
    <row r="1154" spans="2:9" s="126" customFormat="1" ht="15" customHeight="1" x14ac:dyDescent="0.25">
      <c r="B1154" s="271" t="s">
        <v>267</v>
      </c>
      <c r="C1154" s="272" t="s">
        <v>268</v>
      </c>
      <c r="D1154" s="275" t="s">
        <v>216</v>
      </c>
      <c r="E1154" s="275">
        <v>41418.672974537039</v>
      </c>
      <c r="F1154" s="276">
        <v>1</v>
      </c>
      <c r="G1154" s="243">
        <f t="shared" si="18"/>
        <v>86</v>
      </c>
      <c r="H1154" s="244"/>
      <c r="I1154" s="71" t="e">
        <f>IF(COUNTIF((rName rData),H1154),"","Name Error!")</f>
        <v>#NAME?</v>
      </c>
    </row>
    <row r="1155" spans="2:9" s="126" customFormat="1" ht="15" customHeight="1" x14ac:dyDescent="0.25">
      <c r="B1155" s="271" t="s">
        <v>350</v>
      </c>
      <c r="C1155" s="272" t="s">
        <v>349</v>
      </c>
      <c r="D1155" s="275" t="s">
        <v>216</v>
      </c>
      <c r="E1155" s="275">
        <v>41418.764143518521</v>
      </c>
      <c r="F1155" s="276">
        <v>1</v>
      </c>
      <c r="G1155" s="243">
        <f t="shared" si="18"/>
        <v>86</v>
      </c>
      <c r="H1155" s="244"/>
      <c r="I1155" s="71" t="e">
        <f>IF(COUNTIF((rName rData),H1155),"","Name Error!")</f>
        <v>#NAME?</v>
      </c>
    </row>
    <row r="1156" spans="2:9" s="126" customFormat="1" ht="15" customHeight="1" x14ac:dyDescent="0.25">
      <c r="B1156" s="271" t="s">
        <v>341</v>
      </c>
      <c r="C1156" s="272" t="s">
        <v>340</v>
      </c>
      <c r="D1156" s="275" t="s">
        <v>216</v>
      </c>
      <c r="E1156" s="275">
        <v>41418.863738425927</v>
      </c>
      <c r="F1156" s="276">
        <v>1</v>
      </c>
      <c r="G1156" s="243">
        <f t="shared" si="18"/>
        <v>86</v>
      </c>
      <c r="H1156" s="244"/>
      <c r="I1156" s="71" t="e">
        <f>IF(COUNTIF((rName rData),H1156),"","Name Error!")</f>
        <v>#NAME?</v>
      </c>
    </row>
    <row r="1157" spans="2:9" s="126" customFormat="1" ht="15" customHeight="1" x14ac:dyDescent="0.25">
      <c r="B1157" s="271" t="s">
        <v>328</v>
      </c>
      <c r="C1157" s="272" t="s">
        <v>327</v>
      </c>
      <c r="D1157" s="275" t="s">
        <v>216</v>
      </c>
      <c r="E1157" s="275">
        <v>41419.044351851851</v>
      </c>
      <c r="F1157" s="276">
        <v>4</v>
      </c>
      <c r="G1157" s="243">
        <f t="shared" si="18"/>
        <v>87</v>
      </c>
      <c r="H1157" s="244"/>
      <c r="I1157" s="71" t="e">
        <f>IF(COUNTIF((rName rData),H1157),"","Name Error!")</f>
        <v>#NAME?</v>
      </c>
    </row>
    <row r="1158" spans="2:9" s="126" customFormat="1" ht="15" customHeight="1" x14ac:dyDescent="0.25">
      <c r="B1158" s="271" t="s">
        <v>341</v>
      </c>
      <c r="C1158" s="272" t="s">
        <v>340</v>
      </c>
      <c r="D1158" s="275" t="s">
        <v>216</v>
      </c>
      <c r="E1158" s="275">
        <v>41419.416712962964</v>
      </c>
      <c r="F1158" s="276">
        <v>3</v>
      </c>
      <c r="G1158" s="243">
        <f t="shared" si="18"/>
        <v>87</v>
      </c>
      <c r="H1158" s="244"/>
      <c r="I1158" s="71" t="e">
        <f>IF(COUNTIF((rName rData),H1158),"","Name Error!")</f>
        <v>#NAME?</v>
      </c>
    </row>
    <row r="1159" spans="2:9" s="126" customFormat="1" ht="15" customHeight="1" x14ac:dyDescent="0.25">
      <c r="B1159" s="271" t="s">
        <v>267</v>
      </c>
      <c r="C1159" s="272" t="s">
        <v>268</v>
      </c>
      <c r="D1159" s="275" t="s">
        <v>216</v>
      </c>
      <c r="E1159" s="275">
        <v>41419.671863425923</v>
      </c>
      <c r="F1159" s="276">
        <v>1</v>
      </c>
      <c r="G1159" s="243">
        <f t="shared" si="18"/>
        <v>87</v>
      </c>
      <c r="H1159" s="244"/>
      <c r="I1159" s="71" t="e">
        <f>IF(COUNTIF((rName rData),H1159),"","Name Error!")</f>
        <v>#NAME?</v>
      </c>
    </row>
    <row r="1160" spans="2:9" s="126" customFormat="1" ht="15" customHeight="1" x14ac:dyDescent="0.25">
      <c r="B1160" s="271" t="s">
        <v>358</v>
      </c>
      <c r="C1160" s="272" t="s">
        <v>357</v>
      </c>
      <c r="D1160" s="275" t="s">
        <v>216</v>
      </c>
      <c r="E1160" s="275">
        <v>41419.686168981483</v>
      </c>
      <c r="F1160" s="276">
        <v>2</v>
      </c>
      <c r="G1160" s="243">
        <f t="shared" si="18"/>
        <v>87</v>
      </c>
      <c r="H1160" s="244"/>
      <c r="I1160" s="71" t="e">
        <f>IF(COUNTIF((rName rData),H1160),"","Name Error!")</f>
        <v>#NAME?</v>
      </c>
    </row>
    <row r="1161" spans="2:9" s="126" customFormat="1" ht="15" customHeight="1" x14ac:dyDescent="0.25">
      <c r="B1161" s="271" t="s">
        <v>350</v>
      </c>
      <c r="C1161" s="272" t="s">
        <v>349</v>
      </c>
      <c r="D1161" s="275" t="s">
        <v>216</v>
      </c>
      <c r="E1161" s="275">
        <v>41419.700775462959</v>
      </c>
      <c r="F1161" s="276">
        <v>3</v>
      </c>
      <c r="G1161" s="243">
        <f t="shared" si="18"/>
        <v>87</v>
      </c>
      <c r="H1161" s="244"/>
      <c r="I1161" s="71" t="e">
        <f>IF(COUNTIF((rName rData),H1161),"","Name Error!")</f>
        <v>#NAME?</v>
      </c>
    </row>
    <row r="1162" spans="2:9" s="126" customFormat="1" ht="15" customHeight="1" x14ac:dyDescent="0.25">
      <c r="B1162" s="271" t="s">
        <v>279</v>
      </c>
      <c r="C1162" s="272" t="s">
        <v>280</v>
      </c>
      <c r="D1162" s="275" t="s">
        <v>216</v>
      </c>
      <c r="E1162" s="275">
        <v>41419.853391203702</v>
      </c>
      <c r="F1162" s="276">
        <v>1</v>
      </c>
      <c r="G1162" s="243">
        <f t="shared" ref="G1162:G1225" si="19">TRUNC((E1162-start)/7)+1</f>
        <v>87</v>
      </c>
      <c r="H1162" s="244"/>
      <c r="I1162" s="71" t="e">
        <f>IF(COUNTIF((rName rData),H1162),"","Name Error!")</f>
        <v>#NAME?</v>
      </c>
    </row>
    <row r="1163" spans="2:9" s="126" customFormat="1" ht="15" customHeight="1" x14ac:dyDescent="0.25">
      <c r="B1163" s="271" t="s">
        <v>350</v>
      </c>
      <c r="C1163" s="272" t="s">
        <v>349</v>
      </c>
      <c r="D1163" s="275" t="s">
        <v>216</v>
      </c>
      <c r="E1163" s="275">
        <v>41420.035266203704</v>
      </c>
      <c r="F1163" s="276">
        <v>1</v>
      </c>
      <c r="G1163" s="243">
        <f t="shared" si="19"/>
        <v>87</v>
      </c>
      <c r="H1163" s="244"/>
      <c r="I1163" s="71" t="e">
        <f>IF(COUNTIF((rName rData),H1163),"","Name Error!")</f>
        <v>#NAME?</v>
      </c>
    </row>
    <row r="1164" spans="2:9" s="126" customFormat="1" ht="15" customHeight="1" x14ac:dyDescent="0.25">
      <c r="B1164" s="271" t="s">
        <v>358</v>
      </c>
      <c r="C1164" s="272" t="s">
        <v>357</v>
      </c>
      <c r="D1164" s="275" t="s">
        <v>216</v>
      </c>
      <c r="E1164" s="275">
        <v>41420.267905092594</v>
      </c>
      <c r="F1164" s="276">
        <v>2</v>
      </c>
      <c r="G1164" s="243">
        <f t="shared" si="19"/>
        <v>87</v>
      </c>
      <c r="H1164" s="244"/>
      <c r="I1164" s="71" t="e">
        <f>IF(COUNTIF((rName rData),H1164),"","Name Error!")</f>
        <v>#NAME?</v>
      </c>
    </row>
    <row r="1165" spans="2:9" s="126" customFormat="1" ht="15" customHeight="1" x14ac:dyDescent="0.25">
      <c r="B1165" s="271" t="s">
        <v>341</v>
      </c>
      <c r="C1165" s="272" t="s">
        <v>340</v>
      </c>
      <c r="D1165" s="275" t="s">
        <v>216</v>
      </c>
      <c r="E1165" s="275">
        <v>41420.411377314813</v>
      </c>
      <c r="F1165" s="276">
        <v>1</v>
      </c>
      <c r="G1165" s="243">
        <f t="shared" si="19"/>
        <v>87</v>
      </c>
      <c r="H1165" s="244"/>
      <c r="I1165" s="71" t="e">
        <f>IF(COUNTIF((rName rData),H1165),"","Name Error!")</f>
        <v>#NAME?</v>
      </c>
    </row>
    <row r="1166" spans="2:9" s="126" customFormat="1" ht="15" customHeight="1" x14ac:dyDescent="0.25">
      <c r="B1166" s="271" t="s">
        <v>267</v>
      </c>
      <c r="C1166" s="272" t="s">
        <v>268</v>
      </c>
      <c r="D1166" s="275" t="s">
        <v>216</v>
      </c>
      <c r="E1166" s="275">
        <v>41420.427604166667</v>
      </c>
      <c r="F1166" s="276">
        <v>4</v>
      </c>
      <c r="G1166" s="243">
        <f t="shared" si="19"/>
        <v>87</v>
      </c>
      <c r="H1166" s="244"/>
      <c r="I1166" s="71" t="e">
        <f>IF(COUNTIF((rName rData),H1166),"","Name Error!")</f>
        <v>#NAME?</v>
      </c>
    </row>
    <row r="1167" spans="2:9" s="126" customFormat="1" ht="15" customHeight="1" x14ac:dyDescent="0.25">
      <c r="B1167" s="271" t="s">
        <v>279</v>
      </c>
      <c r="C1167" s="272" t="s">
        <v>280</v>
      </c>
      <c r="D1167" s="275" t="s">
        <v>216</v>
      </c>
      <c r="E1167" s="275">
        <v>41420.443645833337</v>
      </c>
      <c r="F1167" s="276">
        <v>2</v>
      </c>
      <c r="G1167" s="243">
        <f t="shared" si="19"/>
        <v>87</v>
      </c>
      <c r="H1167" s="244"/>
      <c r="I1167" s="71" t="e">
        <f>IF(COUNTIF((rName rData),H1167),"","Name Error!")</f>
        <v>#NAME?</v>
      </c>
    </row>
    <row r="1168" spans="2:9" s="126" customFormat="1" ht="15" customHeight="1" x14ac:dyDescent="0.25">
      <c r="B1168" s="271" t="s">
        <v>328</v>
      </c>
      <c r="C1168" s="272" t="s">
        <v>327</v>
      </c>
      <c r="D1168" s="275" t="s">
        <v>216</v>
      </c>
      <c r="E1168" s="275">
        <v>41420.809247685182</v>
      </c>
      <c r="F1168" s="276">
        <v>1</v>
      </c>
      <c r="G1168" s="243">
        <f t="shared" si="19"/>
        <v>87</v>
      </c>
      <c r="H1168" s="244"/>
      <c r="I1168" s="71" t="e">
        <f>IF(COUNTIF((rName rData),H1168),"","Name Error!")</f>
        <v>#NAME?</v>
      </c>
    </row>
    <row r="1169" spans="2:9" s="126" customFormat="1" ht="15" customHeight="1" x14ac:dyDescent="0.25">
      <c r="B1169" s="271" t="s">
        <v>279</v>
      </c>
      <c r="C1169" s="272" t="s">
        <v>280</v>
      </c>
      <c r="D1169" s="275" t="s">
        <v>216</v>
      </c>
      <c r="E1169" s="275">
        <v>41421.755879629629</v>
      </c>
      <c r="F1169" s="276">
        <v>2</v>
      </c>
      <c r="G1169" s="243">
        <f t="shared" si="19"/>
        <v>87</v>
      </c>
      <c r="H1169" s="244"/>
      <c r="I1169" s="71" t="e">
        <f>IF(COUNTIF((rName rData),H1169),"","Name Error!")</f>
        <v>#NAME?</v>
      </c>
    </row>
    <row r="1170" spans="2:9" s="126" customFormat="1" ht="15" customHeight="1" x14ac:dyDescent="0.25">
      <c r="B1170" s="271" t="s">
        <v>350</v>
      </c>
      <c r="C1170" s="272" t="s">
        <v>349</v>
      </c>
      <c r="D1170" s="275" t="s">
        <v>216</v>
      </c>
      <c r="E1170" s="275">
        <v>41421.75681712963</v>
      </c>
      <c r="F1170" s="276">
        <v>1</v>
      </c>
      <c r="G1170" s="243">
        <f t="shared" si="19"/>
        <v>87</v>
      </c>
      <c r="H1170" s="244"/>
      <c r="I1170" s="71" t="e">
        <f>IF(COUNTIF((rName rData),H1170),"","Name Error!")</f>
        <v>#NAME?</v>
      </c>
    </row>
    <row r="1171" spans="2:9" s="126" customFormat="1" ht="15" customHeight="1" x14ac:dyDescent="0.25">
      <c r="B1171" s="271" t="s">
        <v>358</v>
      </c>
      <c r="C1171" s="272" t="s">
        <v>357</v>
      </c>
      <c r="D1171" s="275" t="s">
        <v>216</v>
      </c>
      <c r="E1171" s="275">
        <v>41421.820300925923</v>
      </c>
      <c r="F1171" s="276">
        <v>2</v>
      </c>
      <c r="G1171" s="243">
        <f t="shared" si="19"/>
        <v>87</v>
      </c>
      <c r="H1171" s="244"/>
      <c r="I1171" s="71" t="e">
        <f>IF(COUNTIF((rName rData),H1171),"","Name Error!")</f>
        <v>#NAME?</v>
      </c>
    </row>
    <row r="1172" spans="2:9" s="126" customFormat="1" ht="15" customHeight="1" x14ac:dyDescent="0.25">
      <c r="B1172" s="271" t="s">
        <v>328</v>
      </c>
      <c r="C1172" s="272" t="s">
        <v>327</v>
      </c>
      <c r="D1172" s="275" t="s">
        <v>216</v>
      </c>
      <c r="E1172" s="275">
        <v>41421.887199074074</v>
      </c>
      <c r="F1172" s="276">
        <v>1</v>
      </c>
      <c r="G1172" s="243">
        <f t="shared" si="19"/>
        <v>87</v>
      </c>
      <c r="H1172" s="244"/>
      <c r="I1172" s="71" t="e">
        <f>IF(COUNTIF((rName rData),H1172),"","Name Error!")</f>
        <v>#NAME?</v>
      </c>
    </row>
    <row r="1173" spans="2:9" s="126" customFormat="1" ht="15" customHeight="1" x14ac:dyDescent="0.25">
      <c r="B1173" s="271" t="s">
        <v>350</v>
      </c>
      <c r="C1173" s="272" t="s">
        <v>349</v>
      </c>
      <c r="D1173" s="275" t="s">
        <v>216</v>
      </c>
      <c r="E1173" s="275">
        <v>41422.532164351855</v>
      </c>
      <c r="F1173" s="276">
        <v>1</v>
      </c>
      <c r="G1173" s="243">
        <f t="shared" si="19"/>
        <v>87</v>
      </c>
      <c r="H1173" s="244"/>
      <c r="I1173" s="71" t="e">
        <f>IF(COUNTIF((rName rData),H1173),"","Name Error!")</f>
        <v>#NAME?</v>
      </c>
    </row>
    <row r="1174" spans="2:9" s="126" customFormat="1" ht="15" customHeight="1" x14ac:dyDescent="0.25">
      <c r="B1174" s="271" t="s">
        <v>279</v>
      </c>
      <c r="C1174" s="272" t="s">
        <v>280</v>
      </c>
      <c r="D1174" s="275" t="s">
        <v>216</v>
      </c>
      <c r="E1174" s="275">
        <v>41422.916458333333</v>
      </c>
      <c r="F1174" s="276">
        <v>1</v>
      </c>
      <c r="G1174" s="243">
        <f t="shared" si="19"/>
        <v>87</v>
      </c>
      <c r="H1174" s="244"/>
      <c r="I1174" s="71" t="e">
        <f>IF(COUNTIF((rName rData),H1174),"","Name Error!")</f>
        <v>#NAME?</v>
      </c>
    </row>
    <row r="1175" spans="2:9" s="126" customFormat="1" ht="15" customHeight="1" x14ac:dyDescent="0.25">
      <c r="B1175" s="271" t="s">
        <v>341</v>
      </c>
      <c r="C1175" s="272" t="s">
        <v>340</v>
      </c>
      <c r="D1175" s="275" t="s">
        <v>216</v>
      </c>
      <c r="E1175" s="275">
        <v>41423.865370370368</v>
      </c>
      <c r="F1175" s="276">
        <v>1</v>
      </c>
      <c r="G1175" s="243">
        <f t="shared" si="19"/>
        <v>87</v>
      </c>
      <c r="H1175" s="244"/>
      <c r="I1175" s="71" t="e">
        <f>IF(COUNTIF((rName rData),H1175),"","Name Error!")</f>
        <v>#NAME?</v>
      </c>
    </row>
    <row r="1176" spans="2:9" s="126" customFormat="1" ht="15" customHeight="1" x14ac:dyDescent="0.25">
      <c r="B1176" s="271" t="s">
        <v>267</v>
      </c>
      <c r="C1176" s="272" t="s">
        <v>268</v>
      </c>
      <c r="D1176" s="275" t="s">
        <v>216</v>
      </c>
      <c r="E1176" s="275">
        <v>41423.876064814816</v>
      </c>
      <c r="F1176" s="276">
        <v>1</v>
      </c>
      <c r="G1176" s="243">
        <f t="shared" si="19"/>
        <v>87</v>
      </c>
      <c r="H1176" s="244"/>
      <c r="I1176" s="71" t="e">
        <f>IF(COUNTIF((rName rData),H1176),"","Name Error!")</f>
        <v>#NAME?</v>
      </c>
    </row>
    <row r="1177" spans="2:9" s="126" customFormat="1" ht="15" customHeight="1" x14ac:dyDescent="0.25">
      <c r="B1177" s="271" t="s">
        <v>350</v>
      </c>
      <c r="C1177" s="272" t="s">
        <v>349</v>
      </c>
      <c r="D1177" s="275" t="s">
        <v>216</v>
      </c>
      <c r="E1177" s="275">
        <v>41423.985694444447</v>
      </c>
      <c r="F1177" s="276">
        <v>1</v>
      </c>
      <c r="G1177" s="243">
        <f t="shared" si="19"/>
        <v>87</v>
      </c>
      <c r="H1177" s="244"/>
      <c r="I1177" s="71" t="e">
        <f>IF(COUNTIF((rName rData),H1177),"","Name Error!")</f>
        <v>#NAME?</v>
      </c>
    </row>
    <row r="1178" spans="2:9" s="126" customFormat="1" ht="15" customHeight="1" x14ac:dyDescent="0.25">
      <c r="B1178" s="271" t="s">
        <v>350</v>
      </c>
      <c r="C1178" s="272" t="s">
        <v>349</v>
      </c>
      <c r="D1178" s="275" t="s">
        <v>216</v>
      </c>
      <c r="E1178" s="275">
        <v>41424.586400462962</v>
      </c>
      <c r="F1178" s="276">
        <v>1</v>
      </c>
      <c r="G1178" s="243">
        <f t="shared" si="19"/>
        <v>87</v>
      </c>
      <c r="H1178" s="244"/>
      <c r="I1178" s="71" t="e">
        <f>IF(COUNTIF((rName rData),H1178),"","Name Error!")</f>
        <v>#NAME?</v>
      </c>
    </row>
    <row r="1179" spans="2:9" s="126" customFormat="1" ht="15" customHeight="1" x14ac:dyDescent="0.25">
      <c r="B1179" s="271" t="s">
        <v>267</v>
      </c>
      <c r="C1179" s="272" t="s">
        <v>268</v>
      </c>
      <c r="D1179" s="275" t="s">
        <v>216</v>
      </c>
      <c r="E1179" s="275">
        <v>41424.79959490741</v>
      </c>
      <c r="F1179" s="276">
        <v>1</v>
      </c>
      <c r="G1179" s="243">
        <f t="shared" si="19"/>
        <v>87</v>
      </c>
      <c r="H1179" s="244"/>
      <c r="I1179" s="71" t="e">
        <f>IF(COUNTIF((rName rData),H1179),"","Name Error!")</f>
        <v>#NAME?</v>
      </c>
    </row>
    <row r="1180" spans="2:9" s="126" customFormat="1" ht="15" customHeight="1" x14ac:dyDescent="0.25">
      <c r="B1180" s="271" t="s">
        <v>341</v>
      </c>
      <c r="C1180" s="272" t="s">
        <v>340</v>
      </c>
      <c r="D1180" s="275" t="s">
        <v>216</v>
      </c>
      <c r="E1180" s="275">
        <v>41424.92083333333</v>
      </c>
      <c r="F1180" s="276">
        <v>1</v>
      </c>
      <c r="G1180" s="243">
        <f t="shared" si="19"/>
        <v>87</v>
      </c>
      <c r="H1180" s="244"/>
      <c r="I1180" s="71" t="e">
        <f>IF(COUNTIF((rName rData),H1180),"","Name Error!")</f>
        <v>#NAME?</v>
      </c>
    </row>
    <row r="1181" spans="2:9" s="126" customFormat="1" ht="15" customHeight="1" x14ac:dyDescent="0.25">
      <c r="B1181" s="271" t="s">
        <v>350</v>
      </c>
      <c r="C1181" s="272" t="s">
        <v>349</v>
      </c>
      <c r="D1181" s="275" t="s">
        <v>216</v>
      </c>
      <c r="E1181" s="275">
        <v>41425.569409722222</v>
      </c>
      <c r="F1181" s="276">
        <v>1</v>
      </c>
      <c r="G1181" s="243">
        <f t="shared" si="19"/>
        <v>87</v>
      </c>
      <c r="H1181" s="244"/>
      <c r="I1181" s="71" t="e">
        <f>IF(COUNTIF((rName rData),H1181),"","Name Error!")</f>
        <v>#NAME?</v>
      </c>
    </row>
    <row r="1182" spans="2:9" s="126" customFormat="1" ht="15" customHeight="1" x14ac:dyDescent="0.25">
      <c r="B1182" s="271" t="s">
        <v>267</v>
      </c>
      <c r="C1182" s="272" t="s">
        <v>268</v>
      </c>
      <c r="D1182" s="275" t="s">
        <v>216</v>
      </c>
      <c r="E1182" s="275">
        <v>41425.739085648151</v>
      </c>
      <c r="F1182" s="276">
        <v>1</v>
      </c>
      <c r="G1182" s="243">
        <f t="shared" si="19"/>
        <v>87</v>
      </c>
      <c r="H1182" s="244"/>
      <c r="I1182" s="71" t="e">
        <f>IF(COUNTIF((rName rData),H1182),"","Name Error!")</f>
        <v>#NAME?</v>
      </c>
    </row>
    <row r="1183" spans="2:9" s="126" customFormat="1" ht="15" customHeight="1" x14ac:dyDescent="0.25">
      <c r="B1183" s="271" t="s">
        <v>341</v>
      </c>
      <c r="C1183" s="272" t="s">
        <v>340</v>
      </c>
      <c r="D1183" s="275" t="s">
        <v>216</v>
      </c>
      <c r="E1183" s="275">
        <v>41425.843877314815</v>
      </c>
      <c r="F1183" s="276">
        <v>1</v>
      </c>
      <c r="G1183" s="243">
        <f t="shared" si="19"/>
        <v>87</v>
      </c>
      <c r="H1183" s="244"/>
      <c r="I1183" s="71" t="e">
        <f>IF(COUNTIF((rName rData),H1183),"","Name Error!")</f>
        <v>#NAME?</v>
      </c>
    </row>
    <row r="1184" spans="2:9" s="126" customFormat="1" ht="15" customHeight="1" x14ac:dyDescent="0.25">
      <c r="B1184" s="271" t="s">
        <v>328</v>
      </c>
      <c r="C1184" s="272" t="s">
        <v>327</v>
      </c>
      <c r="D1184" s="275" t="s">
        <v>216</v>
      </c>
      <c r="E1184" s="275">
        <v>41426.051979166667</v>
      </c>
      <c r="F1184" s="276">
        <v>4</v>
      </c>
      <c r="G1184" s="243">
        <f t="shared" si="19"/>
        <v>88</v>
      </c>
      <c r="H1184" s="244"/>
      <c r="I1184" s="71" t="e">
        <f>IF(COUNTIF((rName rData),H1184),"","Name Error!")</f>
        <v>#NAME?</v>
      </c>
    </row>
    <row r="1185" spans="2:9" s="126" customFormat="1" ht="15" customHeight="1" x14ac:dyDescent="0.25">
      <c r="B1185" s="271" t="s">
        <v>279</v>
      </c>
      <c r="C1185" s="272" t="s">
        <v>280</v>
      </c>
      <c r="D1185" s="275" t="s">
        <v>216</v>
      </c>
      <c r="E1185" s="275">
        <v>41426.66207175926</v>
      </c>
      <c r="F1185" s="276">
        <v>1</v>
      </c>
      <c r="G1185" s="243">
        <f t="shared" si="19"/>
        <v>88</v>
      </c>
      <c r="H1185" s="244"/>
      <c r="I1185" s="71" t="e">
        <f>IF(COUNTIF((rName rData),H1185),"","Name Error!")</f>
        <v>#NAME?</v>
      </c>
    </row>
    <row r="1186" spans="2:9" s="126" customFormat="1" ht="15" customHeight="1" x14ac:dyDescent="0.25">
      <c r="B1186" s="271" t="s">
        <v>267</v>
      </c>
      <c r="C1186" s="272" t="s">
        <v>268</v>
      </c>
      <c r="D1186" s="275" t="s">
        <v>216</v>
      </c>
      <c r="E1186" s="275">
        <v>41426.765347222223</v>
      </c>
      <c r="F1186" s="276">
        <v>2</v>
      </c>
      <c r="G1186" s="243">
        <f t="shared" si="19"/>
        <v>88</v>
      </c>
      <c r="H1186" s="244"/>
      <c r="I1186" s="71" t="e">
        <f>IF(COUNTIF((rName rData),H1186),"","Name Error!")</f>
        <v>#NAME?</v>
      </c>
    </row>
    <row r="1187" spans="2:9" s="126" customFormat="1" ht="15" customHeight="1" x14ac:dyDescent="0.25">
      <c r="B1187" s="271" t="s">
        <v>341</v>
      </c>
      <c r="C1187" s="272" t="s">
        <v>340</v>
      </c>
      <c r="D1187" s="275" t="s">
        <v>216</v>
      </c>
      <c r="E1187" s="275">
        <v>41426.942870370367</v>
      </c>
      <c r="F1187" s="276">
        <v>2</v>
      </c>
      <c r="G1187" s="243">
        <f t="shared" si="19"/>
        <v>88</v>
      </c>
      <c r="H1187" s="244"/>
      <c r="I1187" s="71" t="e">
        <f>IF(COUNTIF((rName rData),H1187),"","Name Error!")</f>
        <v>#NAME?</v>
      </c>
    </row>
    <row r="1188" spans="2:9" s="126" customFormat="1" ht="15" customHeight="1" x14ac:dyDescent="0.25">
      <c r="B1188" s="271" t="s">
        <v>358</v>
      </c>
      <c r="C1188" s="272" t="s">
        <v>357</v>
      </c>
      <c r="D1188" s="275" t="s">
        <v>216</v>
      </c>
      <c r="E1188" s="275">
        <v>41427.332476851851</v>
      </c>
      <c r="F1188" s="276">
        <v>4</v>
      </c>
      <c r="G1188" s="243">
        <f t="shared" si="19"/>
        <v>88</v>
      </c>
      <c r="H1188" s="244"/>
      <c r="I1188" s="71" t="e">
        <f>IF(COUNTIF((rName rData),H1188),"","Name Error!")</f>
        <v>#NAME?</v>
      </c>
    </row>
    <row r="1189" spans="2:9" s="126" customFormat="1" ht="15" customHeight="1" x14ac:dyDescent="0.25">
      <c r="B1189" s="271" t="s">
        <v>267</v>
      </c>
      <c r="C1189" s="272" t="s">
        <v>268</v>
      </c>
      <c r="D1189" s="275" t="s">
        <v>216</v>
      </c>
      <c r="E1189" s="275">
        <v>41427.375740740739</v>
      </c>
      <c r="F1189" s="276">
        <v>2</v>
      </c>
      <c r="G1189" s="243">
        <f t="shared" si="19"/>
        <v>88</v>
      </c>
      <c r="H1189" s="244"/>
      <c r="I1189" s="71" t="e">
        <f>IF(COUNTIF((rName rData),H1189),"","Name Error!")</f>
        <v>#NAME?</v>
      </c>
    </row>
    <row r="1190" spans="2:9" s="126" customFormat="1" ht="15" customHeight="1" x14ac:dyDescent="0.25">
      <c r="B1190" s="271" t="s">
        <v>279</v>
      </c>
      <c r="C1190" s="272" t="s">
        <v>280</v>
      </c>
      <c r="D1190" s="275" t="s">
        <v>216</v>
      </c>
      <c r="E1190" s="275">
        <v>41427.523518518516</v>
      </c>
      <c r="F1190" s="276">
        <v>4</v>
      </c>
      <c r="G1190" s="243">
        <f t="shared" si="19"/>
        <v>88</v>
      </c>
      <c r="H1190" s="244"/>
      <c r="I1190" s="71" t="e">
        <f>IF(COUNTIF((rName rData),H1190),"","Name Error!")</f>
        <v>#NAME?</v>
      </c>
    </row>
    <row r="1191" spans="2:9" s="126" customFormat="1" ht="15" customHeight="1" x14ac:dyDescent="0.25">
      <c r="B1191" s="271" t="s">
        <v>350</v>
      </c>
      <c r="C1191" s="272" t="s">
        <v>349</v>
      </c>
      <c r="D1191" s="275" t="s">
        <v>216</v>
      </c>
      <c r="E1191" s="275">
        <v>41427.722048611111</v>
      </c>
      <c r="F1191" s="276">
        <v>1</v>
      </c>
      <c r="G1191" s="243">
        <f t="shared" si="19"/>
        <v>88</v>
      </c>
      <c r="H1191" s="244"/>
      <c r="I1191" s="71" t="e">
        <f>IF(COUNTIF((rName rData),H1191),"","Name Error!")</f>
        <v>#NAME?</v>
      </c>
    </row>
    <row r="1192" spans="2:9" s="126" customFormat="1" ht="15" customHeight="1" x14ac:dyDescent="0.25">
      <c r="B1192" s="271" t="s">
        <v>279</v>
      </c>
      <c r="C1192" s="272" t="s">
        <v>280</v>
      </c>
      <c r="D1192" s="275" t="s">
        <v>216</v>
      </c>
      <c r="E1192" s="275">
        <v>41428.01525462963</v>
      </c>
      <c r="F1192" s="276">
        <v>1</v>
      </c>
      <c r="G1192" s="243">
        <f t="shared" si="19"/>
        <v>88</v>
      </c>
      <c r="H1192" s="244"/>
      <c r="I1192" s="71" t="e">
        <f>IF(COUNTIF((rName rData),H1192),"","Name Error!")</f>
        <v>#NAME?</v>
      </c>
    </row>
    <row r="1193" spans="2:9" s="126" customFormat="1" ht="15" customHeight="1" x14ac:dyDescent="0.25">
      <c r="B1193" s="271" t="s">
        <v>341</v>
      </c>
      <c r="C1193" s="272" t="s">
        <v>340</v>
      </c>
      <c r="D1193" s="275" t="s">
        <v>216</v>
      </c>
      <c r="E1193" s="275">
        <v>41428.80908564815</v>
      </c>
      <c r="F1193" s="276">
        <v>1</v>
      </c>
      <c r="G1193" s="243">
        <f t="shared" si="19"/>
        <v>88</v>
      </c>
      <c r="H1193" s="244"/>
      <c r="I1193" s="71" t="e">
        <f>IF(COUNTIF((rName rData),H1193),"","Name Error!")</f>
        <v>#NAME?</v>
      </c>
    </row>
    <row r="1194" spans="2:9" s="126" customFormat="1" ht="15" customHeight="1" x14ac:dyDescent="0.25">
      <c r="B1194" s="271" t="s">
        <v>358</v>
      </c>
      <c r="C1194" s="272" t="s">
        <v>357</v>
      </c>
      <c r="D1194" s="275" t="s">
        <v>216</v>
      </c>
      <c r="E1194" s="275">
        <v>41429.787534722222</v>
      </c>
      <c r="F1194" s="276">
        <v>1</v>
      </c>
      <c r="G1194" s="243">
        <f t="shared" si="19"/>
        <v>88</v>
      </c>
      <c r="H1194" s="244"/>
      <c r="I1194" s="71" t="e">
        <f>IF(COUNTIF((rName rData),H1194),"","Name Error!")</f>
        <v>#NAME?</v>
      </c>
    </row>
    <row r="1195" spans="2:9" s="126" customFormat="1" ht="15" customHeight="1" x14ac:dyDescent="0.25">
      <c r="B1195" s="271" t="s">
        <v>341</v>
      </c>
      <c r="C1195" s="272" t="s">
        <v>340</v>
      </c>
      <c r="D1195" s="275" t="s">
        <v>216</v>
      </c>
      <c r="E1195" s="275">
        <v>41430.496828703705</v>
      </c>
      <c r="F1195" s="276">
        <v>1</v>
      </c>
      <c r="G1195" s="243">
        <f t="shared" si="19"/>
        <v>88</v>
      </c>
      <c r="H1195" s="244"/>
      <c r="I1195" s="71" t="e">
        <f>IF(COUNTIF((rName rData),H1195),"","Name Error!")</f>
        <v>#NAME?</v>
      </c>
    </row>
    <row r="1196" spans="2:9" s="126" customFormat="1" ht="15" customHeight="1" x14ac:dyDescent="0.25">
      <c r="B1196" s="271" t="s">
        <v>358</v>
      </c>
      <c r="C1196" s="272" t="s">
        <v>357</v>
      </c>
      <c r="D1196" s="275" t="s">
        <v>216</v>
      </c>
      <c r="E1196" s="275">
        <v>41430.771284722221</v>
      </c>
      <c r="F1196" s="276">
        <v>2</v>
      </c>
      <c r="G1196" s="243">
        <f t="shared" si="19"/>
        <v>88</v>
      </c>
      <c r="H1196" s="244"/>
      <c r="I1196" s="71" t="e">
        <f>IF(COUNTIF((rName rData),H1196),"","Name Error!")</f>
        <v>#NAME?</v>
      </c>
    </row>
    <row r="1197" spans="2:9" s="126" customFormat="1" ht="15" customHeight="1" x14ac:dyDescent="0.25">
      <c r="B1197" s="271" t="s">
        <v>267</v>
      </c>
      <c r="C1197" s="272" t="s">
        <v>268</v>
      </c>
      <c r="D1197" s="275" t="s">
        <v>216</v>
      </c>
      <c r="E1197" s="275">
        <v>41430.790324074071</v>
      </c>
      <c r="F1197" s="276">
        <v>1</v>
      </c>
      <c r="G1197" s="243">
        <f t="shared" si="19"/>
        <v>88</v>
      </c>
      <c r="H1197" s="244"/>
      <c r="I1197" s="71" t="e">
        <f>IF(COUNTIF((rName rData),H1197),"","Name Error!")</f>
        <v>#NAME?</v>
      </c>
    </row>
    <row r="1198" spans="2:9" s="126" customFormat="1" ht="15" customHeight="1" x14ac:dyDescent="0.25">
      <c r="B1198" s="271" t="s">
        <v>328</v>
      </c>
      <c r="C1198" s="272" t="s">
        <v>327</v>
      </c>
      <c r="D1198" s="275" t="s">
        <v>216</v>
      </c>
      <c r="E1198" s="275">
        <v>41430.918865740743</v>
      </c>
      <c r="F1198" s="276">
        <v>1</v>
      </c>
      <c r="G1198" s="243">
        <f t="shared" si="19"/>
        <v>88</v>
      </c>
      <c r="H1198" s="244"/>
      <c r="I1198" s="71" t="e">
        <f>IF(COUNTIF((rName rData),H1198),"","Name Error!")</f>
        <v>#NAME?</v>
      </c>
    </row>
    <row r="1199" spans="2:9" s="126" customFormat="1" ht="15" customHeight="1" x14ac:dyDescent="0.25">
      <c r="B1199" s="271" t="s">
        <v>279</v>
      </c>
      <c r="C1199" s="272" t="s">
        <v>280</v>
      </c>
      <c r="D1199" s="275" t="s">
        <v>216</v>
      </c>
      <c r="E1199" s="275">
        <v>41430.976909722223</v>
      </c>
      <c r="F1199" s="276">
        <v>1</v>
      </c>
      <c r="G1199" s="243">
        <f t="shared" si="19"/>
        <v>88</v>
      </c>
      <c r="H1199" s="244"/>
      <c r="I1199" s="71" t="e">
        <f>IF(COUNTIF((rName rData),H1199),"","Name Error!")</f>
        <v>#NAME?</v>
      </c>
    </row>
    <row r="1200" spans="2:9" s="126" customFormat="1" ht="15" customHeight="1" x14ac:dyDescent="0.25">
      <c r="B1200" s="271" t="s">
        <v>328</v>
      </c>
      <c r="C1200" s="272" t="s">
        <v>327</v>
      </c>
      <c r="D1200" s="275" t="s">
        <v>216</v>
      </c>
      <c r="E1200" s="275">
        <v>41431.029745370368</v>
      </c>
      <c r="F1200" s="276">
        <v>2</v>
      </c>
      <c r="G1200" s="243">
        <f t="shared" si="19"/>
        <v>88</v>
      </c>
      <c r="H1200" s="244"/>
      <c r="I1200" s="71" t="e">
        <f>IF(COUNTIF((rName rData),H1200),"","Name Error!")</f>
        <v>#NAME?</v>
      </c>
    </row>
    <row r="1201" spans="2:9" s="126" customFormat="1" ht="15" customHeight="1" x14ac:dyDescent="0.25">
      <c r="B1201" s="271" t="s">
        <v>341</v>
      </c>
      <c r="C1201" s="272" t="s">
        <v>340</v>
      </c>
      <c r="D1201" s="275" t="s">
        <v>216</v>
      </c>
      <c r="E1201" s="275">
        <v>41431.890555555554</v>
      </c>
      <c r="F1201" s="276">
        <v>2</v>
      </c>
      <c r="G1201" s="243">
        <f t="shared" si="19"/>
        <v>88</v>
      </c>
      <c r="H1201" s="244"/>
      <c r="I1201" s="71" t="e">
        <f>IF(COUNTIF((rName rData),H1201),"","Name Error!")</f>
        <v>#NAME?</v>
      </c>
    </row>
    <row r="1202" spans="2:9" s="126" customFormat="1" ht="15" customHeight="1" x14ac:dyDescent="0.25">
      <c r="B1202" s="271" t="s">
        <v>267</v>
      </c>
      <c r="C1202" s="272" t="s">
        <v>268</v>
      </c>
      <c r="D1202" s="275" t="s">
        <v>216</v>
      </c>
      <c r="E1202" s="275">
        <v>41432.803159722222</v>
      </c>
      <c r="F1202" s="276">
        <v>1</v>
      </c>
      <c r="G1202" s="243">
        <f t="shared" si="19"/>
        <v>88</v>
      </c>
      <c r="H1202" s="244"/>
      <c r="I1202" s="71" t="e">
        <f>IF(COUNTIF((rName rData),H1202),"","Name Error!")</f>
        <v>#NAME?</v>
      </c>
    </row>
    <row r="1203" spans="2:9" s="126" customFormat="1" ht="15" customHeight="1" x14ac:dyDescent="0.25">
      <c r="B1203" s="271" t="s">
        <v>279</v>
      </c>
      <c r="C1203" s="272" t="s">
        <v>280</v>
      </c>
      <c r="D1203" s="275" t="s">
        <v>216</v>
      </c>
      <c r="E1203" s="275">
        <v>41432.820891203701</v>
      </c>
      <c r="F1203" s="276">
        <v>1</v>
      </c>
      <c r="G1203" s="243">
        <f t="shared" si="19"/>
        <v>88</v>
      </c>
      <c r="H1203" s="244"/>
      <c r="I1203" s="71" t="e">
        <f>IF(COUNTIF((rName rData),H1203),"","Name Error!")</f>
        <v>#NAME?</v>
      </c>
    </row>
    <row r="1204" spans="2:9" s="126" customFormat="1" ht="15" customHeight="1" x14ac:dyDescent="0.25">
      <c r="B1204" s="271" t="s">
        <v>341</v>
      </c>
      <c r="C1204" s="272" t="s">
        <v>340</v>
      </c>
      <c r="D1204" s="275" t="s">
        <v>216</v>
      </c>
      <c r="E1204" s="275">
        <v>41432.826342592591</v>
      </c>
      <c r="F1204" s="276">
        <v>1</v>
      </c>
      <c r="G1204" s="243">
        <f t="shared" si="19"/>
        <v>88</v>
      </c>
      <c r="H1204" s="244"/>
      <c r="I1204" s="71" t="e">
        <f>IF(COUNTIF((rName rData),H1204),"","Name Error!")</f>
        <v>#NAME?</v>
      </c>
    </row>
    <row r="1205" spans="2:9" s="126" customFormat="1" ht="15" customHeight="1" x14ac:dyDescent="0.25">
      <c r="B1205" s="271" t="s">
        <v>267</v>
      </c>
      <c r="C1205" s="272" t="s">
        <v>268</v>
      </c>
      <c r="D1205" s="275" t="s">
        <v>216</v>
      </c>
      <c r="E1205" s="275">
        <v>41433.395046296297</v>
      </c>
      <c r="F1205" s="276">
        <v>1</v>
      </c>
      <c r="G1205" s="243">
        <f t="shared" si="19"/>
        <v>89</v>
      </c>
      <c r="H1205" s="244"/>
      <c r="I1205" s="71" t="e">
        <f>IF(COUNTIF((rName rData),H1205),"","Name Error!")</f>
        <v>#NAME?</v>
      </c>
    </row>
    <row r="1206" spans="2:9" s="126" customFormat="1" ht="15" customHeight="1" x14ac:dyDescent="0.25">
      <c r="B1206" s="271" t="s">
        <v>341</v>
      </c>
      <c r="C1206" s="272" t="s">
        <v>340</v>
      </c>
      <c r="D1206" s="275" t="s">
        <v>216</v>
      </c>
      <c r="E1206" s="275">
        <v>41433.428090277775</v>
      </c>
      <c r="F1206" s="276">
        <v>2</v>
      </c>
      <c r="G1206" s="243">
        <f t="shared" si="19"/>
        <v>89</v>
      </c>
      <c r="H1206" s="244"/>
      <c r="I1206" s="71" t="e">
        <f>IF(COUNTIF((rName rData),H1206),"","Name Error!")</f>
        <v>#NAME?</v>
      </c>
    </row>
    <row r="1207" spans="2:9" s="126" customFormat="1" ht="15" customHeight="1" x14ac:dyDescent="0.25">
      <c r="B1207" s="271" t="s">
        <v>358</v>
      </c>
      <c r="C1207" s="272" t="s">
        <v>357</v>
      </c>
      <c r="D1207" s="275" t="s">
        <v>216</v>
      </c>
      <c r="E1207" s="275">
        <v>41433.470497685186</v>
      </c>
      <c r="F1207" s="276">
        <v>2</v>
      </c>
      <c r="G1207" s="243">
        <f t="shared" si="19"/>
        <v>89</v>
      </c>
      <c r="H1207" s="244"/>
      <c r="I1207" s="71" t="e">
        <f>IF(COUNTIF((rName rData),H1207),"","Name Error!")</f>
        <v>#NAME?</v>
      </c>
    </row>
    <row r="1208" spans="2:9" s="126" customFormat="1" ht="15" customHeight="1" x14ac:dyDescent="0.25">
      <c r="B1208" s="271" t="s">
        <v>279</v>
      </c>
      <c r="C1208" s="272" t="s">
        <v>280</v>
      </c>
      <c r="D1208" s="275" t="s">
        <v>216</v>
      </c>
      <c r="E1208" s="275">
        <v>41433.490162037036</v>
      </c>
      <c r="F1208" s="276">
        <v>1</v>
      </c>
      <c r="G1208" s="243">
        <f t="shared" si="19"/>
        <v>89</v>
      </c>
      <c r="H1208" s="244"/>
      <c r="I1208" s="71" t="e">
        <f>IF(COUNTIF((rName rData),H1208),"","Name Error!")</f>
        <v>#NAME?</v>
      </c>
    </row>
    <row r="1209" spans="2:9" s="126" customFormat="1" ht="15" customHeight="1" x14ac:dyDescent="0.25">
      <c r="B1209" s="271" t="s">
        <v>328</v>
      </c>
      <c r="C1209" s="272" t="s">
        <v>327</v>
      </c>
      <c r="D1209" s="275" t="s">
        <v>216</v>
      </c>
      <c r="E1209" s="275">
        <v>41433.553020833337</v>
      </c>
      <c r="F1209" s="276">
        <v>1</v>
      </c>
      <c r="G1209" s="243">
        <f t="shared" si="19"/>
        <v>89</v>
      </c>
      <c r="H1209" s="244"/>
      <c r="I1209" s="71" t="e">
        <f>IF(COUNTIF((rName rData),H1209),"","Name Error!")</f>
        <v>#NAME?</v>
      </c>
    </row>
    <row r="1210" spans="2:9" s="126" customFormat="1" ht="15" customHeight="1" x14ac:dyDescent="0.25">
      <c r="B1210" s="271" t="s">
        <v>328</v>
      </c>
      <c r="C1210" s="272" t="s">
        <v>327</v>
      </c>
      <c r="D1210" s="275" t="s">
        <v>216</v>
      </c>
      <c r="E1210" s="275">
        <v>41434.018483796295</v>
      </c>
      <c r="F1210" s="276">
        <v>2</v>
      </c>
      <c r="G1210" s="243">
        <f t="shared" si="19"/>
        <v>89</v>
      </c>
      <c r="H1210" s="244"/>
      <c r="I1210" s="71" t="e">
        <f>IF(COUNTIF((rName rData),H1210),"","Name Error!")</f>
        <v>#NAME?</v>
      </c>
    </row>
    <row r="1211" spans="2:9" s="126" customFormat="1" ht="15" customHeight="1" x14ac:dyDescent="0.25">
      <c r="B1211" s="271" t="s">
        <v>341</v>
      </c>
      <c r="C1211" s="272" t="s">
        <v>340</v>
      </c>
      <c r="D1211" s="275" t="s">
        <v>216</v>
      </c>
      <c r="E1211" s="275">
        <v>41434.369722222225</v>
      </c>
      <c r="F1211" s="276">
        <v>3</v>
      </c>
      <c r="G1211" s="243">
        <f t="shared" si="19"/>
        <v>89</v>
      </c>
      <c r="H1211" s="244"/>
      <c r="I1211" s="71" t="e">
        <f>IF(COUNTIF((rName rData),H1211),"","Name Error!")</f>
        <v>#NAME?</v>
      </c>
    </row>
    <row r="1212" spans="2:9" s="126" customFormat="1" ht="15" customHeight="1" x14ac:dyDescent="0.25">
      <c r="B1212" s="271" t="s">
        <v>267</v>
      </c>
      <c r="C1212" s="272" t="s">
        <v>268</v>
      </c>
      <c r="D1212" s="275" t="s">
        <v>216</v>
      </c>
      <c r="E1212" s="275">
        <v>41434.483402777776</v>
      </c>
      <c r="F1212" s="276">
        <v>4</v>
      </c>
      <c r="G1212" s="243">
        <f t="shared" si="19"/>
        <v>89</v>
      </c>
      <c r="H1212" s="244"/>
      <c r="I1212" s="71" t="e">
        <f>IF(COUNTIF((rName rData),H1212),"","Name Error!")</f>
        <v>#NAME?</v>
      </c>
    </row>
    <row r="1213" spans="2:9" s="126" customFormat="1" ht="15" customHeight="1" x14ac:dyDescent="0.25">
      <c r="B1213" s="271" t="s">
        <v>350</v>
      </c>
      <c r="C1213" s="272" t="s">
        <v>349</v>
      </c>
      <c r="D1213" s="275" t="s">
        <v>216</v>
      </c>
      <c r="E1213" s="275">
        <v>41434.663159722222</v>
      </c>
      <c r="F1213" s="276">
        <v>1</v>
      </c>
      <c r="G1213" s="243">
        <f t="shared" si="19"/>
        <v>89</v>
      </c>
      <c r="H1213" s="244"/>
      <c r="I1213" s="71" t="e">
        <f>IF(COUNTIF((rName rData),H1213),"","Name Error!")</f>
        <v>#NAME?</v>
      </c>
    </row>
    <row r="1214" spans="2:9" s="126" customFormat="1" ht="15" customHeight="1" x14ac:dyDescent="0.25">
      <c r="B1214" s="271" t="s">
        <v>279</v>
      </c>
      <c r="C1214" s="272" t="s">
        <v>280</v>
      </c>
      <c r="D1214" s="275" t="s">
        <v>216</v>
      </c>
      <c r="E1214" s="275">
        <v>41434.802037037036</v>
      </c>
      <c r="F1214" s="276">
        <v>1</v>
      </c>
      <c r="G1214" s="243">
        <f t="shared" si="19"/>
        <v>89</v>
      </c>
      <c r="H1214" s="244"/>
      <c r="I1214" s="71" t="e">
        <f>IF(COUNTIF((rName rData),H1214),"","Name Error!")</f>
        <v>#NAME?</v>
      </c>
    </row>
    <row r="1215" spans="2:9" s="126" customFormat="1" ht="15" customHeight="1" x14ac:dyDescent="0.25">
      <c r="B1215" s="271" t="s">
        <v>358</v>
      </c>
      <c r="C1215" s="272" t="s">
        <v>357</v>
      </c>
      <c r="D1215" s="275" t="s">
        <v>216</v>
      </c>
      <c r="E1215" s="275">
        <v>41434.877638888887</v>
      </c>
      <c r="F1215" s="276">
        <v>1</v>
      </c>
      <c r="G1215" s="243">
        <f t="shared" si="19"/>
        <v>89</v>
      </c>
      <c r="H1215" s="244"/>
      <c r="I1215" s="71" t="e">
        <f>IF(COUNTIF((rName rData),H1215),"","Name Error!")</f>
        <v>#NAME?</v>
      </c>
    </row>
    <row r="1216" spans="2:9" s="126" customFormat="1" ht="15" customHeight="1" x14ac:dyDescent="0.25">
      <c r="B1216" s="271" t="s">
        <v>328</v>
      </c>
      <c r="C1216" s="272" t="s">
        <v>327</v>
      </c>
      <c r="D1216" s="275" t="s">
        <v>216</v>
      </c>
      <c r="E1216" s="275">
        <v>41435.081516203703</v>
      </c>
      <c r="F1216" s="276">
        <v>1</v>
      </c>
      <c r="G1216" s="243">
        <f t="shared" si="19"/>
        <v>89</v>
      </c>
      <c r="H1216" s="244"/>
      <c r="I1216" s="71" t="e">
        <f>IF(COUNTIF((rName rData),H1216),"","Name Error!")</f>
        <v>#NAME?</v>
      </c>
    </row>
    <row r="1217" spans="2:9" s="126" customFormat="1" ht="15" customHeight="1" x14ac:dyDescent="0.25">
      <c r="B1217" s="271" t="s">
        <v>267</v>
      </c>
      <c r="C1217" s="272" t="s">
        <v>268</v>
      </c>
      <c r="D1217" s="275" t="s">
        <v>216</v>
      </c>
      <c r="E1217" s="275">
        <v>41435.699814814812</v>
      </c>
      <c r="F1217" s="276">
        <v>1</v>
      </c>
      <c r="G1217" s="243">
        <f t="shared" si="19"/>
        <v>89</v>
      </c>
      <c r="H1217" s="244"/>
      <c r="I1217" s="71" t="e">
        <f>IF(COUNTIF((rName rData),H1217),"","Name Error!")</f>
        <v>#NAME?</v>
      </c>
    </row>
    <row r="1218" spans="2:9" s="126" customFormat="1" ht="15" customHeight="1" x14ac:dyDescent="0.25">
      <c r="B1218" s="271" t="s">
        <v>358</v>
      </c>
      <c r="C1218" s="272" t="s">
        <v>357</v>
      </c>
      <c r="D1218" s="275" t="s">
        <v>216</v>
      </c>
      <c r="E1218" s="275">
        <v>41435.84275462963</v>
      </c>
      <c r="F1218" s="276">
        <v>1</v>
      </c>
      <c r="G1218" s="243">
        <f t="shared" si="19"/>
        <v>89</v>
      </c>
      <c r="H1218" s="244"/>
      <c r="I1218" s="71" t="e">
        <f>IF(COUNTIF((rName rData),H1218),"","Name Error!")</f>
        <v>#NAME?</v>
      </c>
    </row>
    <row r="1219" spans="2:9" s="126" customFormat="1" ht="15" customHeight="1" x14ac:dyDescent="0.25">
      <c r="B1219" s="271" t="s">
        <v>267</v>
      </c>
      <c r="C1219" s="272" t="s">
        <v>268</v>
      </c>
      <c r="D1219" s="275" t="s">
        <v>216</v>
      </c>
      <c r="E1219" s="275">
        <v>41436.190451388888</v>
      </c>
      <c r="F1219" s="276">
        <v>3</v>
      </c>
      <c r="G1219" s="243">
        <f t="shared" si="19"/>
        <v>89</v>
      </c>
      <c r="H1219" s="244"/>
      <c r="I1219" s="71" t="e">
        <f>IF(COUNTIF((rName rData),H1219),"","Name Error!")</f>
        <v>#NAME?</v>
      </c>
    </row>
    <row r="1220" spans="2:9" s="126" customFormat="1" ht="15" customHeight="1" x14ac:dyDescent="0.25">
      <c r="B1220" s="271" t="s">
        <v>279</v>
      </c>
      <c r="C1220" s="272" t="s">
        <v>280</v>
      </c>
      <c r="D1220" s="275" t="s">
        <v>216</v>
      </c>
      <c r="E1220" s="275">
        <v>41436.980474537035</v>
      </c>
      <c r="F1220" s="276">
        <v>1</v>
      </c>
      <c r="G1220" s="243">
        <f t="shared" si="19"/>
        <v>89</v>
      </c>
      <c r="H1220" s="244"/>
      <c r="I1220" s="71" t="e">
        <f>IF(COUNTIF((rName rData),H1220),"","Name Error!")</f>
        <v>#NAME?</v>
      </c>
    </row>
    <row r="1221" spans="2:9" s="126" customFormat="1" ht="15" customHeight="1" x14ac:dyDescent="0.25">
      <c r="B1221" s="271" t="s">
        <v>341</v>
      </c>
      <c r="C1221" s="272" t="s">
        <v>340</v>
      </c>
      <c r="D1221" s="275" t="s">
        <v>216</v>
      </c>
      <c r="E1221" s="275">
        <v>41437.384918981479</v>
      </c>
      <c r="F1221" s="276">
        <v>1</v>
      </c>
      <c r="G1221" s="243">
        <f t="shared" si="19"/>
        <v>89</v>
      </c>
      <c r="H1221" s="244"/>
      <c r="I1221" s="71" t="e">
        <f>IF(COUNTIF((rName rData),H1221),"","Name Error!")</f>
        <v>#NAME?</v>
      </c>
    </row>
    <row r="1222" spans="2:9" s="126" customFormat="1" ht="15" customHeight="1" x14ac:dyDescent="0.25">
      <c r="B1222" s="271" t="s">
        <v>341</v>
      </c>
      <c r="C1222" s="272" t="s">
        <v>340</v>
      </c>
      <c r="D1222" s="275" t="s">
        <v>216</v>
      </c>
      <c r="E1222" s="275">
        <v>41438.687407407408</v>
      </c>
      <c r="F1222" s="276">
        <v>1</v>
      </c>
      <c r="G1222" s="243">
        <f t="shared" si="19"/>
        <v>89</v>
      </c>
      <c r="H1222" s="244"/>
      <c r="I1222" s="71" t="e">
        <f>IF(COUNTIF((rName rData),H1222),"","Name Error!")</f>
        <v>#NAME?</v>
      </c>
    </row>
    <row r="1223" spans="2:9" s="126" customFormat="1" ht="15" customHeight="1" x14ac:dyDescent="0.25">
      <c r="B1223" s="271" t="s">
        <v>358</v>
      </c>
      <c r="C1223" s="272" t="s">
        <v>357</v>
      </c>
      <c r="D1223" s="275" t="s">
        <v>216</v>
      </c>
      <c r="E1223" s="275">
        <v>41438.744351851848</v>
      </c>
      <c r="F1223" s="276">
        <v>1</v>
      </c>
      <c r="G1223" s="243">
        <f t="shared" si="19"/>
        <v>89</v>
      </c>
      <c r="H1223" s="244"/>
      <c r="I1223" s="71" t="e">
        <f>IF(COUNTIF((rName rData),H1223),"","Name Error!")</f>
        <v>#NAME?</v>
      </c>
    </row>
    <row r="1224" spans="2:9" s="126" customFormat="1" ht="15" customHeight="1" x14ac:dyDescent="0.25">
      <c r="B1224" s="271" t="s">
        <v>279</v>
      </c>
      <c r="C1224" s="272" t="s">
        <v>280</v>
      </c>
      <c r="D1224" s="275" t="s">
        <v>216</v>
      </c>
      <c r="E1224" s="275">
        <v>41438.985752314817</v>
      </c>
      <c r="F1224" s="276">
        <v>1</v>
      </c>
      <c r="G1224" s="243">
        <f t="shared" si="19"/>
        <v>89</v>
      </c>
      <c r="H1224" s="244"/>
      <c r="I1224" s="71" t="e">
        <f>IF(COUNTIF((rName rData),H1224),"","Name Error!")</f>
        <v>#NAME?</v>
      </c>
    </row>
    <row r="1225" spans="2:9" s="126" customFormat="1" ht="15" customHeight="1" x14ac:dyDescent="0.25">
      <c r="B1225" s="271" t="s">
        <v>279</v>
      </c>
      <c r="C1225" s="272" t="s">
        <v>280</v>
      </c>
      <c r="D1225" s="275" t="s">
        <v>216</v>
      </c>
      <c r="E1225" s="275">
        <v>41439.210462962961</v>
      </c>
      <c r="F1225" s="276">
        <v>1</v>
      </c>
      <c r="G1225" s="243">
        <f t="shared" si="19"/>
        <v>89</v>
      </c>
      <c r="H1225" s="244"/>
      <c r="I1225" s="71" t="e">
        <f>IF(COUNTIF((rName rData),H1225),"","Name Error!")</f>
        <v>#NAME?</v>
      </c>
    </row>
    <row r="1226" spans="2:9" s="126" customFormat="1" ht="15" customHeight="1" x14ac:dyDescent="0.25">
      <c r="B1226" s="271" t="s">
        <v>358</v>
      </c>
      <c r="C1226" s="272" t="s">
        <v>357</v>
      </c>
      <c r="D1226" s="275" t="s">
        <v>216</v>
      </c>
      <c r="E1226" s="275">
        <v>41439.527384259258</v>
      </c>
      <c r="F1226" s="276">
        <v>3</v>
      </c>
      <c r="G1226" s="243">
        <f t="shared" ref="G1226:G1289" si="20">TRUNC((E1226-start)/7)+1</f>
        <v>89</v>
      </c>
      <c r="H1226" s="244"/>
      <c r="I1226" s="71" t="e">
        <f>IF(COUNTIF((rName rData),H1226),"","Name Error!")</f>
        <v>#NAME?</v>
      </c>
    </row>
    <row r="1227" spans="2:9" s="126" customFormat="1" ht="15" customHeight="1" x14ac:dyDescent="0.25">
      <c r="B1227" s="271" t="s">
        <v>341</v>
      </c>
      <c r="C1227" s="272" t="s">
        <v>340</v>
      </c>
      <c r="D1227" s="275" t="s">
        <v>216</v>
      </c>
      <c r="E1227" s="275">
        <v>41439.812175925923</v>
      </c>
      <c r="F1227" s="276">
        <v>1</v>
      </c>
      <c r="G1227" s="243">
        <f t="shared" si="20"/>
        <v>89</v>
      </c>
      <c r="H1227" s="244"/>
      <c r="I1227" s="71" t="e">
        <f>IF(COUNTIF((rName rData),H1227),"","Name Error!")</f>
        <v>#NAME?</v>
      </c>
    </row>
    <row r="1228" spans="2:9" s="126" customFormat="1" ht="15" customHeight="1" x14ac:dyDescent="0.25">
      <c r="B1228" s="271" t="s">
        <v>267</v>
      </c>
      <c r="C1228" s="272" t="s">
        <v>268</v>
      </c>
      <c r="D1228" s="275" t="s">
        <v>216</v>
      </c>
      <c r="E1228" s="275">
        <v>41440.398969907408</v>
      </c>
      <c r="F1228" s="276">
        <v>2</v>
      </c>
      <c r="G1228" s="243">
        <f t="shared" si="20"/>
        <v>90</v>
      </c>
      <c r="H1228" s="244"/>
      <c r="I1228" s="71" t="e">
        <f>IF(COUNTIF((rName rData),H1228),"","Name Error!")</f>
        <v>#NAME?</v>
      </c>
    </row>
    <row r="1229" spans="2:9" s="126" customFormat="1" ht="15" customHeight="1" x14ac:dyDescent="0.25">
      <c r="B1229" s="271" t="s">
        <v>341</v>
      </c>
      <c r="C1229" s="272" t="s">
        <v>340</v>
      </c>
      <c r="D1229" s="275" t="s">
        <v>216</v>
      </c>
      <c r="E1229" s="275">
        <v>41440.546840277777</v>
      </c>
      <c r="F1229" s="276">
        <v>1</v>
      </c>
      <c r="G1229" s="243">
        <f t="shared" si="20"/>
        <v>90</v>
      </c>
      <c r="H1229" s="244"/>
      <c r="I1229" s="71" t="e">
        <f>IF(COUNTIF((rName rData),H1229),"","Name Error!")</f>
        <v>#NAME?</v>
      </c>
    </row>
    <row r="1230" spans="2:9" s="126" customFormat="1" ht="15" customHeight="1" x14ac:dyDescent="0.25">
      <c r="B1230" s="271" t="s">
        <v>328</v>
      </c>
      <c r="C1230" s="272" t="s">
        <v>327</v>
      </c>
      <c r="D1230" s="275" t="s">
        <v>216</v>
      </c>
      <c r="E1230" s="275">
        <v>41440.628483796296</v>
      </c>
      <c r="F1230" s="276">
        <v>1</v>
      </c>
      <c r="G1230" s="243">
        <f t="shared" si="20"/>
        <v>90</v>
      </c>
      <c r="H1230" s="244"/>
      <c r="I1230" s="71" t="e">
        <f>IF(COUNTIF((rName rData),H1230),"","Name Error!")</f>
        <v>#NAME?</v>
      </c>
    </row>
    <row r="1231" spans="2:9" s="126" customFormat="1" ht="15" customHeight="1" x14ac:dyDescent="0.25">
      <c r="B1231" s="271" t="s">
        <v>358</v>
      </c>
      <c r="C1231" s="272" t="s">
        <v>357</v>
      </c>
      <c r="D1231" s="275" t="s">
        <v>216</v>
      </c>
      <c r="E1231" s="275">
        <v>41440.919710648152</v>
      </c>
      <c r="F1231" s="276">
        <v>1</v>
      </c>
      <c r="G1231" s="243">
        <f t="shared" si="20"/>
        <v>90</v>
      </c>
      <c r="H1231" s="244"/>
      <c r="I1231" s="71" t="e">
        <f>IF(COUNTIF((rName rData),H1231),"","Name Error!")</f>
        <v>#NAME?</v>
      </c>
    </row>
    <row r="1232" spans="2:9" s="126" customFormat="1" ht="15" customHeight="1" x14ac:dyDescent="0.25">
      <c r="B1232" s="271" t="s">
        <v>279</v>
      </c>
      <c r="C1232" s="272" t="s">
        <v>280</v>
      </c>
      <c r="D1232" s="275" t="s">
        <v>216</v>
      </c>
      <c r="E1232" s="275">
        <v>41441.058819444443</v>
      </c>
      <c r="F1232" s="276">
        <v>2</v>
      </c>
      <c r="G1232" s="243">
        <f t="shared" si="20"/>
        <v>90</v>
      </c>
      <c r="H1232" s="244"/>
      <c r="I1232" s="71" t="e">
        <f>IF(COUNTIF((rName rData),H1232),"","Name Error!")</f>
        <v>#NAME?</v>
      </c>
    </row>
    <row r="1233" spans="2:9" s="126" customFormat="1" ht="15" customHeight="1" x14ac:dyDescent="0.25">
      <c r="B1233" s="271" t="s">
        <v>328</v>
      </c>
      <c r="C1233" s="272" t="s">
        <v>327</v>
      </c>
      <c r="D1233" s="275" t="s">
        <v>216</v>
      </c>
      <c r="E1233" s="275">
        <v>41441.070775462962</v>
      </c>
      <c r="F1233" s="276">
        <v>2</v>
      </c>
      <c r="G1233" s="243">
        <f t="shared" si="20"/>
        <v>90</v>
      </c>
      <c r="H1233" s="244"/>
      <c r="I1233" s="71" t="e">
        <f>IF(COUNTIF((rName rData),H1233),"","Name Error!")</f>
        <v>#NAME?</v>
      </c>
    </row>
    <row r="1234" spans="2:9" s="126" customFormat="1" ht="15" customHeight="1" x14ac:dyDescent="0.25">
      <c r="B1234" s="271" t="s">
        <v>267</v>
      </c>
      <c r="C1234" s="272" t="s">
        <v>268</v>
      </c>
      <c r="D1234" s="275" t="s">
        <v>216</v>
      </c>
      <c r="E1234" s="275">
        <v>41441.080694444441</v>
      </c>
      <c r="F1234" s="276">
        <v>2</v>
      </c>
      <c r="G1234" s="243">
        <f t="shared" si="20"/>
        <v>90</v>
      </c>
      <c r="H1234" s="244"/>
      <c r="I1234" s="71" t="e">
        <f>IF(COUNTIF((rName rData),H1234),"","Name Error!")</f>
        <v>#NAME?</v>
      </c>
    </row>
    <row r="1235" spans="2:9" s="126" customFormat="1" ht="15" customHeight="1" x14ac:dyDescent="0.25">
      <c r="B1235" s="271" t="s">
        <v>358</v>
      </c>
      <c r="C1235" s="272" t="s">
        <v>357</v>
      </c>
      <c r="D1235" s="275" t="s">
        <v>216</v>
      </c>
      <c r="E1235" s="275">
        <v>41441.684016203704</v>
      </c>
      <c r="F1235" s="276">
        <v>3</v>
      </c>
      <c r="G1235" s="243">
        <f t="shared" si="20"/>
        <v>90</v>
      </c>
      <c r="H1235" s="244"/>
      <c r="I1235" s="71" t="e">
        <f>IF(COUNTIF((rName rData),H1235),"","Name Error!")</f>
        <v>#NAME?</v>
      </c>
    </row>
    <row r="1236" spans="2:9" s="126" customFormat="1" ht="15" customHeight="1" x14ac:dyDescent="0.25">
      <c r="B1236" s="271" t="s">
        <v>350</v>
      </c>
      <c r="C1236" s="272" t="s">
        <v>349</v>
      </c>
      <c r="D1236" s="275" t="s">
        <v>216</v>
      </c>
      <c r="E1236" s="275">
        <v>41441.702615740738</v>
      </c>
      <c r="F1236" s="276">
        <v>2</v>
      </c>
      <c r="G1236" s="243">
        <f t="shared" si="20"/>
        <v>90</v>
      </c>
      <c r="H1236" s="244"/>
      <c r="I1236" s="71" t="e">
        <f>IF(COUNTIF((rName rData),H1236),"","Name Error!")</f>
        <v>#NAME?</v>
      </c>
    </row>
    <row r="1237" spans="2:9" s="126" customFormat="1" ht="15" customHeight="1" x14ac:dyDescent="0.25">
      <c r="B1237" s="271" t="s">
        <v>341</v>
      </c>
      <c r="C1237" s="272" t="s">
        <v>340</v>
      </c>
      <c r="D1237" s="275" t="s">
        <v>216</v>
      </c>
      <c r="E1237" s="275">
        <v>41441.815706018519</v>
      </c>
      <c r="F1237" s="276">
        <v>1</v>
      </c>
      <c r="G1237" s="243">
        <f t="shared" si="20"/>
        <v>90</v>
      </c>
      <c r="H1237" s="244"/>
      <c r="I1237" s="71" t="e">
        <f>IF(COUNTIF((rName rData),H1237),"","Name Error!")</f>
        <v>#NAME?</v>
      </c>
    </row>
    <row r="1238" spans="2:9" s="126" customFormat="1" ht="15" customHeight="1" x14ac:dyDescent="0.25">
      <c r="B1238" s="271" t="s">
        <v>279</v>
      </c>
      <c r="C1238" s="272" t="s">
        <v>280</v>
      </c>
      <c r="D1238" s="275" t="s">
        <v>216</v>
      </c>
      <c r="E1238" s="275">
        <v>41442.591099537036</v>
      </c>
      <c r="F1238" s="276">
        <v>1</v>
      </c>
      <c r="G1238" s="243">
        <f t="shared" si="20"/>
        <v>90</v>
      </c>
      <c r="H1238" s="244"/>
      <c r="I1238" s="71" t="e">
        <f>IF(COUNTIF((rName rData),H1238),"","Name Error!")</f>
        <v>#NAME?</v>
      </c>
    </row>
    <row r="1239" spans="2:9" s="126" customFormat="1" ht="15" customHeight="1" x14ac:dyDescent="0.25">
      <c r="B1239" s="271" t="s">
        <v>358</v>
      </c>
      <c r="C1239" s="272" t="s">
        <v>357</v>
      </c>
      <c r="D1239" s="275" t="s">
        <v>216</v>
      </c>
      <c r="E1239" s="275">
        <v>41442.725543981483</v>
      </c>
      <c r="F1239" s="276">
        <v>2</v>
      </c>
      <c r="G1239" s="243">
        <f t="shared" si="20"/>
        <v>90</v>
      </c>
      <c r="H1239" s="244"/>
      <c r="I1239" s="71" t="e">
        <f>IF(COUNTIF((rName rData),H1239),"","Name Error!")</f>
        <v>#NAME?</v>
      </c>
    </row>
    <row r="1240" spans="2:9" s="126" customFormat="1" ht="15" customHeight="1" x14ac:dyDescent="0.25">
      <c r="B1240" s="271" t="s">
        <v>267</v>
      </c>
      <c r="C1240" s="272" t="s">
        <v>268</v>
      </c>
      <c r="D1240" s="275" t="s">
        <v>216</v>
      </c>
      <c r="E1240" s="275">
        <v>41442.726851851854</v>
      </c>
      <c r="F1240" s="276">
        <v>1</v>
      </c>
      <c r="G1240" s="243">
        <f t="shared" si="20"/>
        <v>90</v>
      </c>
      <c r="H1240" s="244"/>
      <c r="I1240" s="71" t="e">
        <f>IF(COUNTIF((rName rData),H1240),"","Name Error!")</f>
        <v>#NAME?</v>
      </c>
    </row>
    <row r="1241" spans="2:9" s="126" customFormat="1" ht="15" customHeight="1" x14ac:dyDescent="0.25">
      <c r="B1241" s="271" t="s">
        <v>341</v>
      </c>
      <c r="C1241" s="272" t="s">
        <v>340</v>
      </c>
      <c r="D1241" s="275" t="s">
        <v>216</v>
      </c>
      <c r="E1241" s="275">
        <v>41442.885231481479</v>
      </c>
      <c r="F1241" s="276">
        <v>1</v>
      </c>
      <c r="G1241" s="243">
        <f t="shared" si="20"/>
        <v>90</v>
      </c>
      <c r="H1241" s="244"/>
      <c r="I1241" s="71" t="e">
        <f>IF(COUNTIF((rName rData),H1241),"","Name Error!")</f>
        <v>#NAME?</v>
      </c>
    </row>
    <row r="1242" spans="2:9" s="126" customFormat="1" ht="15" customHeight="1" x14ac:dyDescent="0.25">
      <c r="B1242" s="271" t="s">
        <v>267</v>
      </c>
      <c r="C1242" s="272" t="s">
        <v>268</v>
      </c>
      <c r="D1242" s="275" t="s">
        <v>216</v>
      </c>
      <c r="E1242" s="275">
        <v>41443.696631944447</v>
      </c>
      <c r="F1242" s="276">
        <v>1</v>
      </c>
      <c r="G1242" s="243">
        <f t="shared" si="20"/>
        <v>90</v>
      </c>
      <c r="H1242" s="244"/>
      <c r="I1242" s="71" t="e">
        <f>IF(COUNTIF((rName rData),H1242),"","Name Error!")</f>
        <v>#NAME?</v>
      </c>
    </row>
    <row r="1243" spans="2:9" s="126" customFormat="1" ht="15" customHeight="1" x14ac:dyDescent="0.25">
      <c r="B1243" s="271" t="s">
        <v>358</v>
      </c>
      <c r="C1243" s="272" t="s">
        <v>357</v>
      </c>
      <c r="D1243" s="275" t="s">
        <v>216</v>
      </c>
      <c r="E1243" s="275">
        <v>41443.824548611112</v>
      </c>
      <c r="F1243" s="276">
        <v>2</v>
      </c>
      <c r="G1243" s="243">
        <f t="shared" si="20"/>
        <v>90</v>
      </c>
      <c r="H1243" s="244"/>
      <c r="I1243" s="71" t="e">
        <f>IF(COUNTIF((rName rData),H1243),"","Name Error!")</f>
        <v>#NAME?</v>
      </c>
    </row>
    <row r="1244" spans="2:9" s="126" customFormat="1" ht="15" customHeight="1" x14ac:dyDescent="0.25">
      <c r="B1244" s="271" t="s">
        <v>267</v>
      </c>
      <c r="C1244" s="272" t="s">
        <v>268</v>
      </c>
      <c r="D1244" s="275" t="s">
        <v>216</v>
      </c>
      <c r="E1244" s="275">
        <v>41444.820787037039</v>
      </c>
      <c r="F1244" s="276">
        <v>1</v>
      </c>
      <c r="G1244" s="243">
        <f t="shared" si="20"/>
        <v>90</v>
      </c>
      <c r="H1244" s="244"/>
      <c r="I1244" s="71" t="e">
        <f>IF(COUNTIF((rName rData),H1244),"","Name Error!")</f>
        <v>#NAME?</v>
      </c>
    </row>
    <row r="1245" spans="2:9" s="126" customFormat="1" ht="15" customHeight="1" x14ac:dyDescent="0.25">
      <c r="B1245" s="271" t="s">
        <v>358</v>
      </c>
      <c r="C1245" s="272" t="s">
        <v>357</v>
      </c>
      <c r="D1245" s="275" t="s">
        <v>216</v>
      </c>
      <c r="E1245" s="275">
        <v>41444.928738425922</v>
      </c>
      <c r="F1245" s="276">
        <v>1</v>
      </c>
      <c r="G1245" s="243">
        <f t="shared" si="20"/>
        <v>90</v>
      </c>
      <c r="H1245" s="244"/>
      <c r="I1245" s="71" t="e">
        <f>IF(COUNTIF((rName rData),H1245),"","Name Error!")</f>
        <v>#NAME?</v>
      </c>
    </row>
    <row r="1246" spans="2:9" s="126" customFormat="1" ht="15" customHeight="1" x14ac:dyDescent="0.25">
      <c r="B1246" s="271" t="s">
        <v>341</v>
      </c>
      <c r="C1246" s="272" t="s">
        <v>340</v>
      </c>
      <c r="D1246" s="275" t="s">
        <v>216</v>
      </c>
      <c r="E1246" s="275">
        <v>41445.392789351848</v>
      </c>
      <c r="F1246" s="276">
        <v>2</v>
      </c>
      <c r="G1246" s="243">
        <f t="shared" si="20"/>
        <v>90</v>
      </c>
      <c r="H1246" s="244"/>
      <c r="I1246" s="71" t="e">
        <f>IF(COUNTIF((rName rData),H1246),"","Name Error!")</f>
        <v>#NAME?</v>
      </c>
    </row>
    <row r="1247" spans="2:9" s="126" customFormat="1" ht="15" customHeight="1" x14ac:dyDescent="0.25">
      <c r="B1247" s="271" t="s">
        <v>358</v>
      </c>
      <c r="C1247" s="272" t="s">
        <v>357</v>
      </c>
      <c r="D1247" s="275" t="s">
        <v>216</v>
      </c>
      <c r="E1247" s="275">
        <v>41445.663483796299</v>
      </c>
      <c r="F1247" s="276">
        <v>3</v>
      </c>
      <c r="G1247" s="243">
        <f t="shared" si="20"/>
        <v>90</v>
      </c>
      <c r="H1247" s="244"/>
      <c r="I1247" s="71" t="e">
        <f>IF(COUNTIF((rName rData),H1247),"","Name Error!")</f>
        <v>#NAME?</v>
      </c>
    </row>
    <row r="1248" spans="2:9" s="126" customFormat="1" ht="15" customHeight="1" x14ac:dyDescent="0.25">
      <c r="B1248" s="271" t="s">
        <v>341</v>
      </c>
      <c r="C1248" s="272" t="s">
        <v>340</v>
      </c>
      <c r="D1248" s="275" t="s">
        <v>216</v>
      </c>
      <c r="E1248" s="275">
        <v>41446.880914351852</v>
      </c>
      <c r="F1248" s="276">
        <v>1</v>
      </c>
      <c r="G1248" s="243">
        <f t="shared" si="20"/>
        <v>90</v>
      </c>
      <c r="H1248" s="244"/>
      <c r="I1248" s="71" t="e">
        <f>IF(COUNTIF((rName rData),H1248),"","Name Error!")</f>
        <v>#NAME?</v>
      </c>
    </row>
    <row r="1249" spans="2:9" s="126" customFormat="1" ht="15" customHeight="1" x14ac:dyDescent="0.25">
      <c r="B1249" s="271" t="s">
        <v>341</v>
      </c>
      <c r="C1249" s="272" t="s">
        <v>340</v>
      </c>
      <c r="D1249" s="275" t="s">
        <v>216</v>
      </c>
      <c r="E1249" s="275">
        <v>41447.392581018517</v>
      </c>
      <c r="F1249" s="276">
        <v>1</v>
      </c>
      <c r="G1249" s="243">
        <f t="shared" si="20"/>
        <v>91</v>
      </c>
      <c r="H1249" s="244"/>
      <c r="I1249" s="71" t="e">
        <f>IF(COUNTIF((rName rData),H1249),"","Name Error!")</f>
        <v>#NAME?</v>
      </c>
    </row>
    <row r="1250" spans="2:9" s="126" customFormat="1" ht="15" customHeight="1" x14ac:dyDescent="0.25">
      <c r="B1250" s="271" t="s">
        <v>358</v>
      </c>
      <c r="C1250" s="272" t="s">
        <v>357</v>
      </c>
      <c r="D1250" s="275" t="s">
        <v>216</v>
      </c>
      <c r="E1250" s="275">
        <v>41447.477222222224</v>
      </c>
      <c r="F1250" s="276">
        <v>2</v>
      </c>
      <c r="G1250" s="243">
        <f t="shared" si="20"/>
        <v>91</v>
      </c>
      <c r="H1250" s="244"/>
      <c r="I1250" s="71" t="e">
        <f>IF(COUNTIF((rName rData),H1250),"","Name Error!")</f>
        <v>#NAME?</v>
      </c>
    </row>
    <row r="1251" spans="2:9" s="126" customFormat="1" ht="15" customHeight="1" x14ac:dyDescent="0.25">
      <c r="B1251" s="271" t="s">
        <v>267</v>
      </c>
      <c r="C1251" s="272" t="s">
        <v>268</v>
      </c>
      <c r="D1251" s="275" t="s">
        <v>216</v>
      </c>
      <c r="E1251" s="275">
        <v>41447.60087962963</v>
      </c>
      <c r="F1251" s="276">
        <v>1</v>
      </c>
      <c r="G1251" s="243">
        <f t="shared" si="20"/>
        <v>91</v>
      </c>
      <c r="H1251" s="244"/>
      <c r="I1251" s="71" t="e">
        <f>IF(COUNTIF((rName rData),H1251),"","Name Error!")</f>
        <v>#NAME?</v>
      </c>
    </row>
    <row r="1252" spans="2:9" s="126" customFormat="1" ht="15" customHeight="1" x14ac:dyDescent="0.25">
      <c r="B1252" s="271" t="s">
        <v>328</v>
      </c>
      <c r="C1252" s="272" t="s">
        <v>327</v>
      </c>
      <c r="D1252" s="275" t="s">
        <v>216</v>
      </c>
      <c r="E1252" s="275">
        <v>41447.646157407406</v>
      </c>
      <c r="F1252" s="276">
        <v>1</v>
      </c>
      <c r="G1252" s="243">
        <f t="shared" si="20"/>
        <v>91</v>
      </c>
      <c r="H1252" s="244"/>
      <c r="I1252" s="71" t="e">
        <f>IF(COUNTIF((rName rData),H1252),"","Name Error!")</f>
        <v>#NAME?</v>
      </c>
    </row>
    <row r="1253" spans="2:9" s="126" customFormat="1" ht="15" customHeight="1" x14ac:dyDescent="0.25">
      <c r="B1253" s="271" t="s">
        <v>350</v>
      </c>
      <c r="C1253" s="272" t="s">
        <v>349</v>
      </c>
      <c r="D1253" s="275" t="s">
        <v>216</v>
      </c>
      <c r="E1253" s="275">
        <v>41447.869837962964</v>
      </c>
      <c r="F1253" s="276">
        <v>2</v>
      </c>
      <c r="G1253" s="243">
        <f t="shared" si="20"/>
        <v>91</v>
      </c>
      <c r="H1253" s="244"/>
      <c r="I1253" s="71" t="e">
        <f>IF(COUNTIF((rName rData),H1253),"","Name Error!")</f>
        <v>#NAME?</v>
      </c>
    </row>
    <row r="1254" spans="2:9" s="126" customFormat="1" ht="15" customHeight="1" x14ac:dyDescent="0.25">
      <c r="B1254" s="271" t="s">
        <v>328</v>
      </c>
      <c r="C1254" s="272" t="s">
        <v>327</v>
      </c>
      <c r="D1254" s="275" t="s">
        <v>216</v>
      </c>
      <c r="E1254" s="275">
        <v>41448.006435185183</v>
      </c>
      <c r="F1254" s="276">
        <v>2</v>
      </c>
      <c r="G1254" s="243">
        <f t="shared" si="20"/>
        <v>91</v>
      </c>
      <c r="H1254" s="244"/>
      <c r="I1254" s="71" t="e">
        <f>IF(COUNTIF((rName rData),H1254),"","Name Error!")</f>
        <v>#NAME?</v>
      </c>
    </row>
    <row r="1255" spans="2:9" s="126" customFormat="1" ht="15" customHeight="1" x14ac:dyDescent="0.25">
      <c r="B1255" s="271" t="s">
        <v>267</v>
      </c>
      <c r="C1255" s="272" t="s">
        <v>268</v>
      </c>
      <c r="D1255" s="275" t="s">
        <v>216</v>
      </c>
      <c r="E1255" s="275">
        <v>41448.305925925924</v>
      </c>
      <c r="F1255" s="276">
        <v>3</v>
      </c>
      <c r="G1255" s="243">
        <f t="shared" si="20"/>
        <v>91</v>
      </c>
      <c r="H1255" s="244"/>
      <c r="I1255" s="71" t="e">
        <f>IF(COUNTIF((rName rData),H1255),"","Name Error!")</f>
        <v>#NAME?</v>
      </c>
    </row>
    <row r="1256" spans="2:9" s="126" customFormat="1" ht="15" customHeight="1" x14ac:dyDescent="0.25">
      <c r="B1256" s="271" t="s">
        <v>350</v>
      </c>
      <c r="C1256" s="272" t="s">
        <v>349</v>
      </c>
      <c r="D1256" s="275" t="s">
        <v>216</v>
      </c>
      <c r="E1256" s="275">
        <v>41448.565787037034</v>
      </c>
      <c r="F1256" s="276">
        <v>2</v>
      </c>
      <c r="G1256" s="243">
        <f t="shared" si="20"/>
        <v>91</v>
      </c>
      <c r="H1256" s="244"/>
      <c r="I1256" s="71" t="e">
        <f>IF(COUNTIF((rName rData),H1256),"","Name Error!")</f>
        <v>#NAME?</v>
      </c>
    </row>
    <row r="1257" spans="2:9" s="126" customFormat="1" ht="15" customHeight="1" x14ac:dyDescent="0.25">
      <c r="B1257" s="271" t="s">
        <v>341</v>
      </c>
      <c r="C1257" s="272" t="s">
        <v>340</v>
      </c>
      <c r="D1257" s="275" t="s">
        <v>216</v>
      </c>
      <c r="E1257" s="275">
        <v>41448.832268518519</v>
      </c>
      <c r="F1257" s="276">
        <v>1</v>
      </c>
      <c r="G1257" s="243">
        <f t="shared" si="20"/>
        <v>91</v>
      </c>
      <c r="H1257" s="244"/>
      <c r="I1257" s="71" t="e">
        <f>IF(COUNTIF((rName rData),H1257),"","Name Error!")</f>
        <v>#NAME?</v>
      </c>
    </row>
    <row r="1258" spans="2:9" s="126" customFormat="1" ht="15" customHeight="1" x14ac:dyDescent="0.25">
      <c r="B1258" s="271" t="s">
        <v>358</v>
      </c>
      <c r="C1258" s="272" t="s">
        <v>357</v>
      </c>
      <c r="D1258" s="275" t="s">
        <v>216</v>
      </c>
      <c r="E1258" s="275">
        <v>41448.880358796298</v>
      </c>
      <c r="F1258" s="276">
        <v>1</v>
      </c>
      <c r="G1258" s="243">
        <f t="shared" si="20"/>
        <v>91</v>
      </c>
      <c r="H1258" s="244"/>
      <c r="I1258" s="71" t="e">
        <f>IF(COUNTIF((rName rData),H1258),"","Name Error!")</f>
        <v>#NAME?</v>
      </c>
    </row>
    <row r="1259" spans="2:9" s="126" customFormat="1" ht="15" customHeight="1" x14ac:dyDescent="0.25">
      <c r="B1259" s="271" t="s">
        <v>341</v>
      </c>
      <c r="C1259" s="272" t="s">
        <v>340</v>
      </c>
      <c r="D1259" s="275" t="s">
        <v>216</v>
      </c>
      <c r="E1259" s="275">
        <v>41449.438472222224</v>
      </c>
      <c r="F1259" s="276">
        <v>3</v>
      </c>
      <c r="G1259" s="243">
        <f t="shared" si="20"/>
        <v>91</v>
      </c>
      <c r="H1259" s="244"/>
      <c r="I1259" s="71" t="e">
        <f>IF(COUNTIF((rName rData),H1259),"","Name Error!")</f>
        <v>#NAME?</v>
      </c>
    </row>
    <row r="1260" spans="2:9" s="126" customFormat="1" ht="15" customHeight="1" x14ac:dyDescent="0.25">
      <c r="B1260" s="271" t="s">
        <v>267</v>
      </c>
      <c r="C1260" s="272" t="s">
        <v>268</v>
      </c>
      <c r="D1260" s="275" t="s">
        <v>216</v>
      </c>
      <c r="E1260" s="275">
        <v>41449.799259259256</v>
      </c>
      <c r="F1260" s="276">
        <v>1</v>
      </c>
      <c r="G1260" s="243">
        <f t="shared" si="20"/>
        <v>91</v>
      </c>
      <c r="H1260" s="244"/>
      <c r="I1260" s="71" t="e">
        <f>IF(COUNTIF((rName rData),H1260),"","Name Error!")</f>
        <v>#NAME?</v>
      </c>
    </row>
    <row r="1261" spans="2:9" s="126" customFormat="1" ht="15" customHeight="1" x14ac:dyDescent="0.25">
      <c r="B1261" s="271" t="s">
        <v>267</v>
      </c>
      <c r="C1261" s="272" t="s">
        <v>268</v>
      </c>
      <c r="D1261" s="275" t="s">
        <v>216</v>
      </c>
      <c r="E1261" s="275">
        <v>41450.441134259258</v>
      </c>
      <c r="F1261" s="276">
        <v>1</v>
      </c>
      <c r="G1261" s="243">
        <f t="shared" si="20"/>
        <v>91</v>
      </c>
      <c r="H1261" s="244"/>
      <c r="I1261" s="71" t="e">
        <f>IF(COUNTIF((rName rData),H1261),"","Name Error!")</f>
        <v>#NAME?</v>
      </c>
    </row>
    <row r="1262" spans="2:9" s="126" customFormat="1" ht="15" customHeight="1" x14ac:dyDescent="0.25">
      <c r="B1262" s="271" t="s">
        <v>267</v>
      </c>
      <c r="C1262" s="272" t="s">
        <v>268</v>
      </c>
      <c r="D1262" s="275" t="s">
        <v>216</v>
      </c>
      <c r="E1262" s="275">
        <v>41451.828900462962</v>
      </c>
      <c r="F1262" s="276">
        <v>1</v>
      </c>
      <c r="G1262" s="243">
        <f t="shared" si="20"/>
        <v>91</v>
      </c>
      <c r="H1262" s="244"/>
      <c r="I1262" s="71" t="e">
        <f>IF(COUNTIF((rName rData),H1262),"","Name Error!")</f>
        <v>#NAME?</v>
      </c>
    </row>
    <row r="1263" spans="2:9" s="126" customFormat="1" ht="15" customHeight="1" x14ac:dyDescent="0.25">
      <c r="B1263" s="271" t="s">
        <v>267</v>
      </c>
      <c r="C1263" s="272" t="s">
        <v>268</v>
      </c>
      <c r="D1263" s="275" t="s">
        <v>216</v>
      </c>
      <c r="E1263" s="275">
        <v>41452.712766203702</v>
      </c>
      <c r="F1263" s="276">
        <v>1</v>
      </c>
      <c r="G1263" s="243">
        <f t="shared" si="20"/>
        <v>91</v>
      </c>
      <c r="H1263" s="244"/>
      <c r="I1263" s="71" t="e">
        <f>IF(COUNTIF((rName rData),H1263),"","Name Error!")</f>
        <v>#NAME?</v>
      </c>
    </row>
    <row r="1264" spans="2:9" s="126" customFormat="1" ht="15" customHeight="1" x14ac:dyDescent="0.25">
      <c r="B1264" s="271" t="s">
        <v>341</v>
      </c>
      <c r="C1264" s="272" t="s">
        <v>340</v>
      </c>
      <c r="D1264" s="275" t="s">
        <v>216</v>
      </c>
      <c r="E1264" s="275">
        <v>41452.732800925929</v>
      </c>
      <c r="F1264" s="276">
        <v>1</v>
      </c>
      <c r="G1264" s="243">
        <f t="shared" si="20"/>
        <v>91</v>
      </c>
      <c r="H1264" s="244"/>
      <c r="I1264" s="71" t="e">
        <f>IF(COUNTIF((rName rData),H1264),"","Name Error!")</f>
        <v>#NAME?</v>
      </c>
    </row>
    <row r="1265" spans="2:9" s="126" customFormat="1" ht="15" customHeight="1" x14ac:dyDescent="0.25">
      <c r="B1265" s="271" t="s">
        <v>358</v>
      </c>
      <c r="C1265" s="272" t="s">
        <v>357</v>
      </c>
      <c r="D1265" s="275" t="s">
        <v>216</v>
      </c>
      <c r="E1265" s="275">
        <v>41452.789548611108</v>
      </c>
      <c r="F1265" s="276">
        <v>3</v>
      </c>
      <c r="G1265" s="243">
        <f t="shared" si="20"/>
        <v>91</v>
      </c>
      <c r="H1265" s="244"/>
      <c r="I1265" s="71" t="e">
        <f>IF(COUNTIF((rName rData),H1265),"","Name Error!")</f>
        <v>#NAME?</v>
      </c>
    </row>
    <row r="1266" spans="2:9" s="126" customFormat="1" ht="15" customHeight="1" x14ac:dyDescent="0.25">
      <c r="B1266" s="271" t="s">
        <v>267</v>
      </c>
      <c r="C1266" s="272" t="s">
        <v>268</v>
      </c>
      <c r="D1266" s="275" t="s">
        <v>216</v>
      </c>
      <c r="E1266" s="275">
        <v>41453.811388888891</v>
      </c>
      <c r="F1266" s="276">
        <v>2</v>
      </c>
      <c r="G1266" s="243">
        <f t="shared" si="20"/>
        <v>91</v>
      </c>
      <c r="H1266" s="244"/>
      <c r="I1266" s="71" t="e">
        <f>IF(COUNTIF((rName rData),H1266),"","Name Error!")</f>
        <v>#NAME?</v>
      </c>
    </row>
    <row r="1267" spans="2:9" s="126" customFormat="1" ht="15" customHeight="1" x14ac:dyDescent="0.25">
      <c r="B1267" s="271" t="s">
        <v>267</v>
      </c>
      <c r="C1267" s="272" t="s">
        <v>268</v>
      </c>
      <c r="D1267" s="275" t="s">
        <v>216</v>
      </c>
      <c r="E1267" s="275">
        <v>41454.466550925928</v>
      </c>
      <c r="F1267" s="276">
        <v>2</v>
      </c>
      <c r="G1267" s="243">
        <f t="shared" si="20"/>
        <v>92</v>
      </c>
      <c r="H1267" s="244"/>
      <c r="I1267" s="71" t="e">
        <f>IF(COUNTIF((rName rData),H1267),"","Name Error!")</f>
        <v>#NAME?</v>
      </c>
    </row>
    <row r="1268" spans="2:9" s="126" customFormat="1" ht="15" customHeight="1" x14ac:dyDescent="0.25">
      <c r="B1268" s="271" t="s">
        <v>341</v>
      </c>
      <c r="C1268" s="272" t="s">
        <v>340</v>
      </c>
      <c r="D1268" s="275" t="s">
        <v>216</v>
      </c>
      <c r="E1268" s="275">
        <v>41454.568101851852</v>
      </c>
      <c r="F1268" s="276">
        <v>3</v>
      </c>
      <c r="G1268" s="243">
        <f t="shared" si="20"/>
        <v>92</v>
      </c>
      <c r="H1268" s="244"/>
      <c r="I1268" s="71" t="e">
        <f>IF(COUNTIF((rName rData),H1268),"","Name Error!")</f>
        <v>#NAME?</v>
      </c>
    </row>
    <row r="1269" spans="2:9" s="126" customFormat="1" ht="15" customHeight="1" x14ac:dyDescent="0.25">
      <c r="B1269" s="271" t="s">
        <v>358</v>
      </c>
      <c r="C1269" s="272" t="s">
        <v>357</v>
      </c>
      <c r="D1269" s="275" t="s">
        <v>216</v>
      </c>
      <c r="E1269" s="275">
        <v>41454.592743055553</v>
      </c>
      <c r="F1269" s="276">
        <v>3</v>
      </c>
      <c r="G1269" s="243">
        <f t="shared" si="20"/>
        <v>92</v>
      </c>
      <c r="H1269" s="244"/>
      <c r="I1269" s="71" t="e">
        <f>IF(COUNTIF((rName rData),H1269),"","Name Error!")</f>
        <v>#NAME?</v>
      </c>
    </row>
    <row r="1270" spans="2:9" s="126" customFormat="1" ht="15" customHeight="1" x14ac:dyDescent="0.25">
      <c r="B1270" s="271" t="s">
        <v>328</v>
      </c>
      <c r="C1270" s="272" t="s">
        <v>327</v>
      </c>
      <c r="D1270" s="275" t="s">
        <v>216</v>
      </c>
      <c r="E1270" s="275">
        <v>41454.618622685186</v>
      </c>
      <c r="F1270" s="276">
        <v>2</v>
      </c>
      <c r="G1270" s="243">
        <f t="shared" si="20"/>
        <v>92</v>
      </c>
      <c r="H1270" s="244"/>
      <c r="I1270" s="71" t="e">
        <f>IF(COUNTIF((rName rData),H1270),"","Name Error!")</f>
        <v>#NAME?</v>
      </c>
    </row>
    <row r="1271" spans="2:9" s="126" customFormat="1" ht="15" customHeight="1" x14ac:dyDescent="0.25">
      <c r="B1271" s="271" t="s">
        <v>279</v>
      </c>
      <c r="C1271" s="272" t="s">
        <v>280</v>
      </c>
      <c r="D1271" s="275" t="s">
        <v>216</v>
      </c>
      <c r="E1271" s="275">
        <v>41454.835370370369</v>
      </c>
      <c r="F1271" s="276">
        <v>1</v>
      </c>
      <c r="G1271" s="243">
        <f t="shared" si="20"/>
        <v>92</v>
      </c>
      <c r="H1271" s="244"/>
      <c r="I1271" s="71" t="e">
        <f>IF(COUNTIF((rName rData),H1271),"","Name Error!")</f>
        <v>#NAME?</v>
      </c>
    </row>
    <row r="1272" spans="2:9" s="126" customFormat="1" ht="15" customHeight="1" x14ac:dyDescent="0.25">
      <c r="B1272" s="271" t="s">
        <v>341</v>
      </c>
      <c r="C1272" s="272" t="s">
        <v>340</v>
      </c>
      <c r="D1272" s="275" t="s">
        <v>216</v>
      </c>
      <c r="E1272" s="275">
        <v>41455.490358796298</v>
      </c>
      <c r="F1272" s="276">
        <v>1</v>
      </c>
      <c r="G1272" s="243">
        <f t="shared" si="20"/>
        <v>92</v>
      </c>
      <c r="H1272" s="244"/>
      <c r="I1272" s="71" t="e">
        <f>IF(COUNTIF((rName rData),H1272),"","Name Error!")</f>
        <v>#NAME?</v>
      </c>
    </row>
    <row r="1273" spans="2:9" s="126" customFormat="1" ht="15" customHeight="1" x14ac:dyDescent="0.25">
      <c r="B1273" s="271" t="s">
        <v>358</v>
      </c>
      <c r="C1273" s="272" t="s">
        <v>357</v>
      </c>
      <c r="D1273" s="275" t="s">
        <v>216</v>
      </c>
      <c r="E1273" s="275">
        <v>41455.49832175926</v>
      </c>
      <c r="F1273" s="276">
        <v>4</v>
      </c>
      <c r="G1273" s="243">
        <f t="shared" si="20"/>
        <v>92</v>
      </c>
      <c r="H1273" s="244"/>
      <c r="I1273" s="71" t="e">
        <f>IF(COUNTIF((rName rData),H1273),"","Name Error!")</f>
        <v>#NAME?</v>
      </c>
    </row>
    <row r="1274" spans="2:9" s="126" customFormat="1" ht="15" customHeight="1" x14ac:dyDescent="0.25">
      <c r="B1274" s="271" t="s">
        <v>267</v>
      </c>
      <c r="C1274" s="272" t="s">
        <v>268</v>
      </c>
      <c r="D1274" s="275" t="s">
        <v>216</v>
      </c>
      <c r="E1274" s="275">
        <v>41455.5309375</v>
      </c>
      <c r="F1274" s="276">
        <v>3</v>
      </c>
      <c r="G1274" s="243">
        <f t="shared" si="20"/>
        <v>92</v>
      </c>
      <c r="H1274" s="244"/>
      <c r="I1274" s="71" t="e">
        <f>IF(COUNTIF((rName rData),H1274),"","Name Error!")</f>
        <v>#NAME?</v>
      </c>
    </row>
    <row r="1275" spans="2:9" s="126" customFormat="1" ht="15" customHeight="1" x14ac:dyDescent="0.25">
      <c r="B1275" s="271" t="s">
        <v>328</v>
      </c>
      <c r="C1275" s="272" t="s">
        <v>327</v>
      </c>
      <c r="D1275" s="275" t="s">
        <v>216</v>
      </c>
      <c r="E1275" s="275">
        <v>41455.687731481485</v>
      </c>
      <c r="F1275" s="276">
        <v>1</v>
      </c>
      <c r="G1275" s="243">
        <f t="shared" si="20"/>
        <v>92</v>
      </c>
      <c r="H1275" s="244"/>
      <c r="I1275" s="71" t="e">
        <f>IF(COUNTIF((rName rData),H1275),"","Name Error!")</f>
        <v>#NAME?</v>
      </c>
    </row>
    <row r="1276" spans="2:9" s="126" customFormat="1" ht="15" customHeight="1" x14ac:dyDescent="0.25">
      <c r="B1276" s="271" t="s">
        <v>350</v>
      </c>
      <c r="C1276" s="272" t="s">
        <v>349</v>
      </c>
      <c r="D1276" s="275" t="s">
        <v>216</v>
      </c>
      <c r="E1276" s="275">
        <v>41455.760312500002</v>
      </c>
      <c r="F1276" s="276">
        <v>1</v>
      </c>
      <c r="G1276" s="243">
        <f t="shared" si="20"/>
        <v>92</v>
      </c>
      <c r="H1276" s="244"/>
      <c r="I1276" s="71" t="e">
        <f>IF(COUNTIF((rName rData),H1276),"","Name Error!")</f>
        <v>#NAME?</v>
      </c>
    </row>
    <row r="1277" spans="2:9" s="126" customFormat="1" ht="15" customHeight="1" x14ac:dyDescent="0.25">
      <c r="B1277" s="271" t="s">
        <v>279</v>
      </c>
      <c r="C1277" s="272" t="s">
        <v>280</v>
      </c>
      <c r="D1277" s="275" t="s">
        <v>216</v>
      </c>
      <c r="E1277" s="275">
        <v>41456.044803240744</v>
      </c>
      <c r="F1277" s="276">
        <v>1</v>
      </c>
      <c r="G1277" s="243">
        <f t="shared" si="20"/>
        <v>92</v>
      </c>
      <c r="H1277" s="244"/>
      <c r="I1277" s="71" t="e">
        <f>IF(COUNTIF((rName rData),H1277),"","Name Error!")</f>
        <v>#NAME?</v>
      </c>
    </row>
    <row r="1278" spans="2:9" s="126" customFormat="1" ht="15" customHeight="1" x14ac:dyDescent="0.25">
      <c r="B1278" s="271" t="s">
        <v>267</v>
      </c>
      <c r="C1278" s="272" t="s">
        <v>268</v>
      </c>
      <c r="D1278" s="275" t="s">
        <v>216</v>
      </c>
      <c r="E1278" s="275">
        <v>41456.352187500001</v>
      </c>
      <c r="F1278" s="276">
        <v>4</v>
      </c>
      <c r="G1278" s="243">
        <f t="shared" si="20"/>
        <v>92</v>
      </c>
      <c r="H1278" s="244"/>
      <c r="I1278" s="71" t="e">
        <f>IF(COUNTIF((rName rData),H1278),"","Name Error!")</f>
        <v>#NAME?</v>
      </c>
    </row>
    <row r="1279" spans="2:9" s="126" customFormat="1" ht="15" customHeight="1" x14ac:dyDescent="0.25">
      <c r="B1279" s="271" t="s">
        <v>358</v>
      </c>
      <c r="C1279" s="272" t="s">
        <v>357</v>
      </c>
      <c r="D1279" s="275" t="s">
        <v>216</v>
      </c>
      <c r="E1279" s="275">
        <v>41456.741076388891</v>
      </c>
      <c r="F1279" s="276">
        <v>3</v>
      </c>
      <c r="G1279" s="243">
        <f t="shared" si="20"/>
        <v>92</v>
      </c>
      <c r="H1279" s="244"/>
      <c r="I1279" s="71" t="e">
        <f>IF(COUNTIF((rName rData),H1279),"","Name Error!")</f>
        <v>#NAME?</v>
      </c>
    </row>
    <row r="1280" spans="2:9" s="126" customFormat="1" ht="15" customHeight="1" x14ac:dyDescent="0.25">
      <c r="B1280" s="271" t="s">
        <v>358</v>
      </c>
      <c r="C1280" s="272" t="s">
        <v>357</v>
      </c>
      <c r="D1280" s="275" t="s">
        <v>216</v>
      </c>
      <c r="E1280" s="275">
        <v>41457.752858796295</v>
      </c>
      <c r="F1280" s="276">
        <v>3</v>
      </c>
      <c r="G1280" s="243">
        <f t="shared" si="20"/>
        <v>92</v>
      </c>
      <c r="H1280" s="244"/>
      <c r="I1280" s="71" t="e">
        <f>IF(COUNTIF((rName rData),H1280),"","Name Error!")</f>
        <v>#NAME?</v>
      </c>
    </row>
    <row r="1281" spans="2:9" s="126" customFormat="1" ht="15" customHeight="1" x14ac:dyDescent="0.25">
      <c r="B1281" s="271" t="s">
        <v>279</v>
      </c>
      <c r="C1281" s="272" t="s">
        <v>280</v>
      </c>
      <c r="D1281" s="275" t="s">
        <v>216</v>
      </c>
      <c r="E1281" s="275">
        <v>41458.045254629629</v>
      </c>
      <c r="F1281" s="276">
        <v>2</v>
      </c>
      <c r="G1281" s="243">
        <f t="shared" si="20"/>
        <v>92</v>
      </c>
      <c r="H1281" s="244"/>
      <c r="I1281" s="71" t="e">
        <f>IF(COUNTIF((rName rData),H1281),"","Name Error!")</f>
        <v>#NAME?</v>
      </c>
    </row>
    <row r="1282" spans="2:9" s="126" customFormat="1" ht="15" customHeight="1" x14ac:dyDescent="0.25">
      <c r="B1282" s="271" t="s">
        <v>341</v>
      </c>
      <c r="C1282" s="272" t="s">
        <v>340</v>
      </c>
      <c r="D1282" s="275" t="s">
        <v>216</v>
      </c>
      <c r="E1282" s="275">
        <v>41458.373611111114</v>
      </c>
      <c r="F1282" s="276">
        <v>1</v>
      </c>
      <c r="G1282" s="243">
        <f t="shared" si="20"/>
        <v>92</v>
      </c>
      <c r="H1282" s="244"/>
      <c r="I1282" s="71" t="e">
        <f>IF(COUNTIF((rName rData),H1282),"","Name Error!")</f>
        <v>#NAME?</v>
      </c>
    </row>
    <row r="1283" spans="2:9" s="126" customFormat="1" ht="15" customHeight="1" x14ac:dyDescent="0.25">
      <c r="B1283" s="271" t="s">
        <v>358</v>
      </c>
      <c r="C1283" s="272" t="s">
        <v>357</v>
      </c>
      <c r="D1283" s="275" t="s">
        <v>216</v>
      </c>
      <c r="E1283" s="275">
        <v>41458.747928240744</v>
      </c>
      <c r="F1283" s="276">
        <v>2</v>
      </c>
      <c r="G1283" s="243">
        <f t="shared" si="20"/>
        <v>92</v>
      </c>
      <c r="H1283" s="244"/>
      <c r="I1283" s="71" t="e">
        <f>IF(COUNTIF((rName rData),H1283),"","Name Error!")</f>
        <v>#NAME?</v>
      </c>
    </row>
    <row r="1284" spans="2:9" s="126" customFormat="1" ht="15" customHeight="1" x14ac:dyDescent="0.25">
      <c r="B1284" s="271" t="s">
        <v>358</v>
      </c>
      <c r="C1284" s="272" t="s">
        <v>357</v>
      </c>
      <c r="D1284" s="275" t="s">
        <v>216</v>
      </c>
      <c r="E1284" s="275">
        <v>41459.356863425928</v>
      </c>
      <c r="F1284" s="276">
        <v>5</v>
      </c>
      <c r="G1284" s="243">
        <f t="shared" si="20"/>
        <v>92</v>
      </c>
      <c r="H1284" s="244"/>
      <c r="I1284" s="71" t="e">
        <f>IF(COUNTIF((rName rData),H1284),"","Name Error!")</f>
        <v>#NAME?</v>
      </c>
    </row>
    <row r="1285" spans="2:9" s="126" customFormat="1" ht="15" customHeight="1" x14ac:dyDescent="0.25">
      <c r="B1285" s="271" t="s">
        <v>267</v>
      </c>
      <c r="C1285" s="272" t="s">
        <v>268</v>
      </c>
      <c r="D1285" s="275" t="s">
        <v>216</v>
      </c>
      <c r="E1285" s="275">
        <v>41459.358680555553</v>
      </c>
      <c r="F1285" s="276">
        <v>2</v>
      </c>
      <c r="G1285" s="243">
        <f t="shared" si="20"/>
        <v>92</v>
      </c>
      <c r="H1285" s="244"/>
      <c r="I1285" s="71" t="e">
        <f>IF(COUNTIF((rName rData),H1285),"","Name Error!")</f>
        <v>#NAME?</v>
      </c>
    </row>
    <row r="1286" spans="2:9" s="126" customFormat="1" ht="15" customHeight="1" x14ac:dyDescent="0.25">
      <c r="B1286" s="271" t="s">
        <v>341</v>
      </c>
      <c r="C1286" s="272" t="s">
        <v>340</v>
      </c>
      <c r="D1286" s="275" t="s">
        <v>216</v>
      </c>
      <c r="E1286" s="275">
        <v>41459.559224537035</v>
      </c>
      <c r="F1286" s="276">
        <v>2</v>
      </c>
      <c r="G1286" s="243">
        <f t="shared" si="20"/>
        <v>92</v>
      </c>
      <c r="H1286" s="244"/>
      <c r="I1286" s="71" t="e">
        <f>IF(COUNTIF((rName rData),H1286),"","Name Error!")</f>
        <v>#NAME?</v>
      </c>
    </row>
    <row r="1287" spans="2:9" s="126" customFormat="1" ht="15" customHeight="1" x14ac:dyDescent="0.25">
      <c r="B1287" s="271" t="s">
        <v>350</v>
      </c>
      <c r="C1287" s="272" t="s">
        <v>349</v>
      </c>
      <c r="D1287" s="275" t="s">
        <v>216</v>
      </c>
      <c r="E1287" s="275">
        <v>41459.676979166667</v>
      </c>
      <c r="F1287" s="276">
        <v>6</v>
      </c>
      <c r="G1287" s="243">
        <f t="shared" si="20"/>
        <v>92</v>
      </c>
      <c r="H1287" s="244"/>
      <c r="I1287" s="71" t="e">
        <f>IF(COUNTIF((rName rData),H1287),"","Name Error!")</f>
        <v>#NAME?</v>
      </c>
    </row>
    <row r="1288" spans="2:9" s="126" customFormat="1" ht="15" customHeight="1" x14ac:dyDescent="0.25">
      <c r="B1288" s="271" t="s">
        <v>279</v>
      </c>
      <c r="C1288" s="272" t="s">
        <v>280</v>
      </c>
      <c r="D1288" s="275" t="s">
        <v>216</v>
      </c>
      <c r="E1288" s="275">
        <v>41459.705960648149</v>
      </c>
      <c r="F1288" s="276">
        <v>1</v>
      </c>
      <c r="G1288" s="243">
        <f t="shared" si="20"/>
        <v>92</v>
      </c>
      <c r="H1288" s="244"/>
      <c r="I1288" s="71" t="e">
        <f>IF(COUNTIF((rName rData),H1288),"","Name Error!")</f>
        <v>#NAME?</v>
      </c>
    </row>
    <row r="1289" spans="2:9" s="126" customFormat="1" ht="15" customHeight="1" x14ac:dyDescent="0.25">
      <c r="B1289" s="271" t="s">
        <v>279</v>
      </c>
      <c r="C1289" s="272" t="s">
        <v>280</v>
      </c>
      <c r="D1289" s="275" t="s">
        <v>216</v>
      </c>
      <c r="E1289" s="275">
        <v>41460.055127314816</v>
      </c>
      <c r="F1289" s="276">
        <v>2</v>
      </c>
      <c r="G1289" s="243">
        <f t="shared" si="20"/>
        <v>92</v>
      </c>
      <c r="H1289" s="244"/>
      <c r="I1289" s="71" t="e">
        <f>IF(COUNTIF((rName rData),H1289),"","Name Error!")</f>
        <v>#NAME?</v>
      </c>
    </row>
    <row r="1290" spans="2:9" s="126" customFormat="1" ht="15" customHeight="1" x14ac:dyDescent="0.25">
      <c r="B1290" s="271" t="s">
        <v>358</v>
      </c>
      <c r="C1290" s="272" t="s">
        <v>357</v>
      </c>
      <c r="D1290" s="275" t="s">
        <v>216</v>
      </c>
      <c r="E1290" s="275">
        <v>41460.385277777779</v>
      </c>
      <c r="F1290" s="276">
        <v>3</v>
      </c>
      <c r="G1290" s="243">
        <f t="shared" ref="G1290:G1353" si="21">TRUNC((E1290-start)/7)+1</f>
        <v>92</v>
      </c>
      <c r="H1290" s="244"/>
      <c r="I1290" s="71" t="e">
        <f>IF(COUNTIF((rName rData),H1290),"","Name Error!")</f>
        <v>#NAME?</v>
      </c>
    </row>
    <row r="1291" spans="2:9" s="126" customFormat="1" ht="15" customHeight="1" x14ac:dyDescent="0.25">
      <c r="B1291" s="271" t="s">
        <v>350</v>
      </c>
      <c r="C1291" s="272" t="s">
        <v>349</v>
      </c>
      <c r="D1291" s="275" t="s">
        <v>216</v>
      </c>
      <c r="E1291" s="275">
        <v>41460.755219907405</v>
      </c>
      <c r="F1291" s="276">
        <v>3</v>
      </c>
      <c r="G1291" s="243">
        <f t="shared" si="21"/>
        <v>92</v>
      </c>
      <c r="H1291" s="244"/>
      <c r="I1291" s="71" t="e">
        <f>IF(COUNTIF((rName rData),H1291),"","Name Error!")</f>
        <v>#NAME?</v>
      </c>
    </row>
    <row r="1292" spans="2:9" s="126" customFormat="1" ht="15" customHeight="1" x14ac:dyDescent="0.25">
      <c r="B1292" s="271" t="s">
        <v>341</v>
      </c>
      <c r="C1292" s="272" t="s">
        <v>340</v>
      </c>
      <c r="D1292" s="275" t="s">
        <v>216</v>
      </c>
      <c r="E1292" s="275">
        <v>41460.84716435185</v>
      </c>
      <c r="F1292" s="276">
        <v>1</v>
      </c>
      <c r="G1292" s="243">
        <f t="shared" si="21"/>
        <v>92</v>
      </c>
      <c r="H1292" s="244"/>
      <c r="I1292" s="71" t="e">
        <f>IF(COUNTIF((rName rData),H1292),"","Name Error!")</f>
        <v>#NAME?</v>
      </c>
    </row>
    <row r="1293" spans="2:9" s="126" customFormat="1" ht="15" customHeight="1" x14ac:dyDescent="0.25">
      <c r="B1293" s="271" t="s">
        <v>267</v>
      </c>
      <c r="C1293" s="272" t="s">
        <v>268</v>
      </c>
      <c r="D1293" s="275" t="s">
        <v>216</v>
      </c>
      <c r="E1293" s="275">
        <v>41460.921620370369</v>
      </c>
      <c r="F1293" s="276">
        <v>1</v>
      </c>
      <c r="G1293" s="243">
        <f t="shared" si="21"/>
        <v>92</v>
      </c>
      <c r="H1293" s="244"/>
      <c r="I1293" s="71" t="e">
        <f>IF(COUNTIF((rName rData),H1293),"","Name Error!")</f>
        <v>#NAME?</v>
      </c>
    </row>
    <row r="1294" spans="2:9" s="126" customFormat="1" ht="15" customHeight="1" x14ac:dyDescent="0.25">
      <c r="B1294" s="271" t="s">
        <v>328</v>
      </c>
      <c r="C1294" s="272" t="s">
        <v>327</v>
      </c>
      <c r="D1294" s="275" t="s">
        <v>216</v>
      </c>
      <c r="E1294" s="275">
        <v>41460.997199074074</v>
      </c>
      <c r="F1294" s="276">
        <v>1</v>
      </c>
      <c r="G1294" s="243">
        <f t="shared" si="21"/>
        <v>92</v>
      </c>
      <c r="H1294" s="244"/>
      <c r="I1294" s="71" t="e">
        <f>IF(COUNTIF((rName rData),H1294),"","Name Error!")</f>
        <v>#NAME?</v>
      </c>
    </row>
    <row r="1295" spans="2:9" s="126" customFormat="1" ht="15" customHeight="1" x14ac:dyDescent="0.25">
      <c r="B1295" s="271" t="s">
        <v>279</v>
      </c>
      <c r="C1295" s="272" t="s">
        <v>280</v>
      </c>
      <c r="D1295" s="275" t="s">
        <v>216</v>
      </c>
      <c r="E1295" s="275">
        <v>41462.007951388892</v>
      </c>
      <c r="F1295" s="276">
        <v>2</v>
      </c>
      <c r="G1295" s="243">
        <f t="shared" si="21"/>
        <v>93</v>
      </c>
      <c r="H1295" s="244"/>
      <c r="I1295" s="71" t="e">
        <f>IF(COUNTIF((rName rData),H1295),"","Name Error!")</f>
        <v>#NAME?</v>
      </c>
    </row>
    <row r="1296" spans="2:9" s="126" customFormat="1" ht="15" customHeight="1" x14ac:dyDescent="0.25">
      <c r="B1296" s="271" t="s">
        <v>339</v>
      </c>
      <c r="C1296" s="272" t="s">
        <v>338</v>
      </c>
      <c r="D1296" s="275" t="s">
        <v>216</v>
      </c>
      <c r="E1296" s="275">
        <v>41463.481041666666</v>
      </c>
      <c r="F1296" s="276">
        <v>1</v>
      </c>
      <c r="G1296" s="243">
        <f t="shared" si="21"/>
        <v>93</v>
      </c>
      <c r="H1296" s="244"/>
      <c r="I1296" s="71" t="e">
        <f>IF(COUNTIF((rName rData),H1296),"","Name Error!")</f>
        <v>#NAME?</v>
      </c>
    </row>
    <row r="1297" spans="2:9" s="126" customFormat="1" ht="15" customHeight="1" x14ac:dyDescent="0.25">
      <c r="B1297" s="271" t="s">
        <v>279</v>
      </c>
      <c r="C1297" s="272" t="s">
        <v>280</v>
      </c>
      <c r="D1297" s="275" t="s">
        <v>216</v>
      </c>
      <c r="E1297" s="275">
        <v>41463.508981481478</v>
      </c>
      <c r="F1297" s="276">
        <v>1</v>
      </c>
      <c r="G1297" s="243">
        <f t="shared" si="21"/>
        <v>93</v>
      </c>
      <c r="H1297" s="244"/>
      <c r="I1297" s="71" t="e">
        <f>IF(COUNTIF((rName rData),H1297),"","Name Error!")</f>
        <v>#NAME?</v>
      </c>
    </row>
    <row r="1298" spans="2:9" s="126" customFormat="1" ht="15" customHeight="1" x14ac:dyDescent="0.25">
      <c r="B1298" s="271" t="s">
        <v>367</v>
      </c>
      <c r="C1298" s="272" t="s">
        <v>366</v>
      </c>
      <c r="D1298" s="275" t="s">
        <v>216</v>
      </c>
      <c r="E1298" s="275">
        <v>41463.515011574076</v>
      </c>
      <c r="F1298" s="276">
        <v>1</v>
      </c>
      <c r="G1298" s="243">
        <f t="shared" si="21"/>
        <v>93</v>
      </c>
      <c r="H1298" s="244"/>
      <c r="I1298" s="71" t="e">
        <f>IF(COUNTIF((rName rData),H1298),"","Name Error!")</f>
        <v>#NAME?</v>
      </c>
    </row>
    <row r="1299" spans="2:9" s="126" customFormat="1" ht="15" customHeight="1" x14ac:dyDescent="0.25">
      <c r="B1299" s="271" t="s">
        <v>343</v>
      </c>
      <c r="C1299" s="272" t="s">
        <v>342</v>
      </c>
      <c r="D1299" s="275" t="s">
        <v>216</v>
      </c>
      <c r="E1299" s="275">
        <v>41463.632349537038</v>
      </c>
      <c r="F1299" s="276">
        <v>2</v>
      </c>
      <c r="G1299" s="243">
        <f t="shared" si="21"/>
        <v>93</v>
      </c>
      <c r="H1299" s="244"/>
      <c r="I1299" s="71" t="e">
        <f>IF(COUNTIF((rName rData),H1299),"","Name Error!")</f>
        <v>#NAME?</v>
      </c>
    </row>
    <row r="1300" spans="2:9" s="126" customFormat="1" ht="15" customHeight="1" x14ac:dyDescent="0.25">
      <c r="B1300" s="271" t="s">
        <v>371</v>
      </c>
      <c r="C1300" s="272" t="s">
        <v>370</v>
      </c>
      <c r="D1300" s="275" t="s">
        <v>216</v>
      </c>
      <c r="E1300" s="275">
        <v>41463.70385416667</v>
      </c>
      <c r="F1300" s="276">
        <v>1</v>
      </c>
      <c r="G1300" s="243">
        <f t="shared" si="21"/>
        <v>93</v>
      </c>
      <c r="H1300" s="244"/>
      <c r="I1300" s="71" t="e">
        <f>IF(COUNTIF((rName rData),H1300),"","Name Error!")</f>
        <v>#NAME?</v>
      </c>
    </row>
    <row r="1301" spans="2:9" s="126" customFormat="1" ht="15" customHeight="1" x14ac:dyDescent="0.25">
      <c r="B1301" s="271" t="s">
        <v>358</v>
      </c>
      <c r="C1301" s="272" t="s">
        <v>357</v>
      </c>
      <c r="D1301" s="275" t="s">
        <v>216</v>
      </c>
      <c r="E1301" s="275">
        <v>41463.849085648151</v>
      </c>
      <c r="F1301" s="276">
        <v>1</v>
      </c>
      <c r="G1301" s="243">
        <f t="shared" si="21"/>
        <v>93</v>
      </c>
      <c r="H1301" s="244"/>
      <c r="I1301" s="71" t="e">
        <f>IF(COUNTIF((rName rData),H1301),"","Name Error!")</f>
        <v>#NAME?</v>
      </c>
    </row>
    <row r="1302" spans="2:9" s="126" customFormat="1" ht="15" customHeight="1" x14ac:dyDescent="0.25">
      <c r="B1302" s="271" t="s">
        <v>322</v>
      </c>
      <c r="C1302" s="272" t="s">
        <v>321</v>
      </c>
      <c r="D1302" s="275" t="s">
        <v>216</v>
      </c>
      <c r="E1302" s="275">
        <v>41463.983541666668</v>
      </c>
      <c r="F1302" s="276">
        <v>1</v>
      </c>
      <c r="G1302" s="243">
        <f t="shared" si="21"/>
        <v>93</v>
      </c>
      <c r="H1302" s="244"/>
      <c r="I1302" s="71" t="e">
        <f>IF(COUNTIF((rName rData),H1302),"","Name Error!")</f>
        <v>#NAME?</v>
      </c>
    </row>
    <row r="1303" spans="2:9" s="126" customFormat="1" ht="15" customHeight="1" x14ac:dyDescent="0.25">
      <c r="B1303" s="271" t="s">
        <v>279</v>
      </c>
      <c r="C1303" s="272" t="s">
        <v>280</v>
      </c>
      <c r="D1303" s="275" t="s">
        <v>216</v>
      </c>
      <c r="E1303" s="275">
        <v>41464.362962962965</v>
      </c>
      <c r="F1303" s="276">
        <v>1</v>
      </c>
      <c r="G1303" s="243">
        <f t="shared" si="21"/>
        <v>93</v>
      </c>
      <c r="H1303" s="244"/>
      <c r="I1303" s="71" t="e">
        <f>IF(COUNTIF((rName rData),H1303),"","Name Error!")</f>
        <v>#NAME?</v>
      </c>
    </row>
    <row r="1304" spans="2:9" s="126" customFormat="1" ht="15" customHeight="1" x14ac:dyDescent="0.25">
      <c r="B1304" s="271" t="s">
        <v>343</v>
      </c>
      <c r="C1304" s="272" t="s">
        <v>342</v>
      </c>
      <c r="D1304" s="275" t="s">
        <v>216</v>
      </c>
      <c r="E1304" s="275">
        <v>41464.502372685187</v>
      </c>
      <c r="F1304" s="276">
        <v>1</v>
      </c>
      <c r="G1304" s="243">
        <f t="shared" si="21"/>
        <v>93</v>
      </c>
      <c r="H1304" s="244"/>
      <c r="I1304" s="71" t="e">
        <f>IF(COUNTIF((rName rData),H1304),"","Name Error!")</f>
        <v>#NAME?</v>
      </c>
    </row>
    <row r="1305" spans="2:9" s="126" customFormat="1" ht="15" customHeight="1" x14ac:dyDescent="0.25">
      <c r="B1305" s="271" t="s">
        <v>354</v>
      </c>
      <c r="C1305" s="272" t="s">
        <v>353</v>
      </c>
      <c r="D1305" s="275" t="s">
        <v>216</v>
      </c>
      <c r="E1305" s="275">
        <v>41464.822569444441</v>
      </c>
      <c r="F1305" s="276">
        <v>1</v>
      </c>
      <c r="G1305" s="243">
        <f t="shared" si="21"/>
        <v>93</v>
      </c>
      <c r="H1305" s="244"/>
      <c r="I1305" s="71" t="e">
        <f>IF(COUNTIF((rName rData),H1305),"","Name Error!")</f>
        <v>#NAME?</v>
      </c>
    </row>
    <row r="1306" spans="2:9" s="126" customFormat="1" ht="15" customHeight="1" x14ac:dyDescent="0.25">
      <c r="B1306" s="271" t="s">
        <v>267</v>
      </c>
      <c r="C1306" s="272" t="s">
        <v>268</v>
      </c>
      <c r="D1306" s="275" t="s">
        <v>216</v>
      </c>
      <c r="E1306" s="275">
        <v>41464.868680555555</v>
      </c>
      <c r="F1306" s="276">
        <v>2</v>
      </c>
      <c r="G1306" s="243">
        <f t="shared" si="21"/>
        <v>93</v>
      </c>
      <c r="H1306" s="244"/>
      <c r="I1306" s="71" t="e">
        <f>IF(COUNTIF((rName rData),H1306),"","Name Error!")</f>
        <v>#NAME?</v>
      </c>
    </row>
    <row r="1307" spans="2:9" s="126" customFormat="1" ht="15" customHeight="1" x14ac:dyDescent="0.25">
      <c r="B1307" s="271" t="s">
        <v>328</v>
      </c>
      <c r="C1307" s="272" t="s">
        <v>327</v>
      </c>
      <c r="D1307" s="275" t="s">
        <v>216</v>
      </c>
      <c r="E1307" s="275">
        <v>41464.909270833334</v>
      </c>
      <c r="F1307" s="276">
        <v>1</v>
      </c>
      <c r="G1307" s="243">
        <f t="shared" si="21"/>
        <v>93</v>
      </c>
      <c r="H1307" s="244"/>
      <c r="I1307" s="71" t="e">
        <f>IF(COUNTIF((rName rData),H1307),"","Name Error!")</f>
        <v>#NAME?</v>
      </c>
    </row>
    <row r="1308" spans="2:9" s="126" customFormat="1" ht="15" customHeight="1" x14ac:dyDescent="0.25">
      <c r="B1308" s="271" t="s">
        <v>343</v>
      </c>
      <c r="C1308" s="272" t="s">
        <v>342</v>
      </c>
      <c r="D1308" s="275" t="s">
        <v>216</v>
      </c>
      <c r="E1308" s="275">
        <v>41465.319687499999</v>
      </c>
      <c r="F1308" s="276">
        <v>1</v>
      </c>
      <c r="G1308" s="243">
        <f t="shared" si="21"/>
        <v>93</v>
      </c>
      <c r="H1308" s="244"/>
      <c r="I1308" s="71" t="e">
        <f>IF(COUNTIF((rName rData),H1308),"","Name Error!")</f>
        <v>#NAME?</v>
      </c>
    </row>
    <row r="1309" spans="2:9" s="126" customFormat="1" ht="15" customHeight="1" x14ac:dyDescent="0.25">
      <c r="B1309" s="271" t="s">
        <v>358</v>
      </c>
      <c r="C1309" s="272" t="s">
        <v>357</v>
      </c>
      <c r="D1309" s="275" t="s">
        <v>216</v>
      </c>
      <c r="E1309" s="275">
        <v>41465.777511574073</v>
      </c>
      <c r="F1309" s="276">
        <v>1</v>
      </c>
      <c r="G1309" s="243">
        <f t="shared" si="21"/>
        <v>93</v>
      </c>
      <c r="H1309" s="244"/>
      <c r="I1309" s="71" t="e">
        <f>IF(COUNTIF((rName rData),H1309),"","Name Error!")</f>
        <v>#NAME?</v>
      </c>
    </row>
    <row r="1310" spans="2:9" s="126" customFormat="1" ht="15" customHeight="1" x14ac:dyDescent="0.25">
      <c r="B1310" s="271" t="s">
        <v>341</v>
      </c>
      <c r="C1310" s="272" t="s">
        <v>340</v>
      </c>
      <c r="D1310" s="275" t="s">
        <v>216</v>
      </c>
      <c r="E1310" s="275">
        <v>41465.880891203706</v>
      </c>
      <c r="F1310" s="276">
        <v>1</v>
      </c>
      <c r="G1310" s="243">
        <f t="shared" si="21"/>
        <v>93</v>
      </c>
      <c r="H1310" s="244"/>
      <c r="I1310" s="71" t="e">
        <f>IF(COUNTIF((rName rData),H1310),"","Name Error!")</f>
        <v>#NAME?</v>
      </c>
    </row>
    <row r="1311" spans="2:9" s="126" customFormat="1" ht="15" customHeight="1" x14ac:dyDescent="0.25">
      <c r="B1311" s="271" t="s">
        <v>343</v>
      </c>
      <c r="C1311" s="272" t="s">
        <v>342</v>
      </c>
      <c r="D1311" s="275" t="s">
        <v>216</v>
      </c>
      <c r="E1311" s="275">
        <v>41466.338888888888</v>
      </c>
      <c r="F1311" s="276">
        <v>1</v>
      </c>
      <c r="G1311" s="243">
        <f t="shared" si="21"/>
        <v>93</v>
      </c>
      <c r="H1311" s="244"/>
      <c r="I1311" s="71" t="e">
        <f>IF(COUNTIF((rName rData),H1311),"","Name Error!")</f>
        <v>#NAME?</v>
      </c>
    </row>
    <row r="1312" spans="2:9" s="126" customFormat="1" ht="15" customHeight="1" x14ac:dyDescent="0.25">
      <c r="B1312" s="271" t="s">
        <v>341</v>
      </c>
      <c r="C1312" s="272" t="s">
        <v>340</v>
      </c>
      <c r="D1312" s="275" t="s">
        <v>216</v>
      </c>
      <c r="E1312" s="275">
        <v>41466.366076388891</v>
      </c>
      <c r="F1312" s="276">
        <v>1</v>
      </c>
      <c r="G1312" s="243">
        <f t="shared" si="21"/>
        <v>93</v>
      </c>
      <c r="H1312" s="244"/>
      <c r="I1312" s="71" t="e">
        <f>IF(COUNTIF((rName rData),H1312),"","Name Error!")</f>
        <v>#NAME?</v>
      </c>
    </row>
    <row r="1313" spans="2:9" s="126" customFormat="1" ht="15" customHeight="1" x14ac:dyDescent="0.25">
      <c r="B1313" s="271" t="s">
        <v>267</v>
      </c>
      <c r="C1313" s="272" t="s">
        <v>268</v>
      </c>
      <c r="D1313" s="275" t="s">
        <v>216</v>
      </c>
      <c r="E1313" s="275">
        <v>41466.97625</v>
      </c>
      <c r="F1313" s="276">
        <v>2</v>
      </c>
      <c r="G1313" s="243">
        <f t="shared" si="21"/>
        <v>93</v>
      </c>
      <c r="H1313" s="244"/>
      <c r="I1313" s="71" t="e">
        <f>IF(COUNTIF((rName rData),H1313),"","Name Error!")</f>
        <v>#NAME?</v>
      </c>
    </row>
    <row r="1314" spans="2:9" s="126" customFormat="1" ht="15" customHeight="1" x14ac:dyDescent="0.25">
      <c r="B1314" s="271" t="s">
        <v>279</v>
      </c>
      <c r="C1314" s="272" t="s">
        <v>280</v>
      </c>
      <c r="D1314" s="275" t="s">
        <v>216</v>
      </c>
      <c r="E1314" s="275">
        <v>41467.420543981483</v>
      </c>
      <c r="F1314" s="276">
        <v>1</v>
      </c>
      <c r="G1314" s="243">
        <f t="shared" si="21"/>
        <v>93</v>
      </c>
      <c r="H1314" s="244"/>
      <c r="I1314" s="71" t="e">
        <f>IF(COUNTIF((rName rData),H1314),"","Name Error!")</f>
        <v>#NAME?</v>
      </c>
    </row>
    <row r="1315" spans="2:9" s="126" customFormat="1" ht="15" customHeight="1" x14ac:dyDescent="0.25">
      <c r="B1315" s="271" t="s">
        <v>343</v>
      </c>
      <c r="C1315" s="272" t="s">
        <v>342</v>
      </c>
      <c r="D1315" s="275" t="s">
        <v>216</v>
      </c>
      <c r="E1315" s="275">
        <v>41467.931516203702</v>
      </c>
      <c r="F1315" s="276">
        <v>1</v>
      </c>
      <c r="G1315" s="243">
        <f t="shared" si="21"/>
        <v>93</v>
      </c>
      <c r="H1315" s="244"/>
      <c r="I1315" s="71" t="e">
        <f>IF(COUNTIF((rName rData),H1315),"","Name Error!")</f>
        <v>#NAME?</v>
      </c>
    </row>
    <row r="1316" spans="2:9" s="126" customFormat="1" ht="15" customHeight="1" x14ac:dyDescent="0.25">
      <c r="B1316" s="271" t="s">
        <v>279</v>
      </c>
      <c r="C1316" s="272" t="s">
        <v>280</v>
      </c>
      <c r="D1316" s="275" t="s">
        <v>216</v>
      </c>
      <c r="E1316" s="275">
        <v>41468.455706018518</v>
      </c>
      <c r="F1316" s="276">
        <v>2</v>
      </c>
      <c r="G1316" s="243">
        <f t="shared" si="21"/>
        <v>94</v>
      </c>
      <c r="H1316" s="244"/>
      <c r="I1316" s="71" t="e">
        <f>IF(COUNTIF((rName rData),H1316),"","Name Error!")</f>
        <v>#NAME?</v>
      </c>
    </row>
    <row r="1317" spans="2:9" s="126" customFormat="1" ht="15" customHeight="1" x14ac:dyDescent="0.25">
      <c r="B1317" s="271" t="s">
        <v>350</v>
      </c>
      <c r="C1317" s="272" t="s">
        <v>349</v>
      </c>
      <c r="D1317" s="275" t="s">
        <v>216</v>
      </c>
      <c r="E1317" s="275">
        <v>41468.565625000003</v>
      </c>
      <c r="F1317" s="276">
        <v>1</v>
      </c>
      <c r="G1317" s="243">
        <f t="shared" si="21"/>
        <v>94</v>
      </c>
      <c r="H1317" s="244"/>
      <c r="I1317" s="71" t="e">
        <f>IF(COUNTIF((rName rData),H1317),"","Name Error!")</f>
        <v>#NAME?</v>
      </c>
    </row>
    <row r="1318" spans="2:9" s="126" customFormat="1" ht="15" customHeight="1" x14ac:dyDescent="0.25">
      <c r="B1318" s="271" t="s">
        <v>358</v>
      </c>
      <c r="C1318" s="272" t="s">
        <v>357</v>
      </c>
      <c r="D1318" s="275" t="s">
        <v>216</v>
      </c>
      <c r="E1318" s="275">
        <v>41469.806701388887</v>
      </c>
      <c r="F1318" s="276">
        <v>1</v>
      </c>
      <c r="G1318" s="243">
        <f t="shared" si="21"/>
        <v>94</v>
      </c>
      <c r="H1318" s="244"/>
      <c r="I1318" s="71" t="e">
        <f>IF(COUNTIF((rName rData),H1318),"","Name Error!")</f>
        <v>#NAME?</v>
      </c>
    </row>
    <row r="1319" spans="2:9" s="126" customFormat="1" ht="15" customHeight="1" x14ac:dyDescent="0.25">
      <c r="B1319" s="271" t="s">
        <v>267</v>
      </c>
      <c r="C1319" s="272" t="s">
        <v>268</v>
      </c>
      <c r="D1319" s="275" t="s">
        <v>216</v>
      </c>
      <c r="E1319" s="275">
        <v>41470.84648148148</v>
      </c>
      <c r="F1319" s="276">
        <v>1</v>
      </c>
      <c r="G1319" s="243">
        <f t="shared" si="21"/>
        <v>94</v>
      </c>
      <c r="H1319" s="244"/>
      <c r="I1319" s="71" t="e">
        <f>IF(COUNTIF((rName rData),H1319),"","Name Error!")</f>
        <v>#NAME?</v>
      </c>
    </row>
    <row r="1320" spans="2:9" s="126" customFormat="1" ht="15" customHeight="1" x14ac:dyDescent="0.25">
      <c r="B1320" s="271" t="s">
        <v>350</v>
      </c>
      <c r="C1320" s="272" t="s">
        <v>349</v>
      </c>
      <c r="D1320" s="275" t="s">
        <v>216</v>
      </c>
      <c r="E1320" s="275">
        <v>41470.874097222222</v>
      </c>
      <c r="F1320" s="276">
        <v>1</v>
      </c>
      <c r="G1320" s="243">
        <f t="shared" si="21"/>
        <v>94</v>
      </c>
      <c r="H1320" s="244"/>
      <c r="I1320" s="71" t="e">
        <f>IF(COUNTIF((rName rData),H1320),"","Name Error!")</f>
        <v>#NAME?</v>
      </c>
    </row>
    <row r="1321" spans="2:9" s="126" customFormat="1" ht="15" customHeight="1" x14ac:dyDescent="0.25">
      <c r="B1321" s="271" t="s">
        <v>343</v>
      </c>
      <c r="C1321" s="272" t="s">
        <v>342</v>
      </c>
      <c r="D1321" s="275" t="s">
        <v>216</v>
      </c>
      <c r="E1321" s="275">
        <v>41470.900729166664</v>
      </c>
      <c r="F1321" s="276">
        <v>1</v>
      </c>
      <c r="G1321" s="243">
        <f t="shared" si="21"/>
        <v>94</v>
      </c>
      <c r="H1321" s="244"/>
      <c r="I1321" s="71" t="e">
        <f>IF(COUNTIF((rName rData),H1321),"","Name Error!")</f>
        <v>#NAME?</v>
      </c>
    </row>
    <row r="1322" spans="2:9" s="126" customFormat="1" ht="15" customHeight="1" x14ac:dyDescent="0.25">
      <c r="B1322" s="271" t="s">
        <v>343</v>
      </c>
      <c r="C1322" s="272" t="s">
        <v>342</v>
      </c>
      <c r="D1322" s="275" t="s">
        <v>216</v>
      </c>
      <c r="E1322" s="275">
        <v>41471.906655092593</v>
      </c>
      <c r="F1322" s="276">
        <v>1</v>
      </c>
      <c r="G1322" s="243">
        <f t="shared" si="21"/>
        <v>94</v>
      </c>
      <c r="H1322" s="244"/>
      <c r="I1322" s="71" t="e">
        <f>IF(COUNTIF((rName rData),H1322),"","Name Error!")</f>
        <v>#NAME?</v>
      </c>
    </row>
    <row r="1323" spans="2:9" s="126" customFormat="1" ht="15" customHeight="1" x14ac:dyDescent="0.25">
      <c r="B1323" s="271" t="s">
        <v>341</v>
      </c>
      <c r="C1323" s="272" t="s">
        <v>340</v>
      </c>
      <c r="D1323" s="275" t="s">
        <v>216</v>
      </c>
      <c r="E1323" s="275">
        <v>41471.917141203703</v>
      </c>
      <c r="F1323" s="276">
        <v>1</v>
      </c>
      <c r="G1323" s="243">
        <f t="shared" si="21"/>
        <v>94</v>
      </c>
      <c r="H1323" s="244"/>
      <c r="I1323" s="71" t="e">
        <f>IF(COUNTIF((rName rData),H1323),"","Name Error!")</f>
        <v>#NAME?</v>
      </c>
    </row>
    <row r="1324" spans="2:9" s="126" customFormat="1" ht="15" customHeight="1" x14ac:dyDescent="0.25">
      <c r="B1324" s="271" t="s">
        <v>279</v>
      </c>
      <c r="C1324" s="272" t="s">
        <v>280</v>
      </c>
      <c r="D1324" s="275" t="s">
        <v>216</v>
      </c>
      <c r="E1324" s="275">
        <v>41471.97347222222</v>
      </c>
      <c r="F1324" s="276">
        <v>1</v>
      </c>
      <c r="G1324" s="243">
        <f t="shared" si="21"/>
        <v>94</v>
      </c>
      <c r="H1324" s="244"/>
      <c r="I1324" s="71" t="e">
        <f>IF(COUNTIF((rName rData),H1324),"","Name Error!")</f>
        <v>#NAME?</v>
      </c>
    </row>
    <row r="1325" spans="2:9" s="126" customFormat="1" ht="15" customHeight="1" x14ac:dyDescent="0.25">
      <c r="B1325" s="271" t="s">
        <v>371</v>
      </c>
      <c r="C1325" s="272" t="s">
        <v>370</v>
      </c>
      <c r="D1325" s="275" t="s">
        <v>216</v>
      </c>
      <c r="E1325" s="275">
        <v>41472.509965277779</v>
      </c>
      <c r="F1325" s="276">
        <v>1</v>
      </c>
      <c r="G1325" s="243">
        <f t="shared" si="21"/>
        <v>94</v>
      </c>
      <c r="H1325" s="244"/>
      <c r="I1325" s="71" t="e">
        <f>IF(COUNTIF((rName rData),H1325),"","Name Error!")</f>
        <v>#NAME?</v>
      </c>
    </row>
    <row r="1326" spans="2:9" s="126" customFormat="1" ht="15" customHeight="1" x14ac:dyDescent="0.25">
      <c r="B1326" s="271" t="s">
        <v>341</v>
      </c>
      <c r="C1326" s="272" t="s">
        <v>340</v>
      </c>
      <c r="D1326" s="275" t="s">
        <v>216</v>
      </c>
      <c r="E1326" s="275">
        <v>41472.881921296299</v>
      </c>
      <c r="F1326" s="276">
        <v>1</v>
      </c>
      <c r="G1326" s="243">
        <f t="shared" si="21"/>
        <v>94</v>
      </c>
      <c r="H1326" s="244"/>
      <c r="I1326" s="71" t="e">
        <f>IF(COUNTIF((rName rData),H1326),"","Name Error!")</f>
        <v>#NAME?</v>
      </c>
    </row>
    <row r="1327" spans="2:9" s="126" customFormat="1" ht="15" customHeight="1" x14ac:dyDescent="0.25">
      <c r="B1327" s="271" t="s">
        <v>343</v>
      </c>
      <c r="C1327" s="272" t="s">
        <v>342</v>
      </c>
      <c r="D1327" s="275" t="s">
        <v>216</v>
      </c>
      <c r="E1327" s="275">
        <v>41472.923773148148</v>
      </c>
      <c r="F1327" s="276">
        <v>2</v>
      </c>
      <c r="G1327" s="243">
        <f t="shared" si="21"/>
        <v>94</v>
      </c>
      <c r="H1327" s="244"/>
      <c r="I1327" s="71" t="e">
        <f>IF(COUNTIF((rName rData),H1327),"","Name Error!")</f>
        <v>#NAME?</v>
      </c>
    </row>
    <row r="1328" spans="2:9" s="126" customFormat="1" ht="15" customHeight="1" x14ac:dyDescent="0.25">
      <c r="B1328" s="271" t="s">
        <v>354</v>
      </c>
      <c r="C1328" s="272" t="s">
        <v>353</v>
      </c>
      <c r="D1328" s="275" t="s">
        <v>216</v>
      </c>
      <c r="E1328" s="275">
        <v>41473.775925925926</v>
      </c>
      <c r="F1328" s="276">
        <v>1</v>
      </c>
      <c r="G1328" s="243">
        <f t="shared" si="21"/>
        <v>94</v>
      </c>
      <c r="H1328" s="244"/>
      <c r="I1328" s="71" t="e">
        <f>IF(COUNTIF((rName rData),H1328),"","Name Error!")</f>
        <v>#NAME?</v>
      </c>
    </row>
    <row r="1329" spans="2:9" s="126" customFormat="1" ht="15" customHeight="1" x14ac:dyDescent="0.25">
      <c r="B1329" s="271" t="s">
        <v>341</v>
      </c>
      <c r="C1329" s="272" t="s">
        <v>340</v>
      </c>
      <c r="D1329" s="275" t="s">
        <v>216</v>
      </c>
      <c r="E1329" s="275">
        <v>41473.784490740742</v>
      </c>
      <c r="F1329" s="276">
        <v>1</v>
      </c>
      <c r="G1329" s="243">
        <f t="shared" si="21"/>
        <v>94</v>
      </c>
      <c r="H1329" s="244"/>
      <c r="I1329" s="71" t="e">
        <f>IF(COUNTIF((rName rData),H1329),"","Name Error!")</f>
        <v>#NAME?</v>
      </c>
    </row>
    <row r="1330" spans="2:9" s="126" customFormat="1" ht="15" customHeight="1" x14ac:dyDescent="0.25">
      <c r="B1330" s="271" t="s">
        <v>350</v>
      </c>
      <c r="C1330" s="272" t="s">
        <v>349</v>
      </c>
      <c r="D1330" s="275" t="s">
        <v>216</v>
      </c>
      <c r="E1330" s="275">
        <v>41473.879988425928</v>
      </c>
      <c r="F1330" s="276">
        <v>1</v>
      </c>
      <c r="G1330" s="243">
        <f t="shared" si="21"/>
        <v>94</v>
      </c>
      <c r="H1330" s="244"/>
      <c r="I1330" s="71" t="e">
        <f>IF(COUNTIF((rName rData),H1330),"","Name Error!")</f>
        <v>#NAME?</v>
      </c>
    </row>
    <row r="1331" spans="2:9" s="126" customFormat="1" ht="15" customHeight="1" x14ac:dyDescent="0.25">
      <c r="B1331" s="271" t="s">
        <v>371</v>
      </c>
      <c r="C1331" s="272" t="s">
        <v>370</v>
      </c>
      <c r="D1331" s="275" t="s">
        <v>216</v>
      </c>
      <c r="E1331" s="275">
        <v>41474.383402777778</v>
      </c>
      <c r="F1331" s="276">
        <v>2</v>
      </c>
      <c r="G1331" s="243">
        <f t="shared" si="21"/>
        <v>94</v>
      </c>
      <c r="H1331" s="244"/>
      <c r="I1331" s="71" t="e">
        <f>IF(COUNTIF((rName rData),H1331),"","Name Error!")</f>
        <v>#NAME?</v>
      </c>
    </row>
    <row r="1332" spans="2:9" s="126" customFormat="1" ht="15" customHeight="1" x14ac:dyDescent="0.25">
      <c r="B1332" s="271" t="s">
        <v>339</v>
      </c>
      <c r="C1332" s="272" t="s">
        <v>338</v>
      </c>
      <c r="D1332" s="275" t="s">
        <v>216</v>
      </c>
      <c r="E1332" s="275">
        <v>41474.406597222223</v>
      </c>
      <c r="F1332" s="276">
        <v>1</v>
      </c>
      <c r="G1332" s="243">
        <f t="shared" si="21"/>
        <v>94</v>
      </c>
      <c r="H1332" s="244"/>
      <c r="I1332" s="71" t="e">
        <f>IF(COUNTIF((rName rData),H1332),"","Name Error!")</f>
        <v>#NAME?</v>
      </c>
    </row>
    <row r="1333" spans="2:9" s="126" customFormat="1" ht="15" customHeight="1" x14ac:dyDescent="0.25">
      <c r="B1333" s="271" t="s">
        <v>328</v>
      </c>
      <c r="C1333" s="272" t="s">
        <v>327</v>
      </c>
      <c r="D1333" s="275" t="s">
        <v>216</v>
      </c>
      <c r="E1333" s="275">
        <v>41475.03628472222</v>
      </c>
      <c r="F1333" s="276">
        <v>1</v>
      </c>
      <c r="G1333" s="243">
        <f t="shared" si="21"/>
        <v>95</v>
      </c>
      <c r="H1333" s="244"/>
      <c r="I1333" s="71" t="e">
        <f>IF(COUNTIF((rName rData),H1333),"","Name Error!")</f>
        <v>#NAME?</v>
      </c>
    </row>
    <row r="1334" spans="2:9" s="126" customFormat="1" ht="15" customHeight="1" x14ac:dyDescent="0.25">
      <c r="B1334" s="271" t="s">
        <v>279</v>
      </c>
      <c r="C1334" s="272" t="s">
        <v>280</v>
      </c>
      <c r="D1334" s="275" t="s">
        <v>216</v>
      </c>
      <c r="E1334" s="275">
        <v>41475.232754629629</v>
      </c>
      <c r="F1334" s="276">
        <v>1</v>
      </c>
      <c r="G1334" s="243">
        <f t="shared" si="21"/>
        <v>95</v>
      </c>
      <c r="H1334" s="244"/>
      <c r="I1334" s="71" t="e">
        <f>IF(COUNTIF((rName rData),H1334),"","Name Error!")</f>
        <v>#NAME?</v>
      </c>
    </row>
    <row r="1335" spans="2:9" s="126" customFormat="1" ht="15" customHeight="1" x14ac:dyDescent="0.25">
      <c r="B1335" s="271" t="s">
        <v>267</v>
      </c>
      <c r="C1335" s="272" t="s">
        <v>268</v>
      </c>
      <c r="D1335" s="275" t="s">
        <v>216</v>
      </c>
      <c r="E1335" s="275">
        <v>41475.474895833337</v>
      </c>
      <c r="F1335" s="276">
        <v>2</v>
      </c>
      <c r="G1335" s="243">
        <f t="shared" si="21"/>
        <v>95</v>
      </c>
      <c r="H1335" s="244"/>
      <c r="I1335" s="71" t="e">
        <f>IF(COUNTIF((rName rData),H1335),"","Name Error!")</f>
        <v>#NAME?</v>
      </c>
    </row>
    <row r="1336" spans="2:9" s="126" customFormat="1" ht="15" customHeight="1" x14ac:dyDescent="0.25">
      <c r="B1336" s="271" t="s">
        <v>358</v>
      </c>
      <c r="C1336" s="272" t="s">
        <v>357</v>
      </c>
      <c r="D1336" s="275" t="s">
        <v>216</v>
      </c>
      <c r="E1336" s="275">
        <v>41475.53197916667</v>
      </c>
      <c r="F1336" s="276">
        <v>1</v>
      </c>
      <c r="G1336" s="243">
        <f t="shared" si="21"/>
        <v>95</v>
      </c>
      <c r="H1336" s="244"/>
      <c r="I1336" s="71" t="e">
        <f>IF(COUNTIF((rName rData),H1336),"","Name Error!")</f>
        <v>#NAME?</v>
      </c>
    </row>
    <row r="1337" spans="2:9" s="126" customFormat="1" ht="15" customHeight="1" x14ac:dyDescent="0.25">
      <c r="B1337" s="271" t="s">
        <v>362</v>
      </c>
      <c r="C1337" s="272" t="s">
        <v>361</v>
      </c>
      <c r="D1337" s="275" t="s">
        <v>216</v>
      </c>
      <c r="E1337" s="275">
        <v>41475.588912037034</v>
      </c>
      <c r="F1337" s="276">
        <v>3</v>
      </c>
      <c r="G1337" s="243">
        <f t="shared" si="21"/>
        <v>95</v>
      </c>
      <c r="H1337" s="244"/>
      <c r="I1337" s="71" t="e">
        <f>IF(COUNTIF((rName rData),H1337),"","Name Error!")</f>
        <v>#NAME?</v>
      </c>
    </row>
    <row r="1338" spans="2:9" s="126" customFormat="1" ht="15" customHeight="1" x14ac:dyDescent="0.25">
      <c r="B1338" s="271" t="s">
        <v>367</v>
      </c>
      <c r="C1338" s="272" t="s">
        <v>366</v>
      </c>
      <c r="D1338" s="275" t="s">
        <v>216</v>
      </c>
      <c r="E1338" s="275">
        <v>41475.7340625</v>
      </c>
      <c r="F1338" s="276">
        <v>4</v>
      </c>
      <c r="G1338" s="243">
        <f t="shared" si="21"/>
        <v>95</v>
      </c>
      <c r="H1338" s="244"/>
      <c r="I1338" s="71" t="e">
        <f>IF(COUNTIF((rName rData),H1338),"","Name Error!")</f>
        <v>#NAME?</v>
      </c>
    </row>
    <row r="1339" spans="2:9" s="126" customFormat="1" ht="15" customHeight="1" x14ac:dyDescent="0.25">
      <c r="B1339" s="271" t="s">
        <v>345</v>
      </c>
      <c r="C1339" s="272" t="s">
        <v>344</v>
      </c>
      <c r="D1339" s="275" t="s">
        <v>216</v>
      </c>
      <c r="E1339" s="275">
        <v>41475.755914351852</v>
      </c>
      <c r="F1339" s="276">
        <v>1</v>
      </c>
      <c r="G1339" s="243">
        <f t="shared" si="21"/>
        <v>95</v>
      </c>
      <c r="H1339" s="244"/>
      <c r="I1339" s="71" t="e">
        <f>IF(COUNTIF((rName rData),H1339),"","Name Error!")</f>
        <v>#NAME?</v>
      </c>
    </row>
    <row r="1340" spans="2:9" s="126" customFormat="1" ht="15" customHeight="1" x14ac:dyDescent="0.25">
      <c r="B1340" s="271" t="s">
        <v>341</v>
      </c>
      <c r="C1340" s="272" t="s">
        <v>340</v>
      </c>
      <c r="D1340" s="275" t="s">
        <v>216</v>
      </c>
      <c r="E1340" s="275">
        <v>41475.926099537035</v>
      </c>
      <c r="F1340" s="276">
        <v>1</v>
      </c>
      <c r="G1340" s="243">
        <f t="shared" si="21"/>
        <v>95</v>
      </c>
      <c r="H1340" s="244"/>
      <c r="I1340" s="71" t="e">
        <f>IF(COUNTIF((rName rData),H1340),"","Name Error!")</f>
        <v>#NAME?</v>
      </c>
    </row>
    <row r="1341" spans="2:9" s="126" customFormat="1" ht="15" customHeight="1" x14ac:dyDescent="0.25">
      <c r="B1341" s="271" t="s">
        <v>367</v>
      </c>
      <c r="C1341" s="272" t="s">
        <v>366</v>
      </c>
      <c r="D1341" s="275" t="s">
        <v>216</v>
      </c>
      <c r="E1341" s="275">
        <v>41476.036481481482</v>
      </c>
      <c r="F1341" s="276">
        <v>1</v>
      </c>
      <c r="G1341" s="243">
        <f t="shared" si="21"/>
        <v>95</v>
      </c>
      <c r="H1341" s="244"/>
      <c r="I1341" s="71" t="e">
        <f>IF(COUNTIF((rName rData),H1341),"","Name Error!")</f>
        <v>#NAME?</v>
      </c>
    </row>
    <row r="1342" spans="2:9" s="126" customFormat="1" ht="15" customHeight="1" x14ac:dyDescent="0.25">
      <c r="B1342" s="271" t="s">
        <v>352</v>
      </c>
      <c r="C1342" s="272" t="s">
        <v>351</v>
      </c>
      <c r="D1342" s="275" t="s">
        <v>216</v>
      </c>
      <c r="E1342" s="275">
        <v>41476.453703703701</v>
      </c>
      <c r="F1342" s="276">
        <v>1</v>
      </c>
      <c r="G1342" s="243">
        <f t="shared" si="21"/>
        <v>95</v>
      </c>
      <c r="H1342" s="244"/>
      <c r="I1342" s="71" t="e">
        <f>IF(COUNTIF((rName rData),H1342),"","Name Error!")</f>
        <v>#NAME?</v>
      </c>
    </row>
    <row r="1343" spans="2:9" s="126" customFormat="1" ht="15" customHeight="1" x14ac:dyDescent="0.25">
      <c r="B1343" s="271" t="s">
        <v>339</v>
      </c>
      <c r="C1343" s="272" t="s">
        <v>338</v>
      </c>
      <c r="D1343" s="275" t="s">
        <v>216</v>
      </c>
      <c r="E1343" s="275">
        <v>41476.609131944446</v>
      </c>
      <c r="F1343" s="276">
        <v>1</v>
      </c>
      <c r="G1343" s="243">
        <f t="shared" si="21"/>
        <v>95</v>
      </c>
      <c r="H1343" s="244"/>
      <c r="I1343" s="71" t="e">
        <f>IF(COUNTIF((rName rData),H1343),"","Name Error!")</f>
        <v>#NAME?</v>
      </c>
    </row>
    <row r="1344" spans="2:9" s="126" customFormat="1" ht="15" customHeight="1" x14ac:dyDescent="0.25">
      <c r="B1344" s="271" t="s">
        <v>267</v>
      </c>
      <c r="C1344" s="272" t="s">
        <v>268</v>
      </c>
      <c r="D1344" s="275" t="s">
        <v>216</v>
      </c>
      <c r="E1344" s="275">
        <v>41476.649224537039</v>
      </c>
      <c r="F1344" s="276">
        <v>1</v>
      </c>
      <c r="G1344" s="243">
        <f t="shared" si="21"/>
        <v>95</v>
      </c>
      <c r="H1344" s="244"/>
      <c r="I1344" s="71" t="e">
        <f>IF(COUNTIF((rName rData),H1344),"","Name Error!")</f>
        <v>#NAME?</v>
      </c>
    </row>
    <row r="1345" spans="2:9" s="126" customFormat="1" ht="15" customHeight="1" x14ac:dyDescent="0.25">
      <c r="B1345" s="271" t="s">
        <v>345</v>
      </c>
      <c r="C1345" s="272" t="s">
        <v>344</v>
      </c>
      <c r="D1345" s="275" t="s">
        <v>216</v>
      </c>
      <c r="E1345" s="275">
        <v>41476.754108796296</v>
      </c>
      <c r="F1345" s="276">
        <v>2</v>
      </c>
      <c r="G1345" s="243">
        <f t="shared" si="21"/>
        <v>95</v>
      </c>
      <c r="H1345" s="244"/>
      <c r="I1345" s="71" t="e">
        <f>IF(COUNTIF((rName rData),H1345),"","Name Error!")</f>
        <v>#NAME?</v>
      </c>
    </row>
    <row r="1346" spans="2:9" s="126" customFormat="1" ht="15" customHeight="1" x14ac:dyDescent="0.25">
      <c r="B1346" s="271" t="s">
        <v>324</v>
      </c>
      <c r="C1346" s="272" t="s">
        <v>323</v>
      </c>
      <c r="D1346" s="275" t="s">
        <v>216</v>
      </c>
      <c r="E1346" s="275">
        <v>41477.014560185184</v>
      </c>
      <c r="F1346" s="276">
        <v>1</v>
      </c>
      <c r="G1346" s="243">
        <f t="shared" si="21"/>
        <v>95</v>
      </c>
      <c r="H1346" s="244"/>
      <c r="I1346" s="71" t="e">
        <f>IF(COUNTIF((rName rData),H1346),"","Name Error!")</f>
        <v>#NAME?</v>
      </c>
    </row>
    <row r="1347" spans="2:9" s="126" customFormat="1" ht="15" customHeight="1" x14ac:dyDescent="0.25">
      <c r="B1347" s="271" t="s">
        <v>350</v>
      </c>
      <c r="C1347" s="272" t="s">
        <v>349</v>
      </c>
      <c r="D1347" s="275" t="s">
        <v>216</v>
      </c>
      <c r="E1347" s="275">
        <v>41477.521249999998</v>
      </c>
      <c r="F1347" s="276">
        <v>1</v>
      </c>
      <c r="G1347" s="243">
        <f t="shared" si="21"/>
        <v>95</v>
      </c>
      <c r="H1347" s="244"/>
      <c r="I1347" s="71" t="e">
        <f>IF(COUNTIF((rName rData),H1347),"","Name Error!")</f>
        <v>#NAME?</v>
      </c>
    </row>
    <row r="1348" spans="2:9" s="126" customFormat="1" ht="15" customHeight="1" x14ac:dyDescent="0.25">
      <c r="B1348" s="271" t="s">
        <v>371</v>
      </c>
      <c r="C1348" s="272" t="s">
        <v>370</v>
      </c>
      <c r="D1348" s="275" t="s">
        <v>216</v>
      </c>
      <c r="E1348" s="275">
        <v>41477.632881944446</v>
      </c>
      <c r="F1348" s="276">
        <v>3</v>
      </c>
      <c r="G1348" s="243">
        <f t="shared" si="21"/>
        <v>95</v>
      </c>
      <c r="H1348" s="244"/>
      <c r="I1348" s="71" t="e">
        <f>IF(COUNTIF((rName rData),H1348),"","Name Error!")</f>
        <v>#NAME?</v>
      </c>
    </row>
    <row r="1349" spans="2:9" s="126" customFormat="1" ht="15" customHeight="1" x14ac:dyDescent="0.25">
      <c r="B1349" s="271" t="s">
        <v>356</v>
      </c>
      <c r="C1349" s="272" t="s">
        <v>355</v>
      </c>
      <c r="D1349" s="275" t="s">
        <v>216</v>
      </c>
      <c r="E1349" s="275">
        <v>41477.639027777775</v>
      </c>
      <c r="F1349" s="276">
        <v>2</v>
      </c>
      <c r="G1349" s="243">
        <f t="shared" si="21"/>
        <v>95</v>
      </c>
      <c r="H1349" s="244"/>
      <c r="I1349" s="71" t="e">
        <f>IF(COUNTIF((rName rData),H1349),"","Name Error!")</f>
        <v>#NAME?</v>
      </c>
    </row>
    <row r="1350" spans="2:9" s="126" customFormat="1" ht="15" customHeight="1" x14ac:dyDescent="0.25">
      <c r="B1350" s="271" t="s">
        <v>341</v>
      </c>
      <c r="C1350" s="272" t="s">
        <v>340</v>
      </c>
      <c r="D1350" s="275" t="s">
        <v>216</v>
      </c>
      <c r="E1350" s="275">
        <v>41477.660925925928</v>
      </c>
      <c r="F1350" s="276">
        <v>1</v>
      </c>
      <c r="G1350" s="243">
        <f t="shared" si="21"/>
        <v>95</v>
      </c>
      <c r="H1350" s="244"/>
      <c r="I1350" s="71" t="e">
        <f>IF(COUNTIF((rName rData),H1350),"","Name Error!")</f>
        <v>#NAME?</v>
      </c>
    </row>
    <row r="1351" spans="2:9" s="126" customFormat="1" ht="15" customHeight="1" x14ac:dyDescent="0.25">
      <c r="B1351" s="271" t="s">
        <v>267</v>
      </c>
      <c r="C1351" s="272" t="s">
        <v>268</v>
      </c>
      <c r="D1351" s="275" t="s">
        <v>216</v>
      </c>
      <c r="E1351" s="275">
        <v>41477.743148148147</v>
      </c>
      <c r="F1351" s="276">
        <v>1</v>
      </c>
      <c r="G1351" s="243">
        <f t="shared" si="21"/>
        <v>95</v>
      </c>
      <c r="H1351" s="244"/>
      <c r="I1351" s="71" t="e">
        <f>IF(COUNTIF((rName rData),H1351),"","Name Error!")</f>
        <v>#NAME?</v>
      </c>
    </row>
    <row r="1352" spans="2:9" s="126" customFormat="1" ht="15" customHeight="1" x14ac:dyDescent="0.25">
      <c r="B1352" s="271" t="s">
        <v>322</v>
      </c>
      <c r="C1352" s="272" t="s">
        <v>321</v>
      </c>
      <c r="D1352" s="275" t="s">
        <v>216</v>
      </c>
      <c r="E1352" s="275">
        <v>41477.856249999997</v>
      </c>
      <c r="F1352" s="276">
        <v>1</v>
      </c>
      <c r="G1352" s="243">
        <f t="shared" si="21"/>
        <v>95</v>
      </c>
      <c r="H1352" s="244"/>
      <c r="I1352" s="71" t="e">
        <f>IF(COUNTIF((rName rData),H1352),"","Name Error!")</f>
        <v>#NAME?</v>
      </c>
    </row>
    <row r="1353" spans="2:9" s="126" customFormat="1" ht="15" customHeight="1" x14ac:dyDescent="0.25">
      <c r="B1353" s="271" t="s">
        <v>331</v>
      </c>
      <c r="C1353" s="272" t="s">
        <v>330</v>
      </c>
      <c r="D1353" s="275" t="s">
        <v>216</v>
      </c>
      <c r="E1353" s="275">
        <v>41477.908530092594</v>
      </c>
      <c r="F1353" s="276">
        <v>1</v>
      </c>
      <c r="G1353" s="243">
        <f t="shared" si="21"/>
        <v>95</v>
      </c>
      <c r="H1353" s="244"/>
      <c r="I1353" s="71" t="e">
        <f>IF(COUNTIF((rName rData),H1353),"","Name Error!")</f>
        <v>#NAME?</v>
      </c>
    </row>
    <row r="1354" spans="2:9" s="126" customFormat="1" ht="15" customHeight="1" x14ac:dyDescent="0.25">
      <c r="B1354" s="271" t="s">
        <v>279</v>
      </c>
      <c r="C1354" s="272" t="s">
        <v>280</v>
      </c>
      <c r="D1354" s="275" t="s">
        <v>216</v>
      </c>
      <c r="E1354" s="275">
        <v>41477.943819444445</v>
      </c>
      <c r="F1354" s="276">
        <v>4</v>
      </c>
      <c r="G1354" s="243">
        <f t="shared" ref="G1354:G1417" si="22">TRUNC((E1354-start)/7)+1</f>
        <v>95</v>
      </c>
      <c r="H1354" s="244"/>
      <c r="I1354" s="71" t="e">
        <f>IF(COUNTIF((rName rData),H1354),"","Name Error!")</f>
        <v>#NAME?</v>
      </c>
    </row>
    <row r="1355" spans="2:9" s="126" customFormat="1" ht="15" customHeight="1" x14ac:dyDescent="0.25">
      <c r="B1355" s="271" t="s">
        <v>324</v>
      </c>
      <c r="C1355" s="272" t="s">
        <v>323</v>
      </c>
      <c r="D1355" s="275" t="s">
        <v>216</v>
      </c>
      <c r="E1355" s="275">
        <v>41478.017939814818</v>
      </c>
      <c r="F1355" s="276">
        <v>2</v>
      </c>
      <c r="G1355" s="243">
        <f t="shared" si="22"/>
        <v>95</v>
      </c>
      <c r="H1355" s="244"/>
      <c r="I1355" s="71" t="e">
        <f>IF(COUNTIF((rName rData),H1355),"","Name Error!")</f>
        <v>#NAME?</v>
      </c>
    </row>
    <row r="1356" spans="2:9" s="126" customFormat="1" ht="15" customHeight="1" x14ac:dyDescent="0.25">
      <c r="B1356" s="271" t="s">
        <v>267</v>
      </c>
      <c r="C1356" s="272" t="s">
        <v>268</v>
      </c>
      <c r="D1356" s="275" t="s">
        <v>216</v>
      </c>
      <c r="E1356" s="275">
        <v>41478.029791666668</v>
      </c>
      <c r="F1356" s="276">
        <v>6</v>
      </c>
      <c r="G1356" s="243">
        <f t="shared" si="22"/>
        <v>95</v>
      </c>
      <c r="H1356" s="244"/>
      <c r="I1356" s="71" t="e">
        <f>IF(COUNTIF((rName rData),H1356),"","Name Error!")</f>
        <v>#NAME?</v>
      </c>
    </row>
    <row r="1357" spans="2:9" s="126" customFormat="1" ht="15" customHeight="1" x14ac:dyDescent="0.25">
      <c r="B1357" s="271" t="s">
        <v>279</v>
      </c>
      <c r="C1357" s="272" t="s">
        <v>280</v>
      </c>
      <c r="D1357" s="275" t="s">
        <v>216</v>
      </c>
      <c r="E1357" s="275">
        <v>41478.045335648145</v>
      </c>
      <c r="F1357" s="276">
        <v>2</v>
      </c>
      <c r="G1357" s="243">
        <f t="shared" si="22"/>
        <v>95</v>
      </c>
      <c r="H1357" s="244"/>
      <c r="I1357" s="71" t="e">
        <f>IF(COUNTIF((rName rData),H1357),"","Name Error!")</f>
        <v>#NAME?</v>
      </c>
    </row>
    <row r="1358" spans="2:9" s="126" customFormat="1" ht="15" customHeight="1" x14ac:dyDescent="0.25">
      <c r="B1358" s="271" t="s">
        <v>331</v>
      </c>
      <c r="C1358" s="272" t="s">
        <v>330</v>
      </c>
      <c r="D1358" s="275" t="s">
        <v>216</v>
      </c>
      <c r="E1358" s="275">
        <v>41478.359479166669</v>
      </c>
      <c r="F1358" s="276">
        <v>1</v>
      </c>
      <c r="G1358" s="243">
        <f t="shared" si="22"/>
        <v>95</v>
      </c>
      <c r="H1358" s="244"/>
      <c r="I1358" s="71" t="e">
        <f>IF(COUNTIF((rName rData),H1358),"","Name Error!")</f>
        <v>#NAME?</v>
      </c>
    </row>
    <row r="1359" spans="2:9" s="126" customFormat="1" ht="15" customHeight="1" x14ac:dyDescent="0.25">
      <c r="B1359" s="271" t="s">
        <v>371</v>
      </c>
      <c r="C1359" s="272" t="s">
        <v>370</v>
      </c>
      <c r="D1359" s="275" t="s">
        <v>216</v>
      </c>
      <c r="E1359" s="275">
        <v>41478.505254629628</v>
      </c>
      <c r="F1359" s="276">
        <v>2</v>
      </c>
      <c r="G1359" s="243">
        <f t="shared" si="22"/>
        <v>95</v>
      </c>
      <c r="H1359" s="244"/>
      <c r="I1359" s="71" t="e">
        <f>IF(COUNTIF((rName rData),H1359),"","Name Error!")</f>
        <v>#NAME?</v>
      </c>
    </row>
    <row r="1360" spans="2:9" s="126" customFormat="1" ht="15" customHeight="1" x14ac:dyDescent="0.25">
      <c r="B1360" s="271" t="s">
        <v>339</v>
      </c>
      <c r="C1360" s="272" t="s">
        <v>338</v>
      </c>
      <c r="D1360" s="275" t="s">
        <v>216</v>
      </c>
      <c r="E1360" s="275">
        <v>41478.684537037036</v>
      </c>
      <c r="F1360" s="276">
        <v>3</v>
      </c>
      <c r="G1360" s="243">
        <f t="shared" si="22"/>
        <v>95</v>
      </c>
      <c r="H1360" s="244"/>
      <c r="I1360" s="71" t="e">
        <f>IF(COUNTIF((rName rData),H1360),"","Name Error!")</f>
        <v>#NAME?</v>
      </c>
    </row>
    <row r="1361" spans="2:9" s="126" customFormat="1" ht="15" customHeight="1" x14ac:dyDescent="0.25">
      <c r="B1361" s="271" t="s">
        <v>341</v>
      </c>
      <c r="C1361" s="272" t="s">
        <v>340</v>
      </c>
      <c r="D1361" s="275" t="s">
        <v>216</v>
      </c>
      <c r="E1361" s="275">
        <v>41478.805162037039</v>
      </c>
      <c r="F1361" s="276">
        <v>1</v>
      </c>
      <c r="G1361" s="243">
        <f t="shared" si="22"/>
        <v>95</v>
      </c>
      <c r="H1361" s="244"/>
      <c r="I1361" s="71" t="e">
        <f>IF(COUNTIF((rName rData),H1361),"","Name Error!")</f>
        <v>#NAME?</v>
      </c>
    </row>
    <row r="1362" spans="2:9" s="126" customFormat="1" ht="15" customHeight="1" x14ac:dyDescent="0.25">
      <c r="B1362" s="271" t="s">
        <v>350</v>
      </c>
      <c r="C1362" s="272" t="s">
        <v>349</v>
      </c>
      <c r="D1362" s="275" t="s">
        <v>216</v>
      </c>
      <c r="E1362" s="275">
        <v>41478.947245370371</v>
      </c>
      <c r="F1362" s="276">
        <v>1</v>
      </c>
      <c r="G1362" s="243">
        <f t="shared" si="22"/>
        <v>95</v>
      </c>
      <c r="H1362" s="244"/>
      <c r="I1362" s="71" t="e">
        <f>IF(COUNTIF((rName rData),H1362),"","Name Error!")</f>
        <v>#NAME?</v>
      </c>
    </row>
    <row r="1363" spans="2:9" s="126" customFormat="1" ht="15" customHeight="1" x14ac:dyDescent="0.25">
      <c r="B1363" s="271" t="s">
        <v>328</v>
      </c>
      <c r="C1363" s="272" t="s">
        <v>327</v>
      </c>
      <c r="D1363" s="275" t="s">
        <v>216</v>
      </c>
      <c r="E1363" s="275">
        <v>41478.952233796299</v>
      </c>
      <c r="F1363" s="276">
        <v>1</v>
      </c>
      <c r="G1363" s="243">
        <f t="shared" si="22"/>
        <v>95</v>
      </c>
      <c r="H1363" s="244"/>
      <c r="I1363" s="71" t="e">
        <f>IF(COUNTIF((rName rData),H1363),"","Name Error!")</f>
        <v>#NAME?</v>
      </c>
    </row>
    <row r="1364" spans="2:9" s="126" customFormat="1" ht="15" customHeight="1" x14ac:dyDescent="0.25">
      <c r="B1364" s="271" t="s">
        <v>324</v>
      </c>
      <c r="C1364" s="272" t="s">
        <v>323</v>
      </c>
      <c r="D1364" s="275" t="s">
        <v>216</v>
      </c>
      <c r="E1364" s="275">
        <v>41479.004629629628</v>
      </c>
      <c r="F1364" s="276">
        <v>1</v>
      </c>
      <c r="G1364" s="243">
        <f t="shared" si="22"/>
        <v>95</v>
      </c>
      <c r="H1364" s="244"/>
      <c r="I1364" s="71" t="e">
        <f>IF(COUNTIF((rName rData),H1364),"","Name Error!")</f>
        <v>#NAME?</v>
      </c>
    </row>
    <row r="1365" spans="2:9" s="126" customFormat="1" ht="15" customHeight="1" x14ac:dyDescent="0.25">
      <c r="B1365" s="271" t="s">
        <v>362</v>
      </c>
      <c r="C1365" s="272" t="s">
        <v>361</v>
      </c>
      <c r="D1365" s="275" t="s">
        <v>216</v>
      </c>
      <c r="E1365" s="275">
        <v>41479.005624999998</v>
      </c>
      <c r="F1365" s="276">
        <v>1</v>
      </c>
      <c r="G1365" s="243">
        <f t="shared" si="22"/>
        <v>95</v>
      </c>
      <c r="H1365" s="244"/>
      <c r="I1365" s="71" t="e">
        <f>IF(COUNTIF((rName rData),H1365),"","Name Error!")</f>
        <v>#NAME?</v>
      </c>
    </row>
    <row r="1366" spans="2:9" s="126" customFormat="1" ht="15" customHeight="1" x14ac:dyDescent="0.25">
      <c r="B1366" s="271" t="s">
        <v>279</v>
      </c>
      <c r="C1366" s="272" t="s">
        <v>280</v>
      </c>
      <c r="D1366" s="275" t="s">
        <v>216</v>
      </c>
      <c r="E1366" s="275">
        <v>41479.016435185185</v>
      </c>
      <c r="F1366" s="276">
        <v>2</v>
      </c>
      <c r="G1366" s="243">
        <f t="shared" si="22"/>
        <v>95</v>
      </c>
      <c r="H1366" s="244"/>
      <c r="I1366" s="71" t="e">
        <f>IF(COUNTIF((rName rData),H1366),"","Name Error!")</f>
        <v>#NAME?</v>
      </c>
    </row>
    <row r="1367" spans="2:9" s="126" customFormat="1" ht="15" customHeight="1" x14ac:dyDescent="0.25">
      <c r="B1367" s="271" t="s">
        <v>350</v>
      </c>
      <c r="C1367" s="272" t="s">
        <v>349</v>
      </c>
      <c r="D1367" s="275" t="s">
        <v>216</v>
      </c>
      <c r="E1367" s="275">
        <v>41479.047662037039</v>
      </c>
      <c r="F1367" s="276">
        <v>1</v>
      </c>
      <c r="G1367" s="243">
        <f t="shared" si="22"/>
        <v>95</v>
      </c>
      <c r="H1367" s="244"/>
      <c r="I1367" s="71" t="e">
        <f>IF(COUNTIF((rName rData),H1367),"","Name Error!")</f>
        <v>#NAME?</v>
      </c>
    </row>
    <row r="1368" spans="2:9" s="126" customFormat="1" ht="15" customHeight="1" x14ac:dyDescent="0.25">
      <c r="B1368" s="271" t="s">
        <v>354</v>
      </c>
      <c r="C1368" s="272" t="s">
        <v>353</v>
      </c>
      <c r="D1368" s="275" t="s">
        <v>216</v>
      </c>
      <c r="E1368" s="275">
        <v>41479.176145833335</v>
      </c>
      <c r="F1368" s="276">
        <v>2</v>
      </c>
      <c r="G1368" s="243">
        <f t="shared" si="22"/>
        <v>95</v>
      </c>
      <c r="H1368" s="244"/>
      <c r="I1368" s="71" t="e">
        <f>IF(COUNTIF((rName rData),H1368),"","Name Error!")</f>
        <v>#NAME?</v>
      </c>
    </row>
    <row r="1369" spans="2:9" s="126" customFormat="1" ht="15" customHeight="1" x14ac:dyDescent="0.25">
      <c r="B1369" s="271" t="s">
        <v>331</v>
      </c>
      <c r="C1369" s="272" t="s">
        <v>330</v>
      </c>
      <c r="D1369" s="275" t="s">
        <v>216</v>
      </c>
      <c r="E1369" s="275">
        <v>41479.672685185185</v>
      </c>
      <c r="F1369" s="276">
        <v>2</v>
      </c>
      <c r="G1369" s="243">
        <f t="shared" si="22"/>
        <v>95</v>
      </c>
      <c r="H1369" s="244"/>
      <c r="I1369" s="71" t="e">
        <f>IF(COUNTIF((rName rData),H1369),"","Name Error!")</f>
        <v>#NAME?</v>
      </c>
    </row>
    <row r="1370" spans="2:9" s="126" customFormat="1" ht="15" customHeight="1" x14ac:dyDescent="0.25">
      <c r="B1370" s="271" t="s">
        <v>267</v>
      </c>
      <c r="C1370" s="272" t="s">
        <v>268</v>
      </c>
      <c r="D1370" s="275" t="s">
        <v>216</v>
      </c>
      <c r="E1370" s="275">
        <v>41479.753645833334</v>
      </c>
      <c r="F1370" s="276">
        <v>2</v>
      </c>
      <c r="G1370" s="243">
        <f t="shared" si="22"/>
        <v>95</v>
      </c>
      <c r="H1370" s="244"/>
      <c r="I1370" s="71" t="e">
        <f>IF(COUNTIF((rName rData),H1370),"","Name Error!")</f>
        <v>#NAME?</v>
      </c>
    </row>
    <row r="1371" spans="2:9" s="126" customFormat="1" ht="15" customHeight="1" x14ac:dyDescent="0.25">
      <c r="B1371" s="271" t="s">
        <v>341</v>
      </c>
      <c r="C1371" s="272" t="s">
        <v>340</v>
      </c>
      <c r="D1371" s="275" t="s">
        <v>216</v>
      </c>
      <c r="E1371" s="275">
        <v>41479.816157407404</v>
      </c>
      <c r="F1371" s="276">
        <v>1</v>
      </c>
      <c r="G1371" s="243">
        <f t="shared" si="22"/>
        <v>95</v>
      </c>
      <c r="H1371" s="244"/>
      <c r="I1371" s="71" t="e">
        <f>IF(COUNTIF((rName rData),H1371),"","Name Error!")</f>
        <v>#NAME?</v>
      </c>
    </row>
    <row r="1372" spans="2:9" s="126" customFormat="1" ht="15" customHeight="1" x14ac:dyDescent="0.25">
      <c r="B1372" s="271" t="s">
        <v>358</v>
      </c>
      <c r="C1372" s="272" t="s">
        <v>357</v>
      </c>
      <c r="D1372" s="275" t="s">
        <v>216</v>
      </c>
      <c r="E1372" s="275">
        <v>41479.864502314813</v>
      </c>
      <c r="F1372" s="276">
        <v>1</v>
      </c>
      <c r="G1372" s="243">
        <f t="shared" si="22"/>
        <v>95</v>
      </c>
      <c r="H1372" s="244"/>
      <c r="I1372" s="71" t="e">
        <f>IF(COUNTIF((rName rData),H1372),"","Name Error!")</f>
        <v>#NAME?</v>
      </c>
    </row>
    <row r="1373" spans="2:9" s="126" customFormat="1" ht="15" customHeight="1" x14ac:dyDescent="0.25">
      <c r="B1373" s="271" t="s">
        <v>337</v>
      </c>
      <c r="C1373" s="272" t="s">
        <v>336</v>
      </c>
      <c r="D1373" s="275" t="s">
        <v>216</v>
      </c>
      <c r="E1373" s="275">
        <v>41479.896469907406</v>
      </c>
      <c r="F1373" s="276">
        <v>1</v>
      </c>
      <c r="G1373" s="243">
        <f t="shared" si="22"/>
        <v>95</v>
      </c>
      <c r="H1373" s="244"/>
      <c r="I1373" s="71" t="e">
        <f>IF(COUNTIF((rName rData),H1373),"","Name Error!")</f>
        <v>#NAME?</v>
      </c>
    </row>
    <row r="1374" spans="2:9" s="126" customFormat="1" ht="15" customHeight="1" x14ac:dyDescent="0.25">
      <c r="B1374" s="271" t="s">
        <v>322</v>
      </c>
      <c r="C1374" s="272" t="s">
        <v>321</v>
      </c>
      <c r="D1374" s="275" t="s">
        <v>216</v>
      </c>
      <c r="E1374" s="275">
        <v>41479.94458333333</v>
      </c>
      <c r="F1374" s="276">
        <v>1</v>
      </c>
      <c r="G1374" s="243">
        <f t="shared" si="22"/>
        <v>95</v>
      </c>
      <c r="H1374" s="244"/>
      <c r="I1374" s="71" t="e">
        <f>IF(COUNTIF((rName rData),H1374),"","Name Error!")</f>
        <v>#NAME?</v>
      </c>
    </row>
    <row r="1375" spans="2:9" s="126" customFormat="1" ht="15" customHeight="1" x14ac:dyDescent="0.25">
      <c r="B1375" s="271" t="s">
        <v>324</v>
      </c>
      <c r="C1375" s="272" t="s">
        <v>323</v>
      </c>
      <c r="D1375" s="275" t="s">
        <v>216</v>
      </c>
      <c r="E1375" s="275">
        <v>41480.024375000001</v>
      </c>
      <c r="F1375" s="276">
        <v>1</v>
      </c>
      <c r="G1375" s="243">
        <f t="shared" si="22"/>
        <v>95</v>
      </c>
      <c r="H1375" s="244"/>
      <c r="I1375" s="71" t="e">
        <f>IF(COUNTIF((rName rData),H1375),"","Name Error!")</f>
        <v>#NAME?</v>
      </c>
    </row>
    <row r="1376" spans="2:9" s="126" customFormat="1" ht="15" customHeight="1" x14ac:dyDescent="0.25">
      <c r="B1376" s="271" t="s">
        <v>354</v>
      </c>
      <c r="C1376" s="272" t="s">
        <v>353</v>
      </c>
      <c r="D1376" s="275" t="s">
        <v>216</v>
      </c>
      <c r="E1376" s="275">
        <v>41480.179675925923</v>
      </c>
      <c r="F1376" s="276">
        <v>2</v>
      </c>
      <c r="G1376" s="243">
        <f t="shared" si="22"/>
        <v>95</v>
      </c>
      <c r="H1376" s="244"/>
      <c r="I1376" s="71" t="e">
        <f>IF(COUNTIF((rName rData),H1376),"","Name Error!")</f>
        <v>#NAME?</v>
      </c>
    </row>
    <row r="1377" spans="2:9" s="126" customFormat="1" ht="15" customHeight="1" x14ac:dyDescent="0.25">
      <c r="B1377" s="271" t="s">
        <v>337</v>
      </c>
      <c r="C1377" s="272" t="s">
        <v>336</v>
      </c>
      <c r="D1377" s="275" t="s">
        <v>216</v>
      </c>
      <c r="E1377" s="275">
        <v>41480.452534722222</v>
      </c>
      <c r="F1377" s="276">
        <v>1</v>
      </c>
      <c r="G1377" s="243">
        <f t="shared" si="22"/>
        <v>95</v>
      </c>
      <c r="H1377" s="244"/>
      <c r="I1377" s="71" t="e">
        <f>IF(COUNTIF((rName rData),H1377),"","Name Error!")</f>
        <v>#NAME?</v>
      </c>
    </row>
    <row r="1378" spans="2:9" s="126" customFormat="1" ht="15" customHeight="1" x14ac:dyDescent="0.25">
      <c r="B1378" s="271" t="s">
        <v>341</v>
      </c>
      <c r="C1378" s="272" t="s">
        <v>340</v>
      </c>
      <c r="D1378" s="275" t="s">
        <v>216</v>
      </c>
      <c r="E1378" s="275">
        <v>41480.766099537039</v>
      </c>
      <c r="F1378" s="276">
        <v>1</v>
      </c>
      <c r="G1378" s="243">
        <f t="shared" si="22"/>
        <v>95</v>
      </c>
      <c r="H1378" s="244"/>
      <c r="I1378" s="71" t="e">
        <f>IF(COUNTIF((rName rData),H1378),"","Name Error!")</f>
        <v>#NAME?</v>
      </c>
    </row>
    <row r="1379" spans="2:9" s="126" customFormat="1" ht="15" customHeight="1" x14ac:dyDescent="0.25">
      <c r="B1379" s="271" t="s">
        <v>358</v>
      </c>
      <c r="C1379" s="272" t="s">
        <v>357</v>
      </c>
      <c r="D1379" s="275" t="s">
        <v>216</v>
      </c>
      <c r="E1379" s="275">
        <v>41480.828784722224</v>
      </c>
      <c r="F1379" s="276">
        <v>1</v>
      </c>
      <c r="G1379" s="243">
        <f t="shared" si="22"/>
        <v>95</v>
      </c>
      <c r="H1379" s="244"/>
      <c r="I1379" s="71" t="e">
        <f>IF(COUNTIF((rName rData),H1379),"","Name Error!")</f>
        <v>#NAME?</v>
      </c>
    </row>
    <row r="1380" spans="2:9" s="126" customFormat="1" ht="15" customHeight="1" x14ac:dyDescent="0.25">
      <c r="B1380" s="271" t="s">
        <v>350</v>
      </c>
      <c r="C1380" s="272" t="s">
        <v>349</v>
      </c>
      <c r="D1380" s="275" t="s">
        <v>216</v>
      </c>
      <c r="E1380" s="275">
        <v>41480.896435185183</v>
      </c>
      <c r="F1380" s="276">
        <v>1</v>
      </c>
      <c r="G1380" s="243">
        <f t="shared" si="22"/>
        <v>95</v>
      </c>
      <c r="H1380" s="244"/>
      <c r="I1380" s="71" t="e">
        <f>IF(COUNTIF((rName rData),H1380),"","Name Error!")</f>
        <v>#NAME?</v>
      </c>
    </row>
    <row r="1381" spans="2:9" s="126" customFormat="1" ht="15" customHeight="1" x14ac:dyDescent="0.25">
      <c r="B1381" s="271" t="s">
        <v>267</v>
      </c>
      <c r="C1381" s="272" t="s">
        <v>268</v>
      </c>
      <c r="D1381" s="275" t="s">
        <v>216</v>
      </c>
      <c r="E1381" s="275">
        <v>41480.937164351853</v>
      </c>
      <c r="F1381" s="276">
        <v>1</v>
      </c>
      <c r="G1381" s="243">
        <f t="shared" si="22"/>
        <v>95</v>
      </c>
      <c r="H1381" s="244"/>
      <c r="I1381" s="71" t="e">
        <f>IF(COUNTIF((rName rData),H1381),"","Name Error!")</f>
        <v>#NAME?</v>
      </c>
    </row>
    <row r="1382" spans="2:9" s="126" customFormat="1" ht="15" customHeight="1" x14ac:dyDescent="0.25">
      <c r="B1382" s="271" t="s">
        <v>267</v>
      </c>
      <c r="C1382" s="272" t="s">
        <v>268</v>
      </c>
      <c r="D1382" s="275" t="s">
        <v>216</v>
      </c>
      <c r="E1382" s="275">
        <v>41481.004791666666</v>
      </c>
      <c r="F1382" s="276">
        <v>2</v>
      </c>
      <c r="G1382" s="243">
        <f t="shared" si="22"/>
        <v>95</v>
      </c>
      <c r="H1382" s="244"/>
      <c r="I1382" s="71" t="e">
        <f>IF(COUNTIF((rName rData),H1382),"","Name Error!")</f>
        <v>#NAME?</v>
      </c>
    </row>
    <row r="1383" spans="2:9" s="126" customFormat="1" ht="15" customHeight="1" x14ac:dyDescent="0.25">
      <c r="B1383" s="271" t="s">
        <v>324</v>
      </c>
      <c r="C1383" s="272" t="s">
        <v>323</v>
      </c>
      <c r="D1383" s="275" t="s">
        <v>216</v>
      </c>
      <c r="E1383" s="275">
        <v>41481.041296296295</v>
      </c>
      <c r="F1383" s="276">
        <v>1</v>
      </c>
      <c r="G1383" s="243">
        <f t="shared" si="22"/>
        <v>95</v>
      </c>
      <c r="H1383" s="244"/>
      <c r="I1383" s="71" t="e">
        <f>IF(COUNTIF((rName rData),H1383),"","Name Error!")</f>
        <v>#NAME?</v>
      </c>
    </row>
    <row r="1384" spans="2:9" s="126" customFormat="1" ht="15" customHeight="1" x14ac:dyDescent="0.25">
      <c r="B1384" s="271" t="s">
        <v>356</v>
      </c>
      <c r="C1384" s="272" t="s">
        <v>355</v>
      </c>
      <c r="D1384" s="275" t="s">
        <v>216</v>
      </c>
      <c r="E1384" s="275">
        <v>41481.415995370371</v>
      </c>
      <c r="F1384" s="276">
        <v>3</v>
      </c>
      <c r="G1384" s="243">
        <f t="shared" si="22"/>
        <v>95</v>
      </c>
      <c r="H1384" s="244"/>
      <c r="I1384" s="71" t="e">
        <f>IF(COUNTIF((rName rData),H1384),"","Name Error!")</f>
        <v>#NAME?</v>
      </c>
    </row>
    <row r="1385" spans="2:9" s="126" customFormat="1" ht="15" customHeight="1" x14ac:dyDescent="0.25">
      <c r="B1385" s="271" t="s">
        <v>354</v>
      </c>
      <c r="C1385" s="272" t="s">
        <v>353</v>
      </c>
      <c r="D1385" s="275" t="s">
        <v>216</v>
      </c>
      <c r="E1385" s="275">
        <v>41481.468298611115</v>
      </c>
      <c r="F1385" s="276">
        <v>1</v>
      </c>
      <c r="G1385" s="243">
        <f t="shared" si="22"/>
        <v>95</v>
      </c>
      <c r="H1385" s="244"/>
      <c r="I1385" s="71" t="e">
        <f>IF(COUNTIF((rName rData),H1385),"","Name Error!")</f>
        <v>#NAME?</v>
      </c>
    </row>
    <row r="1386" spans="2:9" s="126" customFormat="1" ht="15" customHeight="1" x14ac:dyDescent="0.25">
      <c r="B1386" s="271" t="s">
        <v>335</v>
      </c>
      <c r="C1386" s="272" t="s">
        <v>334</v>
      </c>
      <c r="D1386" s="275" t="s">
        <v>216</v>
      </c>
      <c r="E1386" s="275">
        <v>41481.934594907405</v>
      </c>
      <c r="F1386" s="276">
        <v>1</v>
      </c>
      <c r="G1386" s="243">
        <f t="shared" si="22"/>
        <v>95</v>
      </c>
      <c r="H1386" s="244"/>
      <c r="I1386" s="71" t="e">
        <f>IF(COUNTIF((rName rData),H1386),"","Name Error!")</f>
        <v>#NAME?</v>
      </c>
    </row>
    <row r="1387" spans="2:9" s="126" customFormat="1" ht="15" customHeight="1" x14ac:dyDescent="0.25">
      <c r="B1387" s="271" t="s">
        <v>279</v>
      </c>
      <c r="C1387" s="272" t="s">
        <v>280</v>
      </c>
      <c r="D1387" s="275" t="s">
        <v>216</v>
      </c>
      <c r="E1387" s="275">
        <v>41481.980416666665</v>
      </c>
      <c r="F1387" s="276">
        <v>1</v>
      </c>
      <c r="G1387" s="243">
        <f t="shared" si="22"/>
        <v>95</v>
      </c>
      <c r="H1387" s="244"/>
      <c r="I1387" s="71" t="e">
        <f>IF(COUNTIF((rName rData),H1387),"","Name Error!")</f>
        <v>#NAME?</v>
      </c>
    </row>
    <row r="1388" spans="2:9" s="126" customFormat="1" ht="15" customHeight="1" x14ac:dyDescent="0.25">
      <c r="B1388" s="271" t="s">
        <v>352</v>
      </c>
      <c r="C1388" s="272" t="s">
        <v>351</v>
      </c>
      <c r="D1388" s="275" t="s">
        <v>216</v>
      </c>
      <c r="E1388" s="275">
        <v>41482.392546296294</v>
      </c>
      <c r="F1388" s="276">
        <v>2</v>
      </c>
      <c r="G1388" s="243">
        <f t="shared" si="22"/>
        <v>96</v>
      </c>
      <c r="H1388" s="244"/>
      <c r="I1388" s="71" t="e">
        <f>IF(COUNTIF((rName rData),H1388),"","Name Error!")</f>
        <v>#NAME?</v>
      </c>
    </row>
    <row r="1389" spans="2:9" s="126" customFormat="1" ht="15" customHeight="1" x14ac:dyDescent="0.25">
      <c r="B1389" s="271" t="s">
        <v>279</v>
      </c>
      <c r="C1389" s="272" t="s">
        <v>280</v>
      </c>
      <c r="D1389" s="275" t="s">
        <v>216</v>
      </c>
      <c r="E1389" s="275">
        <v>41482.432222222225</v>
      </c>
      <c r="F1389" s="276">
        <v>1</v>
      </c>
      <c r="G1389" s="243">
        <f t="shared" si="22"/>
        <v>96</v>
      </c>
      <c r="H1389" s="244"/>
      <c r="I1389" s="71" t="e">
        <f>IF(COUNTIF((rName rData),H1389),"","Name Error!")</f>
        <v>#NAME?</v>
      </c>
    </row>
    <row r="1390" spans="2:9" s="126" customFormat="1" ht="15" customHeight="1" x14ac:dyDescent="0.25">
      <c r="B1390" s="271" t="s">
        <v>267</v>
      </c>
      <c r="C1390" s="272" t="s">
        <v>268</v>
      </c>
      <c r="D1390" s="275" t="s">
        <v>216</v>
      </c>
      <c r="E1390" s="275">
        <v>41482.44027777778</v>
      </c>
      <c r="F1390" s="276">
        <v>3</v>
      </c>
      <c r="G1390" s="243">
        <f t="shared" si="22"/>
        <v>96</v>
      </c>
      <c r="H1390" s="244"/>
      <c r="I1390" s="71" t="e">
        <f>IF(COUNTIF((rName rData),H1390),"","Name Error!")</f>
        <v>#NAME?</v>
      </c>
    </row>
    <row r="1391" spans="2:9" s="126" customFormat="1" ht="15" customHeight="1" x14ac:dyDescent="0.25">
      <c r="B1391" s="271" t="s">
        <v>371</v>
      </c>
      <c r="C1391" s="272" t="s">
        <v>370</v>
      </c>
      <c r="D1391" s="275" t="s">
        <v>216</v>
      </c>
      <c r="E1391" s="275">
        <v>41482.490636574075</v>
      </c>
      <c r="F1391" s="276">
        <v>2</v>
      </c>
      <c r="G1391" s="243">
        <f t="shared" si="22"/>
        <v>96</v>
      </c>
      <c r="H1391" s="244"/>
      <c r="I1391" s="71" t="e">
        <f>IF(COUNTIF((rName rData),H1391),"","Name Error!")</f>
        <v>#NAME?</v>
      </c>
    </row>
    <row r="1392" spans="2:9" s="126" customFormat="1" ht="15" customHeight="1" x14ac:dyDescent="0.25">
      <c r="B1392" s="271" t="s">
        <v>356</v>
      </c>
      <c r="C1392" s="272" t="s">
        <v>355</v>
      </c>
      <c r="D1392" s="275" t="s">
        <v>216</v>
      </c>
      <c r="E1392" s="275">
        <v>41482.502002314817</v>
      </c>
      <c r="F1392" s="276">
        <v>3</v>
      </c>
      <c r="G1392" s="243">
        <f t="shared" si="22"/>
        <v>96</v>
      </c>
      <c r="H1392" s="244"/>
      <c r="I1392" s="71" t="e">
        <f>IF(COUNTIF((rName rData),H1392),"","Name Error!")</f>
        <v>#NAME?</v>
      </c>
    </row>
    <row r="1393" spans="2:9" s="126" customFormat="1" ht="15" customHeight="1" x14ac:dyDescent="0.25">
      <c r="B1393" s="271" t="s">
        <v>362</v>
      </c>
      <c r="C1393" s="272" t="s">
        <v>361</v>
      </c>
      <c r="D1393" s="275" t="s">
        <v>216</v>
      </c>
      <c r="E1393" s="275">
        <v>41482.554988425924</v>
      </c>
      <c r="F1393" s="276">
        <v>2</v>
      </c>
      <c r="G1393" s="243">
        <f t="shared" si="22"/>
        <v>96</v>
      </c>
      <c r="H1393" s="244"/>
      <c r="I1393" s="71" t="e">
        <f>IF(COUNTIF((rName rData),H1393),"","Name Error!")</f>
        <v>#NAME?</v>
      </c>
    </row>
    <row r="1394" spans="2:9" s="126" customFormat="1" ht="15" customHeight="1" x14ac:dyDescent="0.25">
      <c r="B1394" s="271" t="s">
        <v>354</v>
      </c>
      <c r="C1394" s="272" t="s">
        <v>353</v>
      </c>
      <c r="D1394" s="275" t="s">
        <v>216</v>
      </c>
      <c r="E1394" s="275">
        <v>41482.595671296294</v>
      </c>
      <c r="F1394" s="276">
        <v>3</v>
      </c>
      <c r="G1394" s="243">
        <f t="shared" si="22"/>
        <v>96</v>
      </c>
      <c r="H1394" s="244"/>
      <c r="I1394" s="71" t="e">
        <f>IF(COUNTIF((rName rData),H1394),"","Name Error!")</f>
        <v>#NAME?</v>
      </c>
    </row>
    <row r="1395" spans="2:9" s="126" customFormat="1" ht="15" customHeight="1" x14ac:dyDescent="0.25">
      <c r="B1395" s="271" t="s">
        <v>324</v>
      </c>
      <c r="C1395" s="272" t="s">
        <v>323</v>
      </c>
      <c r="D1395" s="275" t="s">
        <v>216</v>
      </c>
      <c r="E1395" s="275">
        <v>41482.851504629631</v>
      </c>
      <c r="F1395" s="276">
        <v>1</v>
      </c>
      <c r="G1395" s="243">
        <f t="shared" si="22"/>
        <v>96</v>
      </c>
      <c r="H1395" s="244"/>
      <c r="I1395" s="71" t="e">
        <f>IF(COUNTIF((rName rData),H1395),"","Name Error!")</f>
        <v>#NAME?</v>
      </c>
    </row>
    <row r="1396" spans="2:9" s="126" customFormat="1" ht="15" customHeight="1" x14ac:dyDescent="0.25">
      <c r="B1396" s="271" t="s">
        <v>335</v>
      </c>
      <c r="C1396" s="272" t="s">
        <v>334</v>
      </c>
      <c r="D1396" s="275" t="s">
        <v>216</v>
      </c>
      <c r="E1396" s="275">
        <v>41482.959236111114</v>
      </c>
      <c r="F1396" s="276">
        <v>1</v>
      </c>
      <c r="G1396" s="243">
        <f t="shared" si="22"/>
        <v>96</v>
      </c>
      <c r="H1396" s="244"/>
      <c r="I1396" s="71" t="e">
        <f>IF(COUNTIF((rName rData),H1396),"","Name Error!")</f>
        <v>#NAME?</v>
      </c>
    </row>
    <row r="1397" spans="2:9" s="126" customFormat="1" ht="15" customHeight="1" x14ac:dyDescent="0.25">
      <c r="B1397" s="271" t="s">
        <v>345</v>
      </c>
      <c r="C1397" s="272" t="s">
        <v>344</v>
      </c>
      <c r="D1397" s="275" t="s">
        <v>216</v>
      </c>
      <c r="E1397" s="275">
        <v>41482.96056712963</v>
      </c>
      <c r="F1397" s="276">
        <v>1</v>
      </c>
      <c r="G1397" s="243">
        <f t="shared" si="22"/>
        <v>96</v>
      </c>
      <c r="H1397" s="244"/>
      <c r="I1397" s="71" t="e">
        <f>IF(COUNTIF((rName rData),H1397),"","Name Error!")</f>
        <v>#NAME?</v>
      </c>
    </row>
    <row r="1398" spans="2:9" s="126" customFormat="1" ht="15" customHeight="1" x14ac:dyDescent="0.25">
      <c r="B1398" s="271" t="s">
        <v>341</v>
      </c>
      <c r="C1398" s="272" t="s">
        <v>340</v>
      </c>
      <c r="D1398" s="275" t="s">
        <v>216</v>
      </c>
      <c r="E1398" s="275">
        <v>41482.970358796294</v>
      </c>
      <c r="F1398" s="276">
        <v>1</v>
      </c>
      <c r="G1398" s="243">
        <f t="shared" si="22"/>
        <v>96</v>
      </c>
      <c r="H1398" s="244"/>
      <c r="I1398" s="71" t="e">
        <f>IF(COUNTIF((rName rData),H1398),"","Name Error!")</f>
        <v>#NAME?</v>
      </c>
    </row>
    <row r="1399" spans="2:9" s="126" customFormat="1" ht="15" customHeight="1" x14ac:dyDescent="0.25">
      <c r="B1399" s="271" t="s">
        <v>367</v>
      </c>
      <c r="C1399" s="272" t="s">
        <v>366</v>
      </c>
      <c r="D1399" s="275" t="s">
        <v>216</v>
      </c>
      <c r="E1399" s="275">
        <v>41482.999652777777</v>
      </c>
      <c r="F1399" s="276">
        <v>1</v>
      </c>
      <c r="G1399" s="243">
        <f t="shared" si="22"/>
        <v>96</v>
      </c>
      <c r="H1399" s="244"/>
      <c r="I1399" s="71" t="e">
        <f>IF(COUNTIF((rName rData),H1399),"","Name Error!")</f>
        <v>#NAME?</v>
      </c>
    </row>
    <row r="1400" spans="2:9" s="126" customFormat="1" ht="15" customHeight="1" x14ac:dyDescent="0.25">
      <c r="B1400" s="271" t="s">
        <v>354</v>
      </c>
      <c r="C1400" s="272" t="s">
        <v>353</v>
      </c>
      <c r="D1400" s="275" t="s">
        <v>216</v>
      </c>
      <c r="E1400" s="275">
        <v>41483.282812500001</v>
      </c>
      <c r="F1400" s="276">
        <v>3</v>
      </c>
      <c r="G1400" s="243">
        <f t="shared" si="22"/>
        <v>96</v>
      </c>
      <c r="H1400" s="244"/>
      <c r="I1400" s="71" t="e">
        <f>IF(COUNTIF((rName rData),H1400),"","Name Error!")</f>
        <v>#NAME?</v>
      </c>
    </row>
    <row r="1401" spans="2:9" s="126" customFormat="1" ht="15" customHeight="1" x14ac:dyDescent="0.25">
      <c r="B1401" s="271" t="s">
        <v>352</v>
      </c>
      <c r="C1401" s="272" t="s">
        <v>351</v>
      </c>
      <c r="D1401" s="275" t="s">
        <v>216</v>
      </c>
      <c r="E1401" s="275">
        <v>41483.342881944445</v>
      </c>
      <c r="F1401" s="276">
        <v>3</v>
      </c>
      <c r="G1401" s="243">
        <f t="shared" si="22"/>
        <v>96</v>
      </c>
      <c r="H1401" s="244"/>
      <c r="I1401" s="71" t="e">
        <f>IF(COUNTIF((rName rData),H1401),"","Name Error!")</f>
        <v>#NAME?</v>
      </c>
    </row>
    <row r="1402" spans="2:9" s="126" customFormat="1" ht="15" customHeight="1" x14ac:dyDescent="0.25">
      <c r="B1402" s="271" t="s">
        <v>341</v>
      </c>
      <c r="C1402" s="272" t="s">
        <v>340</v>
      </c>
      <c r="D1402" s="275" t="s">
        <v>216</v>
      </c>
      <c r="E1402" s="275">
        <v>41483.361932870372</v>
      </c>
      <c r="F1402" s="276">
        <v>1</v>
      </c>
      <c r="G1402" s="243">
        <f t="shared" si="22"/>
        <v>96</v>
      </c>
      <c r="H1402" s="244"/>
      <c r="I1402" s="71" t="e">
        <f>IF(COUNTIF((rName rData),H1402),"","Name Error!")</f>
        <v>#NAME?</v>
      </c>
    </row>
    <row r="1403" spans="2:9" s="126" customFormat="1" ht="15" customHeight="1" x14ac:dyDescent="0.25">
      <c r="B1403" s="271" t="s">
        <v>267</v>
      </c>
      <c r="C1403" s="272" t="s">
        <v>268</v>
      </c>
      <c r="D1403" s="275" t="s">
        <v>216</v>
      </c>
      <c r="E1403" s="275">
        <v>41483.474664351852</v>
      </c>
      <c r="F1403" s="276">
        <v>4</v>
      </c>
      <c r="G1403" s="243">
        <f t="shared" si="22"/>
        <v>96</v>
      </c>
      <c r="H1403" s="244"/>
      <c r="I1403" s="71" t="e">
        <f>IF(COUNTIF((rName rData),H1403),"","Name Error!")</f>
        <v>#NAME?</v>
      </c>
    </row>
    <row r="1404" spans="2:9" s="126" customFormat="1" ht="15" customHeight="1" x14ac:dyDescent="0.25">
      <c r="B1404" s="271" t="s">
        <v>324</v>
      </c>
      <c r="C1404" s="272" t="s">
        <v>323</v>
      </c>
      <c r="D1404" s="275" t="s">
        <v>216</v>
      </c>
      <c r="E1404" s="275">
        <v>41483.486689814818</v>
      </c>
      <c r="F1404" s="276">
        <v>3</v>
      </c>
      <c r="G1404" s="243">
        <f t="shared" si="22"/>
        <v>96</v>
      </c>
      <c r="H1404" s="244"/>
      <c r="I1404" s="71" t="e">
        <f>IF(COUNTIF((rName rData),H1404),"","Name Error!")</f>
        <v>#NAME?</v>
      </c>
    </row>
    <row r="1405" spans="2:9" s="126" customFormat="1" ht="15" customHeight="1" x14ac:dyDescent="0.25">
      <c r="B1405" s="271" t="s">
        <v>335</v>
      </c>
      <c r="C1405" s="272" t="s">
        <v>334</v>
      </c>
      <c r="D1405" s="275" t="s">
        <v>216</v>
      </c>
      <c r="E1405" s="275">
        <v>41483.499398148146</v>
      </c>
      <c r="F1405" s="276">
        <v>3</v>
      </c>
      <c r="G1405" s="243">
        <f t="shared" si="22"/>
        <v>96</v>
      </c>
      <c r="H1405" s="244"/>
      <c r="I1405" s="71" t="e">
        <f>IF(COUNTIF((rName rData),H1405),"","Name Error!")</f>
        <v>#NAME?</v>
      </c>
    </row>
    <row r="1406" spans="2:9" s="126" customFormat="1" ht="15" customHeight="1" x14ac:dyDescent="0.25">
      <c r="B1406" s="271" t="s">
        <v>356</v>
      </c>
      <c r="C1406" s="272" t="s">
        <v>355</v>
      </c>
      <c r="D1406" s="275" t="s">
        <v>216</v>
      </c>
      <c r="E1406" s="275">
        <v>41483.529675925929</v>
      </c>
      <c r="F1406" s="276">
        <v>3</v>
      </c>
      <c r="G1406" s="243">
        <f t="shared" si="22"/>
        <v>96</v>
      </c>
      <c r="H1406" s="244"/>
      <c r="I1406" s="71" t="e">
        <f>IF(COUNTIF((rName rData),H1406),"","Name Error!")</f>
        <v>#NAME?</v>
      </c>
    </row>
    <row r="1407" spans="2:9" s="126" customFormat="1" ht="15" customHeight="1" x14ac:dyDescent="0.25">
      <c r="B1407" s="271" t="s">
        <v>367</v>
      </c>
      <c r="C1407" s="272" t="s">
        <v>366</v>
      </c>
      <c r="D1407" s="275" t="s">
        <v>216</v>
      </c>
      <c r="E1407" s="275">
        <v>41483.534571759257</v>
      </c>
      <c r="F1407" s="276">
        <v>2</v>
      </c>
      <c r="G1407" s="243">
        <f t="shared" si="22"/>
        <v>96</v>
      </c>
      <c r="H1407" s="244"/>
      <c r="I1407" s="71" t="e">
        <f>IF(COUNTIF((rName rData),H1407),"","Name Error!")</f>
        <v>#NAME?</v>
      </c>
    </row>
    <row r="1408" spans="2:9" s="126" customFormat="1" ht="15" customHeight="1" x14ac:dyDescent="0.25">
      <c r="B1408" s="271" t="s">
        <v>333</v>
      </c>
      <c r="C1408" s="272" t="s">
        <v>332</v>
      </c>
      <c r="D1408" s="275" t="s">
        <v>216</v>
      </c>
      <c r="E1408" s="275">
        <v>41483.545370370368</v>
      </c>
      <c r="F1408" s="276">
        <v>4</v>
      </c>
      <c r="G1408" s="243">
        <f t="shared" si="22"/>
        <v>96</v>
      </c>
      <c r="H1408" s="244"/>
      <c r="I1408" s="71" t="e">
        <f>IF(COUNTIF((rName rData),H1408),"","Name Error!")</f>
        <v>#NAME?</v>
      </c>
    </row>
    <row r="1409" spans="2:9" s="126" customFormat="1" ht="15" customHeight="1" x14ac:dyDescent="0.25">
      <c r="B1409" s="271" t="s">
        <v>331</v>
      </c>
      <c r="C1409" s="272" t="s">
        <v>330</v>
      </c>
      <c r="D1409" s="275" t="s">
        <v>216</v>
      </c>
      <c r="E1409" s="275">
        <v>41483.560370370367</v>
      </c>
      <c r="F1409" s="276">
        <v>3</v>
      </c>
      <c r="G1409" s="243">
        <f t="shared" si="22"/>
        <v>96</v>
      </c>
      <c r="H1409" s="244"/>
      <c r="I1409" s="71" t="e">
        <f>IF(COUNTIF((rName rData),H1409),"","Name Error!")</f>
        <v>#NAME?</v>
      </c>
    </row>
    <row r="1410" spans="2:9" s="126" customFormat="1" ht="15" customHeight="1" x14ac:dyDescent="0.25">
      <c r="B1410" s="271" t="s">
        <v>362</v>
      </c>
      <c r="C1410" s="272" t="s">
        <v>361</v>
      </c>
      <c r="D1410" s="275" t="s">
        <v>216</v>
      </c>
      <c r="E1410" s="275">
        <v>41483.602141203701</v>
      </c>
      <c r="F1410" s="276">
        <v>3</v>
      </c>
      <c r="G1410" s="243">
        <f t="shared" si="22"/>
        <v>96</v>
      </c>
      <c r="H1410" s="244"/>
      <c r="I1410" s="71" t="e">
        <f>IF(COUNTIF((rName rData),H1410),"","Name Error!")</f>
        <v>#NAME?</v>
      </c>
    </row>
    <row r="1411" spans="2:9" s="126" customFormat="1" ht="15" customHeight="1" x14ac:dyDescent="0.25">
      <c r="B1411" s="271" t="s">
        <v>345</v>
      </c>
      <c r="C1411" s="272" t="s">
        <v>344</v>
      </c>
      <c r="D1411" s="275" t="s">
        <v>216</v>
      </c>
      <c r="E1411" s="275">
        <v>41483.669016203705</v>
      </c>
      <c r="F1411" s="276">
        <v>5</v>
      </c>
      <c r="G1411" s="243">
        <f t="shared" si="22"/>
        <v>96</v>
      </c>
      <c r="H1411" s="244"/>
      <c r="I1411" s="71" t="e">
        <f>IF(COUNTIF((rName rData),H1411),"","Name Error!")</f>
        <v>#NAME?</v>
      </c>
    </row>
    <row r="1412" spans="2:9" s="126" customFormat="1" ht="15" customHeight="1" x14ac:dyDescent="0.25">
      <c r="B1412" s="271" t="s">
        <v>350</v>
      </c>
      <c r="C1412" s="272" t="s">
        <v>349</v>
      </c>
      <c r="D1412" s="275" t="s">
        <v>216</v>
      </c>
      <c r="E1412" s="275">
        <v>41483.760462962964</v>
      </c>
      <c r="F1412" s="276">
        <v>1</v>
      </c>
      <c r="G1412" s="243">
        <f t="shared" si="22"/>
        <v>96</v>
      </c>
      <c r="H1412" s="244"/>
      <c r="I1412" s="71" t="e">
        <f>IF(COUNTIF((rName rData),H1412),"","Name Error!")</f>
        <v>#NAME?</v>
      </c>
    </row>
    <row r="1413" spans="2:9" s="126" customFormat="1" ht="15" customHeight="1" x14ac:dyDescent="0.25">
      <c r="B1413" s="271" t="s">
        <v>328</v>
      </c>
      <c r="C1413" s="272" t="s">
        <v>327</v>
      </c>
      <c r="D1413" s="275" t="s">
        <v>216</v>
      </c>
      <c r="E1413" s="275">
        <v>41483.790729166663</v>
      </c>
      <c r="F1413" s="276">
        <v>2</v>
      </c>
      <c r="G1413" s="243">
        <f t="shared" si="22"/>
        <v>96</v>
      </c>
      <c r="H1413" s="244"/>
      <c r="I1413" s="71" t="e">
        <f>IF(COUNTIF((rName rData),H1413),"","Name Error!")</f>
        <v>#NAME?</v>
      </c>
    </row>
    <row r="1414" spans="2:9" s="126" customFormat="1" ht="15" customHeight="1" x14ac:dyDescent="0.25">
      <c r="B1414" s="271" t="s">
        <v>358</v>
      </c>
      <c r="C1414" s="272" t="s">
        <v>357</v>
      </c>
      <c r="D1414" s="275" t="s">
        <v>216</v>
      </c>
      <c r="E1414" s="275">
        <v>41483.834108796298</v>
      </c>
      <c r="F1414" s="276">
        <v>3</v>
      </c>
      <c r="G1414" s="243">
        <f t="shared" si="22"/>
        <v>96</v>
      </c>
      <c r="H1414" s="244"/>
      <c r="I1414" s="71" t="e">
        <f>IF(COUNTIF((rName rData),H1414),"","Name Error!")</f>
        <v>#NAME?</v>
      </c>
    </row>
    <row r="1415" spans="2:9" s="126" customFormat="1" ht="15" customHeight="1" x14ac:dyDescent="0.25">
      <c r="B1415" s="271" t="s">
        <v>279</v>
      </c>
      <c r="C1415" s="272" t="s">
        <v>280</v>
      </c>
      <c r="D1415" s="275" t="s">
        <v>216</v>
      </c>
      <c r="E1415" s="275">
        <v>41483.896145833336</v>
      </c>
      <c r="F1415" s="276">
        <v>1</v>
      </c>
      <c r="G1415" s="243">
        <f t="shared" si="22"/>
        <v>96</v>
      </c>
      <c r="H1415" s="244"/>
      <c r="I1415" s="71" t="e">
        <f>IF(COUNTIF((rName rData),H1415),"","Name Error!")</f>
        <v>#NAME?</v>
      </c>
    </row>
    <row r="1416" spans="2:9" s="126" customFormat="1" ht="15" customHeight="1" x14ac:dyDescent="0.25">
      <c r="B1416" s="271" t="s">
        <v>320</v>
      </c>
      <c r="C1416" s="272" t="s">
        <v>319</v>
      </c>
      <c r="D1416" s="275" t="s">
        <v>216</v>
      </c>
      <c r="E1416" s="275">
        <v>41483.994814814818</v>
      </c>
      <c r="F1416" s="276">
        <v>2</v>
      </c>
      <c r="G1416" s="243">
        <f t="shared" si="22"/>
        <v>96</v>
      </c>
      <c r="H1416" s="244"/>
      <c r="I1416" s="71" t="e">
        <f>IF(COUNTIF((rName rData),H1416),"","Name Error!")</f>
        <v>#NAME?</v>
      </c>
    </row>
    <row r="1417" spans="2:9" s="126" customFormat="1" ht="15" customHeight="1" x14ac:dyDescent="0.25">
      <c r="B1417" s="271" t="s">
        <v>324</v>
      </c>
      <c r="C1417" s="272" t="s">
        <v>323</v>
      </c>
      <c r="D1417" s="275" t="s">
        <v>216</v>
      </c>
      <c r="E1417" s="275">
        <v>41484.016157407408</v>
      </c>
      <c r="F1417" s="276">
        <v>3</v>
      </c>
      <c r="G1417" s="243">
        <f t="shared" si="22"/>
        <v>96</v>
      </c>
      <c r="H1417" s="244"/>
      <c r="I1417" s="71" t="e">
        <f>IF(COUNTIF((rName rData),H1417),"","Name Error!")</f>
        <v>#NAME?</v>
      </c>
    </row>
    <row r="1418" spans="2:9" s="126" customFormat="1" ht="15" customHeight="1" x14ac:dyDescent="0.25">
      <c r="B1418" s="271" t="s">
        <v>333</v>
      </c>
      <c r="C1418" s="272" t="s">
        <v>332</v>
      </c>
      <c r="D1418" s="275" t="s">
        <v>216</v>
      </c>
      <c r="E1418" s="275">
        <v>41484.043680555558</v>
      </c>
      <c r="F1418" s="276">
        <v>5</v>
      </c>
      <c r="G1418" s="243">
        <f t="shared" ref="G1418:G1481" si="23">TRUNC((E1418-start)/7)+1</f>
        <v>96</v>
      </c>
      <c r="H1418" s="244"/>
      <c r="I1418" s="71" t="e">
        <f>IF(COUNTIF((rName rData),H1418),"","Name Error!")</f>
        <v>#NAME?</v>
      </c>
    </row>
    <row r="1419" spans="2:9" s="126" customFormat="1" ht="15" customHeight="1" x14ac:dyDescent="0.25">
      <c r="B1419" s="271" t="s">
        <v>367</v>
      </c>
      <c r="C1419" s="272" t="s">
        <v>366</v>
      </c>
      <c r="D1419" s="275" t="s">
        <v>216</v>
      </c>
      <c r="E1419" s="275">
        <v>41484.061215277776</v>
      </c>
      <c r="F1419" s="276">
        <v>1</v>
      </c>
      <c r="G1419" s="243">
        <f t="shared" si="23"/>
        <v>96</v>
      </c>
      <c r="H1419" s="244"/>
      <c r="I1419" s="71" t="e">
        <f>IF(COUNTIF((rName rData),H1419),"","Name Error!")</f>
        <v>#NAME?</v>
      </c>
    </row>
    <row r="1420" spans="2:9" s="126" customFormat="1" ht="15" customHeight="1" x14ac:dyDescent="0.25">
      <c r="B1420" s="271" t="s">
        <v>279</v>
      </c>
      <c r="C1420" s="272" t="s">
        <v>280</v>
      </c>
      <c r="D1420" s="275" t="s">
        <v>216</v>
      </c>
      <c r="E1420" s="275">
        <v>41484.437083333331</v>
      </c>
      <c r="F1420" s="276">
        <v>1</v>
      </c>
      <c r="G1420" s="243">
        <f t="shared" si="23"/>
        <v>96</v>
      </c>
      <c r="H1420" s="244"/>
      <c r="I1420" s="71" t="e">
        <f>IF(COUNTIF((rName rData),H1420),"","Name Error!")</f>
        <v>#NAME?</v>
      </c>
    </row>
    <row r="1421" spans="2:9" s="126" customFormat="1" ht="15" customHeight="1" x14ac:dyDescent="0.25">
      <c r="B1421" s="271" t="s">
        <v>337</v>
      </c>
      <c r="C1421" s="272" t="s">
        <v>336</v>
      </c>
      <c r="D1421" s="275" t="s">
        <v>216</v>
      </c>
      <c r="E1421" s="275">
        <v>41484.471712962964</v>
      </c>
      <c r="F1421" s="276">
        <v>1</v>
      </c>
      <c r="G1421" s="243">
        <f t="shared" si="23"/>
        <v>96</v>
      </c>
      <c r="H1421" s="244"/>
      <c r="I1421" s="71" t="e">
        <f>IF(COUNTIF((rName rData),H1421),"","Name Error!")</f>
        <v>#NAME?</v>
      </c>
    </row>
    <row r="1422" spans="2:9" s="126" customFormat="1" ht="15" customHeight="1" x14ac:dyDescent="0.25">
      <c r="B1422" s="271" t="s">
        <v>371</v>
      </c>
      <c r="C1422" s="272" t="s">
        <v>370</v>
      </c>
      <c r="D1422" s="275" t="s">
        <v>216</v>
      </c>
      <c r="E1422" s="275">
        <v>41484.603831018518</v>
      </c>
      <c r="F1422" s="276">
        <v>1</v>
      </c>
      <c r="G1422" s="243">
        <f t="shared" si="23"/>
        <v>96</v>
      </c>
      <c r="H1422" s="244"/>
      <c r="I1422" s="71" t="e">
        <f>IF(COUNTIF((rName rData),H1422),"","Name Error!")</f>
        <v>#NAME?</v>
      </c>
    </row>
    <row r="1423" spans="2:9" s="126" customFormat="1" ht="15" customHeight="1" x14ac:dyDescent="0.25">
      <c r="B1423" s="271" t="s">
        <v>331</v>
      </c>
      <c r="C1423" s="272" t="s">
        <v>330</v>
      </c>
      <c r="D1423" s="275" t="s">
        <v>216</v>
      </c>
      <c r="E1423" s="275">
        <v>41484.604386574072</v>
      </c>
      <c r="F1423" s="276">
        <v>3</v>
      </c>
      <c r="G1423" s="243">
        <f t="shared" si="23"/>
        <v>96</v>
      </c>
      <c r="H1423" s="244"/>
      <c r="I1423" s="71" t="e">
        <f>IF(COUNTIF((rName rData),H1423),"","Name Error!")</f>
        <v>#NAME?</v>
      </c>
    </row>
    <row r="1424" spans="2:9" s="126" customFormat="1" ht="15" customHeight="1" x14ac:dyDescent="0.25">
      <c r="B1424" s="271" t="s">
        <v>354</v>
      </c>
      <c r="C1424" s="272" t="s">
        <v>353</v>
      </c>
      <c r="D1424" s="275" t="s">
        <v>216</v>
      </c>
      <c r="E1424" s="275">
        <v>41484.624965277777</v>
      </c>
      <c r="F1424" s="276">
        <v>1</v>
      </c>
      <c r="G1424" s="243">
        <f t="shared" si="23"/>
        <v>96</v>
      </c>
      <c r="H1424" s="244"/>
      <c r="I1424" s="71" t="e">
        <f>IF(COUNTIF((rName rData),H1424),"","Name Error!")</f>
        <v>#NAME?</v>
      </c>
    </row>
    <row r="1425" spans="2:9" s="126" customFormat="1" ht="15" customHeight="1" x14ac:dyDescent="0.25">
      <c r="B1425" s="271" t="s">
        <v>267</v>
      </c>
      <c r="C1425" s="272" t="s">
        <v>268</v>
      </c>
      <c r="D1425" s="275" t="s">
        <v>216</v>
      </c>
      <c r="E1425" s="275">
        <v>41484.787708333337</v>
      </c>
      <c r="F1425" s="276">
        <v>1</v>
      </c>
      <c r="G1425" s="243">
        <f t="shared" si="23"/>
        <v>96</v>
      </c>
      <c r="H1425" s="244"/>
      <c r="I1425" s="71" t="e">
        <f>IF(COUNTIF((rName rData),H1425),"","Name Error!")</f>
        <v>#NAME?</v>
      </c>
    </row>
    <row r="1426" spans="2:9" s="126" customFormat="1" ht="15" customHeight="1" x14ac:dyDescent="0.25">
      <c r="B1426" s="271" t="s">
        <v>341</v>
      </c>
      <c r="C1426" s="272" t="s">
        <v>340</v>
      </c>
      <c r="D1426" s="275" t="s">
        <v>216</v>
      </c>
      <c r="E1426" s="275">
        <v>41484.934675925928</v>
      </c>
      <c r="F1426" s="276">
        <v>1</v>
      </c>
      <c r="G1426" s="243">
        <f t="shared" si="23"/>
        <v>96</v>
      </c>
      <c r="H1426" s="244"/>
      <c r="I1426" s="71" t="e">
        <f>IF(COUNTIF((rName rData),H1426),"","Name Error!")</f>
        <v>#NAME?</v>
      </c>
    </row>
    <row r="1427" spans="2:9" s="126" customFormat="1" ht="15" customHeight="1" x14ac:dyDescent="0.25">
      <c r="B1427" s="271" t="s">
        <v>350</v>
      </c>
      <c r="C1427" s="272" t="s">
        <v>349</v>
      </c>
      <c r="D1427" s="275" t="s">
        <v>216</v>
      </c>
      <c r="E1427" s="275">
        <v>41485.001481481479</v>
      </c>
      <c r="F1427" s="276">
        <v>1</v>
      </c>
      <c r="G1427" s="243">
        <f t="shared" si="23"/>
        <v>96</v>
      </c>
      <c r="H1427" s="244"/>
      <c r="I1427" s="71" t="e">
        <f>IF(COUNTIF((rName rData),H1427),"","Name Error!")</f>
        <v>#NAME?</v>
      </c>
    </row>
    <row r="1428" spans="2:9" s="126" customFormat="1" ht="15" customHeight="1" x14ac:dyDescent="0.25">
      <c r="B1428" s="271" t="s">
        <v>324</v>
      </c>
      <c r="C1428" s="272" t="s">
        <v>323</v>
      </c>
      <c r="D1428" s="275" t="s">
        <v>216</v>
      </c>
      <c r="E1428" s="275">
        <v>41485.018252314818</v>
      </c>
      <c r="F1428" s="276">
        <v>2</v>
      </c>
      <c r="G1428" s="243">
        <f t="shared" si="23"/>
        <v>96</v>
      </c>
      <c r="H1428" s="244"/>
      <c r="I1428" s="71" t="e">
        <f>IF(COUNTIF((rName rData),H1428),"","Name Error!")</f>
        <v>#NAME?</v>
      </c>
    </row>
    <row r="1429" spans="2:9" s="126" customFormat="1" ht="15" customHeight="1" x14ac:dyDescent="0.25">
      <c r="B1429" s="271" t="s">
        <v>267</v>
      </c>
      <c r="C1429" s="272" t="s">
        <v>268</v>
      </c>
      <c r="D1429" s="275" t="s">
        <v>216</v>
      </c>
      <c r="E1429" s="275">
        <v>41485.051226851851</v>
      </c>
      <c r="F1429" s="276">
        <v>4</v>
      </c>
      <c r="G1429" s="243">
        <f t="shared" si="23"/>
        <v>96</v>
      </c>
      <c r="H1429" s="244"/>
      <c r="I1429" s="71" t="e">
        <f>IF(COUNTIF((rName rData),H1429),"","Name Error!")</f>
        <v>#NAME?</v>
      </c>
    </row>
    <row r="1430" spans="2:9" s="126" customFormat="1" ht="15" customHeight="1" x14ac:dyDescent="0.25">
      <c r="B1430" s="271" t="s">
        <v>331</v>
      </c>
      <c r="C1430" s="272" t="s">
        <v>330</v>
      </c>
      <c r="D1430" s="275" t="s">
        <v>216</v>
      </c>
      <c r="E1430" s="275">
        <v>41485.052210648151</v>
      </c>
      <c r="F1430" s="276">
        <v>5</v>
      </c>
      <c r="G1430" s="243">
        <f t="shared" si="23"/>
        <v>96</v>
      </c>
      <c r="H1430" s="244"/>
      <c r="I1430" s="71" t="e">
        <f>IF(COUNTIF((rName rData),H1430),"","Name Error!")</f>
        <v>#NAME?</v>
      </c>
    </row>
    <row r="1431" spans="2:9" s="126" customFormat="1" ht="15" customHeight="1" x14ac:dyDescent="0.25">
      <c r="B1431" s="271" t="s">
        <v>279</v>
      </c>
      <c r="C1431" s="272" t="s">
        <v>280</v>
      </c>
      <c r="D1431" s="275" t="s">
        <v>216</v>
      </c>
      <c r="E1431" s="275">
        <v>41485.522824074076</v>
      </c>
      <c r="F1431" s="276">
        <v>2</v>
      </c>
      <c r="G1431" s="243">
        <f t="shared" si="23"/>
        <v>96</v>
      </c>
      <c r="H1431" s="244"/>
      <c r="I1431" s="71" t="e">
        <f>IF(COUNTIF((rName rData),H1431),"","Name Error!")</f>
        <v>#NAME?</v>
      </c>
    </row>
    <row r="1432" spans="2:9" s="126" customFormat="1" ht="15" customHeight="1" x14ac:dyDescent="0.25">
      <c r="B1432" s="271" t="s">
        <v>356</v>
      </c>
      <c r="C1432" s="272" t="s">
        <v>355</v>
      </c>
      <c r="D1432" s="275" t="s">
        <v>216</v>
      </c>
      <c r="E1432" s="275">
        <v>41485.614641203705</v>
      </c>
      <c r="F1432" s="276">
        <v>1</v>
      </c>
      <c r="G1432" s="243">
        <f t="shared" si="23"/>
        <v>96</v>
      </c>
      <c r="H1432" s="244"/>
      <c r="I1432" s="71" t="e">
        <f>IF(COUNTIF((rName rData),H1432),"","Name Error!")</f>
        <v>#NAME?</v>
      </c>
    </row>
    <row r="1433" spans="2:9" s="126" customFormat="1" ht="15" customHeight="1" x14ac:dyDescent="0.25">
      <c r="B1433" s="271" t="s">
        <v>333</v>
      </c>
      <c r="C1433" s="272" t="s">
        <v>332</v>
      </c>
      <c r="D1433" s="275" t="s">
        <v>216</v>
      </c>
      <c r="E1433" s="275">
        <v>41485.783263888887</v>
      </c>
      <c r="F1433" s="276">
        <v>1</v>
      </c>
      <c r="G1433" s="243">
        <f t="shared" si="23"/>
        <v>96</v>
      </c>
      <c r="H1433" s="244"/>
      <c r="I1433" s="71" t="e">
        <f>IF(COUNTIF((rName rData),H1433),"","Name Error!")</f>
        <v>#NAME?</v>
      </c>
    </row>
    <row r="1434" spans="2:9" s="126" customFormat="1" ht="15" customHeight="1" x14ac:dyDescent="0.25">
      <c r="B1434" s="271" t="s">
        <v>341</v>
      </c>
      <c r="C1434" s="272" t="s">
        <v>340</v>
      </c>
      <c r="D1434" s="275" t="s">
        <v>216</v>
      </c>
      <c r="E1434" s="275">
        <v>41485.889861111114</v>
      </c>
      <c r="F1434" s="276">
        <v>1</v>
      </c>
      <c r="G1434" s="243">
        <f t="shared" si="23"/>
        <v>96</v>
      </c>
      <c r="H1434" s="244"/>
      <c r="I1434" s="71" t="e">
        <f>IF(COUNTIF((rName rData),H1434),"","Name Error!")</f>
        <v>#NAME?</v>
      </c>
    </row>
    <row r="1435" spans="2:9" s="126" customFormat="1" ht="15" customHeight="1" x14ac:dyDescent="0.25">
      <c r="B1435" s="271" t="s">
        <v>367</v>
      </c>
      <c r="C1435" s="272" t="s">
        <v>366</v>
      </c>
      <c r="D1435" s="275" t="s">
        <v>216</v>
      </c>
      <c r="E1435" s="275">
        <v>41486.058240740742</v>
      </c>
      <c r="F1435" s="276">
        <v>1</v>
      </c>
      <c r="G1435" s="243">
        <f t="shared" si="23"/>
        <v>96</v>
      </c>
      <c r="H1435" s="244"/>
      <c r="I1435" s="71" t="e">
        <f>IF(COUNTIF((rName rData),H1435),"","Name Error!")</f>
        <v>#NAME?</v>
      </c>
    </row>
    <row r="1436" spans="2:9" s="126" customFormat="1" ht="15" customHeight="1" x14ac:dyDescent="0.25">
      <c r="B1436" s="271" t="s">
        <v>333</v>
      </c>
      <c r="C1436" s="272" t="s">
        <v>332</v>
      </c>
      <c r="D1436" s="275" t="s">
        <v>216</v>
      </c>
      <c r="E1436" s="275">
        <v>41486.080925925926</v>
      </c>
      <c r="F1436" s="276">
        <v>1</v>
      </c>
      <c r="G1436" s="243">
        <f t="shared" si="23"/>
        <v>96</v>
      </c>
      <c r="H1436" s="244"/>
      <c r="I1436" s="71" t="e">
        <f>IF(COUNTIF((rName rData),H1436),"","Name Error!")</f>
        <v>#NAME?</v>
      </c>
    </row>
    <row r="1437" spans="2:9" s="126" customFormat="1" ht="15" customHeight="1" x14ac:dyDescent="0.25">
      <c r="B1437" s="271" t="s">
        <v>331</v>
      </c>
      <c r="C1437" s="272" t="s">
        <v>330</v>
      </c>
      <c r="D1437" s="275" t="s">
        <v>216</v>
      </c>
      <c r="E1437" s="275">
        <v>41486.595833333333</v>
      </c>
      <c r="F1437" s="276">
        <v>1</v>
      </c>
      <c r="G1437" s="243">
        <f t="shared" si="23"/>
        <v>96</v>
      </c>
      <c r="H1437" s="244"/>
      <c r="I1437" s="71" t="e">
        <f>IF(COUNTIF((rName rData),H1437),"","Name Error!")</f>
        <v>#NAME?</v>
      </c>
    </row>
    <row r="1438" spans="2:9" s="126" customFormat="1" ht="15" customHeight="1" x14ac:dyDescent="0.25">
      <c r="B1438" s="271" t="s">
        <v>339</v>
      </c>
      <c r="C1438" s="272" t="s">
        <v>338</v>
      </c>
      <c r="D1438" s="275" t="s">
        <v>216</v>
      </c>
      <c r="E1438" s="275">
        <v>41486.649641203701</v>
      </c>
      <c r="F1438" s="276">
        <v>2</v>
      </c>
      <c r="G1438" s="243">
        <f t="shared" si="23"/>
        <v>96</v>
      </c>
      <c r="H1438" s="244"/>
      <c r="I1438" s="71" t="e">
        <f>IF(COUNTIF((rName rData),H1438),"","Name Error!")</f>
        <v>#NAME?</v>
      </c>
    </row>
    <row r="1439" spans="2:9" s="126" customFormat="1" ht="15" customHeight="1" x14ac:dyDescent="0.25">
      <c r="B1439" s="271" t="s">
        <v>371</v>
      </c>
      <c r="C1439" s="272" t="s">
        <v>370</v>
      </c>
      <c r="D1439" s="275" t="s">
        <v>216</v>
      </c>
      <c r="E1439" s="275">
        <v>41486.667685185188</v>
      </c>
      <c r="F1439" s="276">
        <v>1</v>
      </c>
      <c r="G1439" s="243">
        <f t="shared" si="23"/>
        <v>96</v>
      </c>
      <c r="H1439" s="244"/>
      <c r="I1439" s="71" t="e">
        <f>IF(COUNTIF((rName rData),H1439),"","Name Error!")</f>
        <v>#NAME?</v>
      </c>
    </row>
    <row r="1440" spans="2:9" s="126" customFormat="1" ht="15" customHeight="1" x14ac:dyDescent="0.25">
      <c r="B1440" s="271" t="s">
        <v>352</v>
      </c>
      <c r="C1440" s="272" t="s">
        <v>351</v>
      </c>
      <c r="D1440" s="275" t="s">
        <v>216</v>
      </c>
      <c r="E1440" s="275">
        <v>41486.736435185187</v>
      </c>
      <c r="F1440" s="276">
        <v>1</v>
      </c>
      <c r="G1440" s="243">
        <f t="shared" si="23"/>
        <v>96</v>
      </c>
      <c r="H1440" s="244"/>
      <c r="I1440" s="71" t="e">
        <f>IF(COUNTIF((rName rData),H1440),"","Name Error!")</f>
        <v>#NAME?</v>
      </c>
    </row>
    <row r="1441" spans="2:9" s="126" customFormat="1" ht="15" customHeight="1" x14ac:dyDescent="0.25">
      <c r="B1441" s="271" t="s">
        <v>267</v>
      </c>
      <c r="C1441" s="272" t="s">
        <v>268</v>
      </c>
      <c r="D1441" s="275" t="s">
        <v>216</v>
      </c>
      <c r="E1441" s="275">
        <v>41486.775555555556</v>
      </c>
      <c r="F1441" s="276">
        <v>1</v>
      </c>
      <c r="G1441" s="243">
        <f t="shared" si="23"/>
        <v>96</v>
      </c>
      <c r="H1441" s="244"/>
      <c r="I1441" s="71" t="e">
        <f>IF(COUNTIF((rName rData),H1441),"","Name Error!")</f>
        <v>#NAME?</v>
      </c>
    </row>
    <row r="1442" spans="2:9" s="126" customFormat="1" ht="15" customHeight="1" x14ac:dyDescent="0.25">
      <c r="B1442" s="271" t="s">
        <v>322</v>
      </c>
      <c r="C1442" s="272" t="s">
        <v>321</v>
      </c>
      <c r="D1442" s="275" t="s">
        <v>216</v>
      </c>
      <c r="E1442" s="275">
        <v>41486.852465277778</v>
      </c>
      <c r="F1442" s="276">
        <v>1</v>
      </c>
      <c r="G1442" s="243">
        <f t="shared" si="23"/>
        <v>96</v>
      </c>
      <c r="H1442" s="244"/>
      <c r="I1442" s="71" t="e">
        <f>IF(COUNTIF((rName rData),H1442),"","Name Error!")</f>
        <v>#NAME?</v>
      </c>
    </row>
    <row r="1443" spans="2:9" s="126" customFormat="1" ht="15" customHeight="1" x14ac:dyDescent="0.25">
      <c r="B1443" s="271" t="s">
        <v>324</v>
      </c>
      <c r="C1443" s="272" t="s">
        <v>323</v>
      </c>
      <c r="D1443" s="275" t="s">
        <v>216</v>
      </c>
      <c r="E1443" s="275">
        <v>41486.986145833333</v>
      </c>
      <c r="F1443" s="276">
        <v>1</v>
      </c>
      <c r="G1443" s="243">
        <f t="shared" si="23"/>
        <v>96</v>
      </c>
      <c r="H1443" s="244"/>
      <c r="I1443" s="71" t="e">
        <f>IF(COUNTIF((rName rData),H1443),"","Name Error!")</f>
        <v>#NAME?</v>
      </c>
    </row>
    <row r="1444" spans="2:9" s="126" customFormat="1" ht="15" customHeight="1" x14ac:dyDescent="0.25">
      <c r="B1444" s="271" t="s">
        <v>333</v>
      </c>
      <c r="C1444" s="272" t="s">
        <v>332</v>
      </c>
      <c r="D1444" s="275" t="s">
        <v>216</v>
      </c>
      <c r="E1444" s="275">
        <v>41487.033935185187</v>
      </c>
      <c r="F1444" s="276">
        <v>1</v>
      </c>
      <c r="G1444" s="243">
        <f t="shared" si="23"/>
        <v>96</v>
      </c>
      <c r="H1444" s="244"/>
      <c r="I1444" s="71" t="e">
        <f>IF(COUNTIF((rName rData),H1444),"","Name Error!")</f>
        <v>#NAME?</v>
      </c>
    </row>
    <row r="1445" spans="2:9" s="126" customFormat="1" ht="15" customHeight="1" x14ac:dyDescent="0.25">
      <c r="B1445" s="271" t="s">
        <v>365</v>
      </c>
      <c r="C1445" s="272" t="s">
        <v>364</v>
      </c>
      <c r="D1445" s="275" t="s">
        <v>216</v>
      </c>
      <c r="E1445" s="275">
        <v>41487.44699074074</v>
      </c>
      <c r="F1445" s="276">
        <v>1</v>
      </c>
      <c r="G1445" s="243">
        <f t="shared" si="23"/>
        <v>96</v>
      </c>
      <c r="H1445" s="244"/>
      <c r="I1445" s="71" t="e">
        <f>IF(COUNTIF((rName rData),H1445),"","Name Error!")</f>
        <v>#NAME?</v>
      </c>
    </row>
    <row r="1446" spans="2:9" s="126" customFormat="1" ht="15" customHeight="1" x14ac:dyDescent="0.25">
      <c r="B1446" s="271" t="s">
        <v>339</v>
      </c>
      <c r="C1446" s="272" t="s">
        <v>338</v>
      </c>
      <c r="D1446" s="275" t="s">
        <v>216</v>
      </c>
      <c r="E1446" s="275">
        <v>41487.48201388889</v>
      </c>
      <c r="F1446" s="276">
        <v>1</v>
      </c>
      <c r="G1446" s="243">
        <f t="shared" si="23"/>
        <v>96</v>
      </c>
      <c r="H1446" s="244"/>
      <c r="I1446" s="71" t="e">
        <f>IF(COUNTIF((rName rData),H1446),"","Name Error!")</f>
        <v>#NAME?</v>
      </c>
    </row>
    <row r="1447" spans="2:9" s="126" customFormat="1" ht="15" customHeight="1" x14ac:dyDescent="0.25">
      <c r="B1447" s="271" t="s">
        <v>354</v>
      </c>
      <c r="C1447" s="272" t="s">
        <v>353</v>
      </c>
      <c r="D1447" s="275" t="s">
        <v>216</v>
      </c>
      <c r="E1447" s="275">
        <v>41487.567986111113</v>
      </c>
      <c r="F1447" s="276">
        <v>2</v>
      </c>
      <c r="G1447" s="243">
        <f t="shared" si="23"/>
        <v>96</v>
      </c>
      <c r="H1447" s="244"/>
      <c r="I1447" s="71" t="e">
        <f>IF(COUNTIF((rName rData),H1447),"","Name Error!")</f>
        <v>#NAME?</v>
      </c>
    </row>
    <row r="1448" spans="2:9" s="126" customFormat="1" ht="15" customHeight="1" x14ac:dyDescent="0.25">
      <c r="B1448" s="271" t="s">
        <v>371</v>
      </c>
      <c r="C1448" s="272" t="s">
        <v>370</v>
      </c>
      <c r="D1448" s="275" t="s">
        <v>216</v>
      </c>
      <c r="E1448" s="275">
        <v>41487.582372685189</v>
      </c>
      <c r="F1448" s="276">
        <v>1</v>
      </c>
      <c r="G1448" s="243">
        <f t="shared" si="23"/>
        <v>96</v>
      </c>
      <c r="H1448" s="244"/>
      <c r="I1448" s="71" t="e">
        <f>IF(COUNTIF((rName rData),H1448),"","Name Error!")</f>
        <v>#NAME?</v>
      </c>
    </row>
    <row r="1449" spans="2:9" s="126" customFormat="1" ht="15" customHeight="1" x14ac:dyDescent="0.25">
      <c r="B1449" s="271" t="s">
        <v>356</v>
      </c>
      <c r="C1449" s="272" t="s">
        <v>355</v>
      </c>
      <c r="D1449" s="275" t="s">
        <v>216</v>
      </c>
      <c r="E1449" s="275">
        <v>41487.687777777777</v>
      </c>
      <c r="F1449" s="276">
        <v>1</v>
      </c>
      <c r="G1449" s="243">
        <f t="shared" si="23"/>
        <v>96</v>
      </c>
      <c r="H1449" s="244"/>
      <c r="I1449" s="71" t="e">
        <f>IF(COUNTIF((rName rData),H1449),"","Name Error!")</f>
        <v>#NAME?</v>
      </c>
    </row>
    <row r="1450" spans="2:9" s="126" customFormat="1" ht="15" customHeight="1" x14ac:dyDescent="0.25">
      <c r="B1450" s="271" t="s">
        <v>341</v>
      </c>
      <c r="C1450" s="272" t="s">
        <v>340</v>
      </c>
      <c r="D1450" s="275" t="s">
        <v>216</v>
      </c>
      <c r="E1450" s="275">
        <v>41487.833009259259</v>
      </c>
      <c r="F1450" s="276">
        <v>2</v>
      </c>
      <c r="G1450" s="243">
        <f t="shared" si="23"/>
        <v>96</v>
      </c>
      <c r="H1450" s="244"/>
      <c r="I1450" s="71" t="e">
        <f>IF(COUNTIF((rName rData),H1450),"","Name Error!")</f>
        <v>#NAME?</v>
      </c>
    </row>
    <row r="1451" spans="2:9" s="126" customFormat="1" ht="15" customHeight="1" x14ac:dyDescent="0.25">
      <c r="B1451" s="271" t="s">
        <v>267</v>
      </c>
      <c r="C1451" s="272" t="s">
        <v>268</v>
      </c>
      <c r="D1451" s="275" t="s">
        <v>216</v>
      </c>
      <c r="E1451" s="275">
        <v>41487.833333333336</v>
      </c>
      <c r="F1451" s="276">
        <v>1</v>
      </c>
      <c r="G1451" s="243">
        <f t="shared" si="23"/>
        <v>96</v>
      </c>
      <c r="H1451" s="244"/>
      <c r="I1451" s="71" t="e">
        <f>IF(COUNTIF((rName rData),H1451),"","Name Error!")</f>
        <v>#NAME?</v>
      </c>
    </row>
    <row r="1452" spans="2:9" s="126" customFormat="1" ht="15" customHeight="1" x14ac:dyDescent="0.25">
      <c r="B1452" s="271" t="s">
        <v>322</v>
      </c>
      <c r="C1452" s="272" t="s">
        <v>321</v>
      </c>
      <c r="D1452" s="275" t="s">
        <v>216</v>
      </c>
      <c r="E1452" s="275">
        <v>41487.855300925927</v>
      </c>
      <c r="F1452" s="276">
        <v>4</v>
      </c>
      <c r="G1452" s="243">
        <f t="shared" si="23"/>
        <v>96</v>
      </c>
      <c r="H1452" s="244"/>
      <c r="I1452" s="71" t="e">
        <f>IF(COUNTIF((rName rData),H1452),"","Name Error!")</f>
        <v>#NAME?</v>
      </c>
    </row>
    <row r="1453" spans="2:9" s="126" customFormat="1" ht="15" customHeight="1" x14ac:dyDescent="0.25">
      <c r="B1453" s="271" t="s">
        <v>279</v>
      </c>
      <c r="C1453" s="272" t="s">
        <v>280</v>
      </c>
      <c r="D1453" s="275" t="s">
        <v>216</v>
      </c>
      <c r="E1453" s="275">
        <v>41487.946956018517</v>
      </c>
      <c r="F1453" s="276">
        <v>1</v>
      </c>
      <c r="G1453" s="243">
        <f t="shared" si="23"/>
        <v>96</v>
      </c>
      <c r="H1453" s="244"/>
      <c r="I1453" s="71" t="e">
        <f>IF(COUNTIF((rName rData),H1453),"","Name Error!")</f>
        <v>#NAME?</v>
      </c>
    </row>
    <row r="1454" spans="2:9" s="126" customFormat="1" ht="15" customHeight="1" x14ac:dyDescent="0.25">
      <c r="B1454" s="271" t="s">
        <v>350</v>
      </c>
      <c r="C1454" s="272" t="s">
        <v>349</v>
      </c>
      <c r="D1454" s="275" t="s">
        <v>216</v>
      </c>
      <c r="E1454" s="275">
        <v>41488.00335648148</v>
      </c>
      <c r="F1454" s="276">
        <v>1</v>
      </c>
      <c r="G1454" s="243">
        <f t="shared" si="23"/>
        <v>96</v>
      </c>
      <c r="H1454" s="244"/>
      <c r="I1454" s="71" t="e">
        <f>IF(COUNTIF((rName rData),H1454),"","Name Error!")</f>
        <v>#NAME?</v>
      </c>
    </row>
    <row r="1455" spans="2:9" s="126" customFormat="1" ht="15" customHeight="1" x14ac:dyDescent="0.25">
      <c r="B1455" s="271" t="s">
        <v>279</v>
      </c>
      <c r="C1455" s="272" t="s">
        <v>280</v>
      </c>
      <c r="D1455" s="275" t="s">
        <v>216</v>
      </c>
      <c r="E1455" s="275">
        <v>41488.037708333337</v>
      </c>
      <c r="F1455" s="276">
        <v>2</v>
      </c>
      <c r="G1455" s="243">
        <f t="shared" si="23"/>
        <v>96</v>
      </c>
      <c r="H1455" s="244"/>
      <c r="I1455" s="71" t="e">
        <f>IF(COUNTIF((rName rData),H1455),"","Name Error!")</f>
        <v>#NAME?</v>
      </c>
    </row>
    <row r="1456" spans="2:9" s="126" customFormat="1" ht="15" customHeight="1" x14ac:dyDescent="0.25">
      <c r="B1456" s="271" t="s">
        <v>354</v>
      </c>
      <c r="C1456" s="272" t="s">
        <v>353</v>
      </c>
      <c r="D1456" s="275" t="s">
        <v>216</v>
      </c>
      <c r="E1456" s="275">
        <v>41488.616643518515</v>
      </c>
      <c r="F1456" s="276">
        <v>1</v>
      </c>
      <c r="G1456" s="243">
        <f t="shared" si="23"/>
        <v>96</v>
      </c>
      <c r="H1456" s="244"/>
      <c r="I1456" s="71" t="e">
        <f>IF(COUNTIF((rName rData),H1456),"","Name Error!")</f>
        <v>#NAME?</v>
      </c>
    </row>
    <row r="1457" spans="2:9" s="126" customFormat="1" ht="15" customHeight="1" x14ac:dyDescent="0.25">
      <c r="B1457" s="271" t="s">
        <v>267</v>
      </c>
      <c r="C1457" s="272" t="s">
        <v>268</v>
      </c>
      <c r="D1457" s="275" t="s">
        <v>216</v>
      </c>
      <c r="E1457" s="275">
        <v>41488.797974537039</v>
      </c>
      <c r="F1457" s="276">
        <v>2</v>
      </c>
      <c r="G1457" s="243">
        <f t="shared" si="23"/>
        <v>96</v>
      </c>
      <c r="H1457" s="244"/>
      <c r="I1457" s="71" t="e">
        <f>IF(COUNTIF((rName rData),H1457),"","Name Error!")</f>
        <v>#NAME?</v>
      </c>
    </row>
    <row r="1458" spans="2:9" s="126" customFormat="1" ht="15" customHeight="1" x14ac:dyDescent="0.25">
      <c r="B1458" s="271" t="s">
        <v>331</v>
      </c>
      <c r="C1458" s="272" t="s">
        <v>330</v>
      </c>
      <c r="D1458" s="275" t="s">
        <v>216</v>
      </c>
      <c r="E1458" s="275">
        <v>41489.013657407406</v>
      </c>
      <c r="F1458" s="276">
        <v>3</v>
      </c>
      <c r="G1458" s="243">
        <f t="shared" si="23"/>
        <v>97</v>
      </c>
      <c r="H1458" s="244"/>
      <c r="I1458" s="71" t="e">
        <f>IF(COUNTIF((rName rData),H1458),"","Name Error!")</f>
        <v>#NAME?</v>
      </c>
    </row>
    <row r="1459" spans="2:9" s="126" customFormat="1" ht="15" customHeight="1" x14ac:dyDescent="0.25">
      <c r="B1459" s="271" t="s">
        <v>356</v>
      </c>
      <c r="C1459" s="272" t="s">
        <v>355</v>
      </c>
      <c r="D1459" s="275" t="s">
        <v>216</v>
      </c>
      <c r="E1459" s="275">
        <v>41489.047500000001</v>
      </c>
      <c r="F1459" s="276">
        <v>1</v>
      </c>
      <c r="G1459" s="243">
        <f t="shared" si="23"/>
        <v>97</v>
      </c>
      <c r="H1459" s="244"/>
      <c r="I1459" s="71" t="e">
        <f>IF(COUNTIF((rName rData),H1459),"","Name Error!")</f>
        <v>#NAME?</v>
      </c>
    </row>
    <row r="1460" spans="2:9" s="126" customFormat="1" ht="15" customHeight="1" x14ac:dyDescent="0.25">
      <c r="B1460" s="271" t="s">
        <v>333</v>
      </c>
      <c r="C1460" s="272" t="s">
        <v>332</v>
      </c>
      <c r="D1460" s="275" t="s">
        <v>216</v>
      </c>
      <c r="E1460" s="275">
        <v>41489.124386574076</v>
      </c>
      <c r="F1460" s="276">
        <v>1</v>
      </c>
      <c r="G1460" s="243">
        <f t="shared" si="23"/>
        <v>97</v>
      </c>
      <c r="H1460" s="244"/>
      <c r="I1460" s="71" t="e">
        <f>IF(COUNTIF((rName rData),H1460),"","Name Error!")</f>
        <v>#NAME?</v>
      </c>
    </row>
    <row r="1461" spans="2:9" s="126" customFormat="1" ht="15" customHeight="1" x14ac:dyDescent="0.25">
      <c r="B1461" s="271" t="s">
        <v>324</v>
      </c>
      <c r="C1461" s="272" t="s">
        <v>323</v>
      </c>
      <c r="D1461" s="275" t="s">
        <v>216</v>
      </c>
      <c r="E1461" s="275">
        <v>41489.141226851854</v>
      </c>
      <c r="F1461" s="276">
        <v>2</v>
      </c>
      <c r="G1461" s="243">
        <f t="shared" si="23"/>
        <v>97</v>
      </c>
      <c r="H1461" s="244"/>
      <c r="I1461" s="71" t="e">
        <f>IF(COUNTIF((rName rData),H1461),"","Name Error!")</f>
        <v>#NAME?</v>
      </c>
    </row>
    <row r="1462" spans="2:9" s="126" customFormat="1" ht="15" customHeight="1" x14ac:dyDescent="0.25">
      <c r="B1462" s="271" t="s">
        <v>352</v>
      </c>
      <c r="C1462" s="272" t="s">
        <v>351</v>
      </c>
      <c r="D1462" s="275" t="s">
        <v>216</v>
      </c>
      <c r="E1462" s="275">
        <v>41489.299201388887</v>
      </c>
      <c r="F1462" s="276">
        <v>1</v>
      </c>
      <c r="G1462" s="243">
        <f t="shared" si="23"/>
        <v>97</v>
      </c>
      <c r="H1462" s="244"/>
      <c r="I1462" s="71" t="e">
        <f>IF(COUNTIF((rName rData),H1462),"","Name Error!")</f>
        <v>#NAME?</v>
      </c>
    </row>
    <row r="1463" spans="2:9" s="126" customFormat="1" ht="15" customHeight="1" x14ac:dyDescent="0.25">
      <c r="B1463" s="271" t="s">
        <v>354</v>
      </c>
      <c r="C1463" s="272" t="s">
        <v>353</v>
      </c>
      <c r="D1463" s="275" t="s">
        <v>216</v>
      </c>
      <c r="E1463" s="275">
        <v>41489.340775462966</v>
      </c>
      <c r="F1463" s="276">
        <v>2</v>
      </c>
      <c r="G1463" s="243">
        <f t="shared" si="23"/>
        <v>97</v>
      </c>
      <c r="H1463" s="244"/>
      <c r="I1463" s="71" t="e">
        <f>IF(COUNTIF((rName rData),H1463),"","Name Error!")</f>
        <v>#NAME?</v>
      </c>
    </row>
    <row r="1464" spans="2:9" s="126" customFormat="1" ht="15" customHeight="1" x14ac:dyDescent="0.25">
      <c r="B1464" s="271" t="s">
        <v>322</v>
      </c>
      <c r="C1464" s="272" t="s">
        <v>321</v>
      </c>
      <c r="D1464" s="275" t="s">
        <v>216</v>
      </c>
      <c r="E1464" s="275">
        <v>41489.399398148147</v>
      </c>
      <c r="F1464" s="276">
        <v>5</v>
      </c>
      <c r="G1464" s="243">
        <f t="shared" si="23"/>
        <v>97</v>
      </c>
      <c r="H1464" s="244"/>
      <c r="I1464" s="71" t="e">
        <f>IF(COUNTIF((rName rData),H1464),"","Name Error!")</f>
        <v>#NAME?</v>
      </c>
    </row>
    <row r="1465" spans="2:9" s="126" customFormat="1" ht="15" customHeight="1" x14ac:dyDescent="0.25">
      <c r="B1465" s="271" t="s">
        <v>335</v>
      </c>
      <c r="C1465" s="272" t="s">
        <v>334</v>
      </c>
      <c r="D1465" s="275" t="s">
        <v>216</v>
      </c>
      <c r="E1465" s="275">
        <v>41489.505162037036</v>
      </c>
      <c r="F1465" s="276">
        <v>1</v>
      </c>
      <c r="G1465" s="243">
        <f t="shared" si="23"/>
        <v>97</v>
      </c>
      <c r="H1465" s="244"/>
      <c r="I1465" s="71" t="e">
        <f>IF(COUNTIF((rName rData),H1465),"","Name Error!")</f>
        <v>#NAME?</v>
      </c>
    </row>
    <row r="1466" spans="2:9" s="126" customFormat="1" ht="15" customHeight="1" x14ac:dyDescent="0.25">
      <c r="B1466" s="271" t="s">
        <v>320</v>
      </c>
      <c r="C1466" s="272" t="s">
        <v>319</v>
      </c>
      <c r="D1466" s="275" t="s">
        <v>216</v>
      </c>
      <c r="E1466" s="275">
        <v>41489.566030092596</v>
      </c>
      <c r="F1466" s="276">
        <v>3</v>
      </c>
      <c r="G1466" s="243">
        <f t="shared" si="23"/>
        <v>97</v>
      </c>
      <c r="H1466" s="244"/>
      <c r="I1466" s="71" t="e">
        <f>IF(COUNTIF((rName rData),H1466),"","Name Error!")</f>
        <v>#NAME?</v>
      </c>
    </row>
    <row r="1467" spans="2:9" s="126" customFormat="1" ht="15" customHeight="1" x14ac:dyDescent="0.25">
      <c r="B1467" s="271" t="s">
        <v>367</v>
      </c>
      <c r="C1467" s="272" t="s">
        <v>366</v>
      </c>
      <c r="D1467" s="275" t="s">
        <v>216</v>
      </c>
      <c r="E1467" s="275">
        <v>41489.582881944443</v>
      </c>
      <c r="F1467" s="276">
        <v>2</v>
      </c>
      <c r="G1467" s="243">
        <f t="shared" si="23"/>
        <v>97</v>
      </c>
      <c r="H1467" s="244"/>
      <c r="I1467" s="71" t="e">
        <f>IF(COUNTIF((rName rData),H1467),"","Name Error!")</f>
        <v>#NAME?</v>
      </c>
    </row>
    <row r="1468" spans="2:9" s="126" customFormat="1" ht="15" customHeight="1" x14ac:dyDescent="0.25">
      <c r="B1468" s="271" t="s">
        <v>371</v>
      </c>
      <c r="C1468" s="272" t="s">
        <v>370</v>
      </c>
      <c r="D1468" s="275" t="s">
        <v>216</v>
      </c>
      <c r="E1468" s="275">
        <v>41489.71292824074</v>
      </c>
      <c r="F1468" s="276">
        <v>1</v>
      </c>
      <c r="G1468" s="243">
        <f t="shared" si="23"/>
        <v>97</v>
      </c>
      <c r="H1468" s="244"/>
      <c r="I1468" s="71" t="e">
        <f>IF(COUNTIF((rName rData),H1468),"","Name Error!")</f>
        <v>#NAME?</v>
      </c>
    </row>
    <row r="1469" spans="2:9" s="126" customFormat="1" ht="15" customHeight="1" x14ac:dyDescent="0.25">
      <c r="B1469" s="271" t="s">
        <v>267</v>
      </c>
      <c r="C1469" s="272" t="s">
        <v>268</v>
      </c>
      <c r="D1469" s="275" t="s">
        <v>216</v>
      </c>
      <c r="E1469" s="275">
        <v>41489.718229166669</v>
      </c>
      <c r="F1469" s="276">
        <v>1</v>
      </c>
      <c r="G1469" s="243">
        <f t="shared" si="23"/>
        <v>97</v>
      </c>
      <c r="H1469" s="244"/>
      <c r="I1469" s="71" t="e">
        <f>IF(COUNTIF((rName rData),H1469),"","Name Error!")</f>
        <v>#NAME?</v>
      </c>
    </row>
    <row r="1470" spans="2:9" s="126" customFormat="1" ht="15" customHeight="1" x14ac:dyDescent="0.25">
      <c r="B1470" s="271" t="s">
        <v>358</v>
      </c>
      <c r="C1470" s="272" t="s">
        <v>357</v>
      </c>
      <c r="D1470" s="275" t="s">
        <v>216</v>
      </c>
      <c r="E1470" s="275">
        <v>41489.774050925924</v>
      </c>
      <c r="F1470" s="276">
        <v>1</v>
      </c>
      <c r="G1470" s="243">
        <f t="shared" si="23"/>
        <v>97</v>
      </c>
      <c r="H1470" s="244"/>
      <c r="I1470" s="71" t="e">
        <f>IF(COUNTIF((rName rData),H1470),"","Name Error!")</f>
        <v>#NAME?</v>
      </c>
    </row>
    <row r="1471" spans="2:9" s="126" customFormat="1" ht="15" customHeight="1" x14ac:dyDescent="0.25">
      <c r="B1471" s="271" t="s">
        <v>328</v>
      </c>
      <c r="C1471" s="272" t="s">
        <v>327</v>
      </c>
      <c r="D1471" s="275" t="s">
        <v>216</v>
      </c>
      <c r="E1471" s="275">
        <v>41489.998576388891</v>
      </c>
      <c r="F1471" s="276">
        <v>1</v>
      </c>
      <c r="G1471" s="243">
        <f t="shared" si="23"/>
        <v>97</v>
      </c>
      <c r="H1471" s="244"/>
      <c r="I1471" s="71" t="e">
        <f>IF(COUNTIF((rName rData),H1471),"","Name Error!")</f>
        <v>#NAME?</v>
      </c>
    </row>
    <row r="1472" spans="2:9" s="126" customFormat="1" ht="15" customHeight="1" x14ac:dyDescent="0.25">
      <c r="B1472" s="271" t="s">
        <v>328</v>
      </c>
      <c r="C1472" s="272" t="s">
        <v>327</v>
      </c>
      <c r="D1472" s="275" t="s">
        <v>216</v>
      </c>
      <c r="E1472" s="275">
        <v>41490.064143518517</v>
      </c>
      <c r="F1472" s="276">
        <v>1</v>
      </c>
      <c r="G1472" s="243">
        <f t="shared" si="23"/>
        <v>97</v>
      </c>
      <c r="H1472" s="244"/>
      <c r="I1472" s="71" t="e">
        <f>IF(COUNTIF((rName rData),H1472),"","Name Error!")</f>
        <v>#NAME?</v>
      </c>
    </row>
    <row r="1473" spans="2:9" s="126" customFormat="1" ht="15" customHeight="1" x14ac:dyDescent="0.25">
      <c r="B1473" s="271" t="s">
        <v>333</v>
      </c>
      <c r="C1473" s="272" t="s">
        <v>332</v>
      </c>
      <c r="D1473" s="275" t="s">
        <v>216</v>
      </c>
      <c r="E1473" s="275">
        <v>41490.070879629631</v>
      </c>
      <c r="F1473" s="276">
        <v>2</v>
      </c>
      <c r="G1473" s="243">
        <f t="shared" si="23"/>
        <v>97</v>
      </c>
      <c r="H1473" s="244"/>
      <c r="I1473" s="71" t="e">
        <f>IF(COUNTIF((rName rData),H1473),"","Name Error!")</f>
        <v>#NAME?</v>
      </c>
    </row>
    <row r="1474" spans="2:9" s="126" customFormat="1" ht="15" customHeight="1" x14ac:dyDescent="0.25">
      <c r="B1474" s="271" t="s">
        <v>356</v>
      </c>
      <c r="C1474" s="272" t="s">
        <v>355</v>
      </c>
      <c r="D1474" s="275" t="s">
        <v>216</v>
      </c>
      <c r="E1474" s="275">
        <v>41490.094953703701</v>
      </c>
      <c r="F1474" s="276">
        <v>4</v>
      </c>
      <c r="G1474" s="243">
        <f t="shared" si="23"/>
        <v>97</v>
      </c>
      <c r="H1474" s="244"/>
      <c r="I1474" s="71" t="e">
        <f>IF(COUNTIF((rName rData),H1474),"","Name Error!")</f>
        <v>#NAME?</v>
      </c>
    </row>
    <row r="1475" spans="2:9" s="126" customFormat="1" ht="15" customHeight="1" x14ac:dyDescent="0.25">
      <c r="B1475" s="271" t="s">
        <v>354</v>
      </c>
      <c r="C1475" s="272" t="s">
        <v>353</v>
      </c>
      <c r="D1475" s="275" t="s">
        <v>216</v>
      </c>
      <c r="E1475" s="275">
        <v>41490.365173611113</v>
      </c>
      <c r="F1475" s="276">
        <v>3</v>
      </c>
      <c r="G1475" s="243">
        <f t="shared" si="23"/>
        <v>97</v>
      </c>
      <c r="H1475" s="244"/>
      <c r="I1475" s="71" t="e">
        <f>IF(COUNTIF((rName rData),H1475),"","Name Error!")</f>
        <v>#NAME?</v>
      </c>
    </row>
    <row r="1476" spans="2:9" s="126" customFormat="1" ht="15" customHeight="1" x14ac:dyDescent="0.25">
      <c r="B1476" s="271" t="s">
        <v>352</v>
      </c>
      <c r="C1476" s="272" t="s">
        <v>351</v>
      </c>
      <c r="D1476" s="275" t="s">
        <v>216</v>
      </c>
      <c r="E1476" s="275">
        <v>41490.425555555557</v>
      </c>
      <c r="F1476" s="276">
        <v>7</v>
      </c>
      <c r="G1476" s="243">
        <f t="shared" si="23"/>
        <v>97</v>
      </c>
      <c r="H1476" s="244"/>
      <c r="I1476" s="71" t="e">
        <f>IF(COUNTIF((rName rData),H1476),"","Name Error!")</f>
        <v>#NAME?</v>
      </c>
    </row>
    <row r="1477" spans="2:9" s="126" customFormat="1" ht="15" customHeight="1" x14ac:dyDescent="0.25">
      <c r="B1477" s="271" t="s">
        <v>331</v>
      </c>
      <c r="C1477" s="272" t="s">
        <v>330</v>
      </c>
      <c r="D1477" s="275" t="s">
        <v>216</v>
      </c>
      <c r="E1477" s="275">
        <v>41490.485127314816</v>
      </c>
      <c r="F1477" s="276">
        <v>1</v>
      </c>
      <c r="G1477" s="243">
        <f t="shared" si="23"/>
        <v>97</v>
      </c>
      <c r="H1477" s="244"/>
      <c r="I1477" s="71" t="e">
        <f>IF(COUNTIF((rName rData),H1477),"","Name Error!")</f>
        <v>#NAME?</v>
      </c>
    </row>
    <row r="1478" spans="2:9" s="126" customFormat="1" ht="15" customHeight="1" x14ac:dyDescent="0.25">
      <c r="B1478" s="271" t="s">
        <v>322</v>
      </c>
      <c r="C1478" s="272" t="s">
        <v>321</v>
      </c>
      <c r="D1478" s="275" t="s">
        <v>216</v>
      </c>
      <c r="E1478" s="275">
        <v>41490.493125000001</v>
      </c>
      <c r="F1478" s="276">
        <v>1</v>
      </c>
      <c r="G1478" s="243">
        <f t="shared" si="23"/>
        <v>97</v>
      </c>
      <c r="H1478" s="244"/>
      <c r="I1478" s="71" t="e">
        <f>IF(COUNTIF((rName rData),H1478),"","Name Error!")</f>
        <v>#NAME?</v>
      </c>
    </row>
    <row r="1479" spans="2:9" s="126" customFormat="1" ht="15" customHeight="1" x14ac:dyDescent="0.25">
      <c r="B1479" s="271" t="s">
        <v>350</v>
      </c>
      <c r="C1479" s="272" t="s">
        <v>349</v>
      </c>
      <c r="D1479" s="275" t="s">
        <v>216</v>
      </c>
      <c r="E1479" s="275">
        <v>41490.528298611112</v>
      </c>
      <c r="F1479" s="276">
        <v>2</v>
      </c>
      <c r="G1479" s="243">
        <f t="shared" si="23"/>
        <v>97</v>
      </c>
      <c r="H1479" s="244"/>
      <c r="I1479" s="71" t="e">
        <f>IF(COUNTIF((rName rData),H1479),"","Name Error!")</f>
        <v>#NAME?</v>
      </c>
    </row>
    <row r="1480" spans="2:9" s="126" customFormat="1" ht="15" customHeight="1" x14ac:dyDescent="0.25">
      <c r="B1480" s="271" t="s">
        <v>345</v>
      </c>
      <c r="C1480" s="272" t="s">
        <v>344</v>
      </c>
      <c r="D1480" s="275" t="s">
        <v>216</v>
      </c>
      <c r="E1480" s="275">
        <v>41490.539166666669</v>
      </c>
      <c r="F1480" s="276">
        <v>1</v>
      </c>
      <c r="G1480" s="243">
        <f t="shared" si="23"/>
        <v>97</v>
      </c>
      <c r="H1480" s="244"/>
      <c r="I1480" s="71" t="e">
        <f>IF(COUNTIF((rName rData),H1480),"","Name Error!")</f>
        <v>#NAME?</v>
      </c>
    </row>
    <row r="1481" spans="2:9" s="126" customFormat="1" ht="15" customHeight="1" x14ac:dyDescent="0.25">
      <c r="B1481" s="271" t="s">
        <v>267</v>
      </c>
      <c r="C1481" s="272" t="s">
        <v>268</v>
      </c>
      <c r="D1481" s="275" t="s">
        <v>216</v>
      </c>
      <c r="E1481" s="275">
        <v>41490.547164351854</v>
      </c>
      <c r="F1481" s="276">
        <v>5</v>
      </c>
      <c r="G1481" s="243">
        <f t="shared" si="23"/>
        <v>97</v>
      </c>
      <c r="H1481" s="244"/>
      <c r="I1481" s="71" t="e">
        <f>IF(COUNTIF((rName rData),H1481),"","Name Error!")</f>
        <v>#NAME?</v>
      </c>
    </row>
    <row r="1482" spans="2:9" s="126" customFormat="1" ht="15" customHeight="1" x14ac:dyDescent="0.25">
      <c r="B1482" s="271" t="s">
        <v>358</v>
      </c>
      <c r="C1482" s="272" t="s">
        <v>357</v>
      </c>
      <c r="D1482" s="275" t="s">
        <v>216</v>
      </c>
      <c r="E1482" s="275">
        <v>41490.559004629627</v>
      </c>
      <c r="F1482" s="276">
        <v>2</v>
      </c>
      <c r="G1482" s="243">
        <f t="shared" ref="G1482:G1545" si="24">TRUNC((E1482-start)/7)+1</f>
        <v>97</v>
      </c>
      <c r="H1482" s="244"/>
      <c r="I1482" s="71" t="e">
        <f>IF(COUNTIF((rName rData),H1482),"","Name Error!")</f>
        <v>#NAME?</v>
      </c>
    </row>
    <row r="1483" spans="2:9" s="126" customFormat="1" ht="15" customHeight="1" x14ac:dyDescent="0.25">
      <c r="B1483" s="271" t="s">
        <v>320</v>
      </c>
      <c r="C1483" s="272" t="s">
        <v>319</v>
      </c>
      <c r="D1483" s="275" t="s">
        <v>216</v>
      </c>
      <c r="E1483" s="275">
        <v>41490.58222222222</v>
      </c>
      <c r="F1483" s="276">
        <v>3</v>
      </c>
      <c r="G1483" s="243">
        <f t="shared" si="24"/>
        <v>97</v>
      </c>
      <c r="H1483" s="244"/>
      <c r="I1483" s="71" t="e">
        <f>IF(COUNTIF((rName rData),H1483),"","Name Error!")</f>
        <v>#NAME?</v>
      </c>
    </row>
    <row r="1484" spans="2:9" s="126" customFormat="1" ht="15" customHeight="1" x14ac:dyDescent="0.25">
      <c r="B1484" s="271" t="s">
        <v>341</v>
      </c>
      <c r="C1484" s="272" t="s">
        <v>340</v>
      </c>
      <c r="D1484" s="275" t="s">
        <v>216</v>
      </c>
      <c r="E1484" s="275">
        <v>41490.592372685183</v>
      </c>
      <c r="F1484" s="276">
        <v>3</v>
      </c>
      <c r="G1484" s="243">
        <f t="shared" si="24"/>
        <v>97</v>
      </c>
      <c r="H1484" s="244"/>
      <c r="I1484" s="71" t="e">
        <f>IF(COUNTIF((rName rData),H1484),"","Name Error!")</f>
        <v>#NAME?</v>
      </c>
    </row>
    <row r="1485" spans="2:9" s="126" customFormat="1" ht="15" customHeight="1" x14ac:dyDescent="0.25">
      <c r="B1485" s="271" t="s">
        <v>362</v>
      </c>
      <c r="C1485" s="272" t="s">
        <v>361</v>
      </c>
      <c r="D1485" s="275" t="s">
        <v>216</v>
      </c>
      <c r="E1485" s="275">
        <v>41490.62641203704</v>
      </c>
      <c r="F1485" s="276">
        <v>4</v>
      </c>
      <c r="G1485" s="243">
        <f t="shared" si="24"/>
        <v>97</v>
      </c>
      <c r="H1485" s="244"/>
      <c r="I1485" s="71" t="e">
        <f>IF(COUNTIF((rName rData),H1485),"","Name Error!")</f>
        <v>#NAME?</v>
      </c>
    </row>
    <row r="1486" spans="2:9" s="126" customFormat="1" ht="15" customHeight="1" x14ac:dyDescent="0.25">
      <c r="B1486" s="271" t="s">
        <v>279</v>
      </c>
      <c r="C1486" s="272" t="s">
        <v>280</v>
      </c>
      <c r="D1486" s="275" t="s">
        <v>216</v>
      </c>
      <c r="E1486" s="275">
        <v>41490.626956018517</v>
      </c>
      <c r="F1486" s="276">
        <v>3</v>
      </c>
      <c r="G1486" s="243">
        <f t="shared" si="24"/>
        <v>97</v>
      </c>
      <c r="H1486" s="244"/>
      <c r="I1486" s="71" t="e">
        <f>IF(COUNTIF((rName rData),H1486),"","Name Error!")</f>
        <v>#NAME?</v>
      </c>
    </row>
    <row r="1487" spans="2:9" s="126" customFormat="1" ht="15" customHeight="1" x14ac:dyDescent="0.25">
      <c r="B1487" s="271" t="s">
        <v>371</v>
      </c>
      <c r="C1487" s="272" t="s">
        <v>370</v>
      </c>
      <c r="D1487" s="275" t="s">
        <v>216</v>
      </c>
      <c r="E1487" s="275">
        <v>41490.632280092592</v>
      </c>
      <c r="F1487" s="276">
        <v>1</v>
      </c>
      <c r="G1487" s="243">
        <f t="shared" si="24"/>
        <v>97</v>
      </c>
      <c r="H1487" s="244"/>
      <c r="I1487" s="71" t="e">
        <f>IF(COUNTIF((rName rData),H1487),"","Name Error!")</f>
        <v>#NAME?</v>
      </c>
    </row>
    <row r="1488" spans="2:9" s="126" customFormat="1" ht="15" customHeight="1" x14ac:dyDescent="0.25">
      <c r="B1488" s="271" t="s">
        <v>367</v>
      </c>
      <c r="C1488" s="272" t="s">
        <v>366</v>
      </c>
      <c r="D1488" s="275" t="s">
        <v>216</v>
      </c>
      <c r="E1488" s="275">
        <v>41490.647928240738</v>
      </c>
      <c r="F1488" s="276">
        <v>2</v>
      </c>
      <c r="G1488" s="243">
        <f t="shared" si="24"/>
        <v>97</v>
      </c>
      <c r="H1488" s="244"/>
      <c r="I1488" s="71" t="e">
        <f>IF(COUNTIF((rName rData),H1488),"","Name Error!")</f>
        <v>#NAME?</v>
      </c>
    </row>
    <row r="1489" spans="2:9" s="126" customFormat="1" ht="15" customHeight="1" x14ac:dyDescent="0.25">
      <c r="B1489" s="271" t="s">
        <v>324</v>
      </c>
      <c r="C1489" s="272" t="s">
        <v>323</v>
      </c>
      <c r="D1489" s="275" t="s">
        <v>216</v>
      </c>
      <c r="E1489" s="275">
        <v>41490.653101851851</v>
      </c>
      <c r="F1489" s="276">
        <v>5</v>
      </c>
      <c r="G1489" s="243">
        <f t="shared" si="24"/>
        <v>97</v>
      </c>
      <c r="H1489" s="244"/>
      <c r="I1489" s="71" t="e">
        <f>IF(COUNTIF((rName rData),H1489),"","Name Error!")</f>
        <v>#NAME?</v>
      </c>
    </row>
    <row r="1490" spans="2:9" s="126" customFormat="1" ht="15" customHeight="1" x14ac:dyDescent="0.25">
      <c r="B1490" s="271" t="s">
        <v>337</v>
      </c>
      <c r="C1490" s="272" t="s">
        <v>336</v>
      </c>
      <c r="D1490" s="275" t="s">
        <v>216</v>
      </c>
      <c r="E1490" s="275">
        <v>41490.819618055553</v>
      </c>
      <c r="F1490" s="276">
        <v>3</v>
      </c>
      <c r="G1490" s="243">
        <f t="shared" si="24"/>
        <v>97</v>
      </c>
      <c r="H1490" s="244"/>
      <c r="I1490" s="71" t="e">
        <f>IF(COUNTIF((rName rData),H1490),"","Name Error!")</f>
        <v>#NAME?</v>
      </c>
    </row>
    <row r="1491" spans="2:9" s="126" customFormat="1" ht="15" customHeight="1" x14ac:dyDescent="0.25">
      <c r="B1491" s="271" t="s">
        <v>354</v>
      </c>
      <c r="C1491" s="272" t="s">
        <v>353</v>
      </c>
      <c r="D1491" s="275" t="s">
        <v>216</v>
      </c>
      <c r="E1491" s="275">
        <v>41491.165335648147</v>
      </c>
      <c r="F1491" s="276">
        <v>5</v>
      </c>
      <c r="G1491" s="243">
        <f t="shared" si="24"/>
        <v>97</v>
      </c>
      <c r="H1491" s="244"/>
      <c r="I1491" s="71" t="e">
        <f>IF(COUNTIF((rName rData),H1491),"","Name Error!")</f>
        <v>#NAME?</v>
      </c>
    </row>
    <row r="1492" spans="2:9" s="126" customFormat="1" ht="15" customHeight="1" x14ac:dyDescent="0.25">
      <c r="B1492" s="271" t="s">
        <v>356</v>
      </c>
      <c r="C1492" s="272" t="s">
        <v>355</v>
      </c>
      <c r="D1492" s="275" t="s">
        <v>216</v>
      </c>
      <c r="E1492" s="275">
        <v>41491.43917824074</v>
      </c>
      <c r="F1492" s="276">
        <v>1</v>
      </c>
      <c r="G1492" s="243">
        <f t="shared" si="24"/>
        <v>97</v>
      </c>
      <c r="H1492" s="244"/>
      <c r="I1492" s="71" t="e">
        <f>IF(COUNTIF((rName rData),H1492),"","Name Error!")</f>
        <v>#NAME?</v>
      </c>
    </row>
    <row r="1493" spans="2:9" s="126" customFormat="1" ht="15" customHeight="1" x14ac:dyDescent="0.25">
      <c r="B1493" s="271" t="s">
        <v>371</v>
      </c>
      <c r="C1493" s="272" t="s">
        <v>370</v>
      </c>
      <c r="D1493" s="275" t="s">
        <v>216</v>
      </c>
      <c r="E1493" s="275">
        <v>41491.502662037034</v>
      </c>
      <c r="F1493" s="276">
        <v>1</v>
      </c>
      <c r="G1493" s="243">
        <f t="shared" si="24"/>
        <v>97</v>
      </c>
      <c r="H1493" s="244"/>
      <c r="I1493" s="71" t="e">
        <f>IF(COUNTIF((rName rData),H1493),"","Name Error!")</f>
        <v>#NAME?</v>
      </c>
    </row>
    <row r="1494" spans="2:9" s="126" customFormat="1" ht="15" customHeight="1" x14ac:dyDescent="0.25">
      <c r="B1494" s="271" t="s">
        <v>337</v>
      </c>
      <c r="C1494" s="272" t="s">
        <v>336</v>
      </c>
      <c r="D1494" s="275" t="s">
        <v>216</v>
      </c>
      <c r="E1494" s="275">
        <v>41491.649965277778</v>
      </c>
      <c r="F1494" s="276">
        <v>1</v>
      </c>
      <c r="G1494" s="243">
        <f t="shared" si="24"/>
        <v>97</v>
      </c>
      <c r="H1494" s="244"/>
      <c r="I1494" s="71" t="e">
        <f>IF(COUNTIF((rName rData),H1494),"","Name Error!")</f>
        <v>#NAME?</v>
      </c>
    </row>
    <row r="1495" spans="2:9" s="126" customFormat="1" ht="15" customHeight="1" x14ac:dyDescent="0.25">
      <c r="B1495" s="271" t="s">
        <v>358</v>
      </c>
      <c r="C1495" s="272" t="s">
        <v>357</v>
      </c>
      <c r="D1495" s="275" t="s">
        <v>216</v>
      </c>
      <c r="E1495" s="275">
        <v>41491.708368055559</v>
      </c>
      <c r="F1495" s="276">
        <v>2</v>
      </c>
      <c r="G1495" s="243">
        <f t="shared" si="24"/>
        <v>97</v>
      </c>
      <c r="H1495" s="244"/>
      <c r="I1495" s="71" t="e">
        <f>IF(COUNTIF((rName rData),H1495),"","Name Error!")</f>
        <v>#NAME?</v>
      </c>
    </row>
    <row r="1496" spans="2:9" s="126" customFormat="1" ht="15" customHeight="1" x14ac:dyDescent="0.25">
      <c r="B1496" s="271" t="s">
        <v>267</v>
      </c>
      <c r="C1496" s="272" t="s">
        <v>268</v>
      </c>
      <c r="D1496" s="275" t="s">
        <v>216</v>
      </c>
      <c r="E1496" s="275">
        <v>41491.727847222224</v>
      </c>
      <c r="F1496" s="276">
        <v>3</v>
      </c>
      <c r="G1496" s="243">
        <f t="shared" si="24"/>
        <v>97</v>
      </c>
      <c r="H1496" s="244"/>
      <c r="I1496" s="71" t="e">
        <f>IF(COUNTIF((rName rData),H1496),"","Name Error!")</f>
        <v>#NAME?</v>
      </c>
    </row>
    <row r="1497" spans="2:9" s="126" customFormat="1" ht="15" customHeight="1" x14ac:dyDescent="0.25">
      <c r="B1497" s="271" t="s">
        <v>341</v>
      </c>
      <c r="C1497" s="272" t="s">
        <v>340</v>
      </c>
      <c r="D1497" s="275" t="s">
        <v>216</v>
      </c>
      <c r="E1497" s="275">
        <v>41491.732141203705</v>
      </c>
      <c r="F1497" s="276">
        <v>2</v>
      </c>
      <c r="G1497" s="243">
        <f t="shared" si="24"/>
        <v>97</v>
      </c>
      <c r="H1497" s="244"/>
      <c r="I1497" s="71" t="e">
        <f>IF(COUNTIF((rName rData),H1497),"","Name Error!")</f>
        <v>#NAME?</v>
      </c>
    </row>
    <row r="1498" spans="2:9" s="126" customFormat="1" ht="15" customHeight="1" x14ac:dyDescent="0.25">
      <c r="B1498" s="271" t="s">
        <v>350</v>
      </c>
      <c r="C1498" s="272" t="s">
        <v>349</v>
      </c>
      <c r="D1498" s="275" t="s">
        <v>216</v>
      </c>
      <c r="E1498" s="275">
        <v>41491.931168981479</v>
      </c>
      <c r="F1498" s="276">
        <v>1</v>
      </c>
      <c r="G1498" s="243">
        <f t="shared" si="24"/>
        <v>97</v>
      </c>
      <c r="H1498" s="244"/>
      <c r="I1498" s="71" t="e">
        <f>IF(COUNTIF((rName rData),H1498),"","Name Error!")</f>
        <v>#NAME?</v>
      </c>
    </row>
    <row r="1499" spans="2:9" s="126" customFormat="1" ht="15" customHeight="1" x14ac:dyDescent="0.25">
      <c r="B1499" s="271" t="s">
        <v>324</v>
      </c>
      <c r="C1499" s="272" t="s">
        <v>323</v>
      </c>
      <c r="D1499" s="275" t="s">
        <v>216</v>
      </c>
      <c r="E1499" s="275">
        <v>41491.958668981482</v>
      </c>
      <c r="F1499" s="276">
        <v>1</v>
      </c>
      <c r="G1499" s="243">
        <f t="shared" si="24"/>
        <v>97</v>
      </c>
      <c r="H1499" s="244"/>
      <c r="I1499" s="71" t="e">
        <f>IF(COUNTIF((rName rData),H1499),"","Name Error!")</f>
        <v>#NAME?</v>
      </c>
    </row>
    <row r="1500" spans="2:9" s="126" customFormat="1" ht="15" customHeight="1" x14ac:dyDescent="0.25">
      <c r="B1500" s="271" t="s">
        <v>324</v>
      </c>
      <c r="C1500" s="272" t="s">
        <v>323</v>
      </c>
      <c r="D1500" s="275" t="s">
        <v>216</v>
      </c>
      <c r="E1500" s="275">
        <v>41492.008263888885</v>
      </c>
      <c r="F1500" s="276">
        <v>1</v>
      </c>
      <c r="G1500" s="243">
        <f t="shared" si="24"/>
        <v>97</v>
      </c>
      <c r="H1500" s="244"/>
      <c r="I1500" s="71" t="e">
        <f>IF(COUNTIF((rName rData),H1500),"","Name Error!")</f>
        <v>#NAME?</v>
      </c>
    </row>
    <row r="1501" spans="2:9" s="126" customFormat="1" ht="15" customHeight="1" x14ac:dyDescent="0.25">
      <c r="B1501" s="271" t="s">
        <v>279</v>
      </c>
      <c r="C1501" s="272" t="s">
        <v>280</v>
      </c>
      <c r="D1501" s="275" t="s">
        <v>216</v>
      </c>
      <c r="E1501" s="275">
        <v>41492.033275462964</v>
      </c>
      <c r="F1501" s="276">
        <v>1</v>
      </c>
      <c r="G1501" s="243">
        <f t="shared" si="24"/>
        <v>97</v>
      </c>
      <c r="H1501" s="244"/>
      <c r="I1501" s="71" t="e">
        <f>IF(COUNTIF((rName rData),H1501),"","Name Error!")</f>
        <v>#NAME?</v>
      </c>
    </row>
    <row r="1502" spans="2:9" s="126" customFormat="1" ht="15" customHeight="1" x14ac:dyDescent="0.25">
      <c r="B1502" s="271" t="s">
        <v>365</v>
      </c>
      <c r="C1502" s="272" t="s">
        <v>364</v>
      </c>
      <c r="D1502" s="275" t="s">
        <v>216</v>
      </c>
      <c r="E1502" s="275">
        <v>41492.154780092591</v>
      </c>
      <c r="F1502" s="276">
        <v>2</v>
      </c>
      <c r="G1502" s="243">
        <f t="shared" si="24"/>
        <v>97</v>
      </c>
      <c r="H1502" s="244"/>
      <c r="I1502" s="71" t="e">
        <f>IF(COUNTIF((rName rData),H1502),"","Name Error!")</f>
        <v>#NAME?</v>
      </c>
    </row>
    <row r="1503" spans="2:9" s="126" customFormat="1" ht="15" customHeight="1" x14ac:dyDescent="0.25">
      <c r="B1503" s="271" t="s">
        <v>267</v>
      </c>
      <c r="C1503" s="272" t="s">
        <v>268</v>
      </c>
      <c r="D1503" s="275" t="s">
        <v>216</v>
      </c>
      <c r="E1503" s="275">
        <v>41492.319212962961</v>
      </c>
      <c r="F1503" s="276">
        <v>3</v>
      </c>
      <c r="G1503" s="243">
        <f t="shared" si="24"/>
        <v>97</v>
      </c>
      <c r="H1503" s="244"/>
      <c r="I1503" s="71" t="e">
        <f>IF(COUNTIF((rName rData),H1503),"","Name Error!")</f>
        <v>#NAME?</v>
      </c>
    </row>
    <row r="1504" spans="2:9" s="126" customFormat="1" ht="15" customHeight="1" x14ac:dyDescent="0.25">
      <c r="B1504" s="271" t="s">
        <v>356</v>
      </c>
      <c r="C1504" s="272" t="s">
        <v>355</v>
      </c>
      <c r="D1504" s="275" t="s">
        <v>216</v>
      </c>
      <c r="E1504" s="275">
        <v>41492.441377314812</v>
      </c>
      <c r="F1504" s="276">
        <v>3</v>
      </c>
      <c r="G1504" s="243">
        <f t="shared" si="24"/>
        <v>97</v>
      </c>
      <c r="H1504" s="244"/>
      <c r="I1504" s="71" t="e">
        <f>IF(COUNTIF((rName rData),H1504),"","Name Error!")</f>
        <v>#NAME?</v>
      </c>
    </row>
    <row r="1505" spans="2:9" s="126" customFormat="1" ht="15" customHeight="1" x14ac:dyDescent="0.25">
      <c r="B1505" s="271" t="s">
        <v>371</v>
      </c>
      <c r="C1505" s="272" t="s">
        <v>370</v>
      </c>
      <c r="D1505" s="275" t="s">
        <v>216</v>
      </c>
      <c r="E1505" s="275">
        <v>41492.518020833333</v>
      </c>
      <c r="F1505" s="276">
        <v>2</v>
      </c>
      <c r="G1505" s="243">
        <f t="shared" si="24"/>
        <v>97</v>
      </c>
      <c r="H1505" s="244"/>
      <c r="I1505" s="71" t="e">
        <f>IF(COUNTIF((rName rData),H1505),"","Name Error!")</f>
        <v>#NAME?</v>
      </c>
    </row>
    <row r="1506" spans="2:9" s="126" customFormat="1" ht="15" customHeight="1" x14ac:dyDescent="0.25">
      <c r="B1506" s="271" t="s">
        <v>358</v>
      </c>
      <c r="C1506" s="272" t="s">
        <v>357</v>
      </c>
      <c r="D1506" s="275" t="s">
        <v>216</v>
      </c>
      <c r="E1506" s="275">
        <v>41492.653981481482</v>
      </c>
      <c r="F1506" s="276">
        <v>1</v>
      </c>
      <c r="G1506" s="243">
        <f t="shared" si="24"/>
        <v>97</v>
      </c>
      <c r="H1506" s="244"/>
      <c r="I1506" s="71" t="e">
        <f>IF(COUNTIF((rName rData),H1506),"","Name Error!")</f>
        <v>#NAME?</v>
      </c>
    </row>
    <row r="1507" spans="2:9" s="126" customFormat="1" ht="15" customHeight="1" x14ac:dyDescent="0.25">
      <c r="B1507" s="271" t="s">
        <v>354</v>
      </c>
      <c r="C1507" s="272" t="s">
        <v>353</v>
      </c>
      <c r="D1507" s="275" t="s">
        <v>216</v>
      </c>
      <c r="E1507" s="275">
        <v>41492.879178240742</v>
      </c>
      <c r="F1507" s="276">
        <v>1</v>
      </c>
      <c r="G1507" s="243">
        <f t="shared" si="24"/>
        <v>97</v>
      </c>
      <c r="H1507" s="244"/>
      <c r="I1507" s="71" t="e">
        <f>IF(COUNTIF((rName rData),H1507),"","Name Error!")</f>
        <v>#NAME?</v>
      </c>
    </row>
    <row r="1508" spans="2:9" s="126" customFormat="1" ht="15" customHeight="1" x14ac:dyDescent="0.25">
      <c r="B1508" s="271" t="s">
        <v>267</v>
      </c>
      <c r="C1508" s="272" t="s">
        <v>268</v>
      </c>
      <c r="D1508" s="275" t="s">
        <v>216</v>
      </c>
      <c r="E1508" s="275">
        <v>41493.32775462963</v>
      </c>
      <c r="F1508" s="276">
        <v>4</v>
      </c>
      <c r="G1508" s="243">
        <f t="shared" si="24"/>
        <v>97</v>
      </c>
      <c r="H1508" s="244"/>
      <c r="I1508" s="71" t="e">
        <f>IF(COUNTIF((rName rData),H1508),"","Name Error!")</f>
        <v>#NAME?</v>
      </c>
    </row>
    <row r="1509" spans="2:9" s="126" customFormat="1" ht="15" customHeight="1" x14ac:dyDescent="0.25">
      <c r="B1509" s="271" t="s">
        <v>358</v>
      </c>
      <c r="C1509" s="272" t="s">
        <v>357</v>
      </c>
      <c r="D1509" s="275" t="s">
        <v>216</v>
      </c>
      <c r="E1509" s="275">
        <v>41493.410243055558</v>
      </c>
      <c r="F1509" s="276">
        <v>2</v>
      </c>
      <c r="G1509" s="243">
        <f t="shared" si="24"/>
        <v>97</v>
      </c>
      <c r="H1509" s="244"/>
      <c r="I1509" s="71" t="e">
        <f>IF(COUNTIF((rName rData),H1509),"","Name Error!")</f>
        <v>#NAME?</v>
      </c>
    </row>
    <row r="1510" spans="2:9" s="126" customFormat="1" ht="15" customHeight="1" x14ac:dyDescent="0.25">
      <c r="B1510" s="271" t="s">
        <v>331</v>
      </c>
      <c r="C1510" s="272" t="s">
        <v>330</v>
      </c>
      <c r="D1510" s="275" t="s">
        <v>216</v>
      </c>
      <c r="E1510" s="275">
        <v>41493.539120370369</v>
      </c>
      <c r="F1510" s="276">
        <v>3</v>
      </c>
      <c r="G1510" s="243">
        <f t="shared" si="24"/>
        <v>97</v>
      </c>
      <c r="H1510" s="244"/>
      <c r="I1510" s="71" t="e">
        <f>IF(COUNTIF((rName rData),H1510),"","Name Error!")</f>
        <v>#NAME?</v>
      </c>
    </row>
    <row r="1511" spans="2:9" s="126" customFormat="1" ht="15" customHeight="1" x14ac:dyDescent="0.25">
      <c r="B1511" s="271" t="s">
        <v>371</v>
      </c>
      <c r="C1511" s="272" t="s">
        <v>370</v>
      </c>
      <c r="D1511" s="275" t="s">
        <v>216</v>
      </c>
      <c r="E1511" s="275">
        <v>41493.735011574077</v>
      </c>
      <c r="F1511" s="276">
        <v>1</v>
      </c>
      <c r="G1511" s="243">
        <f t="shared" si="24"/>
        <v>97</v>
      </c>
      <c r="H1511" s="244"/>
      <c r="I1511" s="71" t="e">
        <f>IF(COUNTIF((rName rData),H1511),"","Name Error!")</f>
        <v>#NAME?</v>
      </c>
    </row>
    <row r="1512" spans="2:9" s="126" customFormat="1" ht="15" customHeight="1" x14ac:dyDescent="0.25">
      <c r="B1512" s="271" t="s">
        <v>352</v>
      </c>
      <c r="C1512" s="272" t="s">
        <v>351</v>
      </c>
      <c r="D1512" s="275" t="s">
        <v>216</v>
      </c>
      <c r="E1512" s="275">
        <v>41493.787615740737</v>
      </c>
      <c r="F1512" s="276">
        <v>1</v>
      </c>
      <c r="G1512" s="243">
        <f t="shared" si="24"/>
        <v>97</v>
      </c>
      <c r="H1512" s="244"/>
      <c r="I1512" s="71" t="e">
        <f>IF(COUNTIF((rName rData),H1512),"","Name Error!")</f>
        <v>#NAME?</v>
      </c>
    </row>
    <row r="1513" spans="2:9" s="126" customFormat="1" ht="15" customHeight="1" x14ac:dyDescent="0.25">
      <c r="B1513" s="271" t="s">
        <v>365</v>
      </c>
      <c r="C1513" s="272" t="s">
        <v>364</v>
      </c>
      <c r="D1513" s="275" t="s">
        <v>216</v>
      </c>
      <c r="E1513" s="275">
        <v>41494.091562499998</v>
      </c>
      <c r="F1513" s="276">
        <v>2</v>
      </c>
      <c r="G1513" s="243">
        <f t="shared" si="24"/>
        <v>97</v>
      </c>
      <c r="H1513" s="244"/>
      <c r="I1513" s="71" t="e">
        <f>IF(COUNTIF((rName rData),H1513),"","Name Error!")</f>
        <v>#NAME?</v>
      </c>
    </row>
    <row r="1514" spans="2:9" s="126" customFormat="1" ht="15" customHeight="1" x14ac:dyDescent="0.25">
      <c r="B1514" s="271" t="s">
        <v>354</v>
      </c>
      <c r="C1514" s="272" t="s">
        <v>353</v>
      </c>
      <c r="D1514" s="275" t="s">
        <v>216</v>
      </c>
      <c r="E1514" s="275">
        <v>41494.213113425925</v>
      </c>
      <c r="F1514" s="276">
        <v>2</v>
      </c>
      <c r="G1514" s="243">
        <f t="shared" si="24"/>
        <v>97</v>
      </c>
      <c r="H1514" s="244"/>
      <c r="I1514" s="71" t="e">
        <f>IF(COUNTIF((rName rData),H1514),"","Name Error!")</f>
        <v>#NAME?</v>
      </c>
    </row>
    <row r="1515" spans="2:9" s="126" customFormat="1" ht="15" customHeight="1" x14ac:dyDescent="0.25">
      <c r="B1515" s="271" t="s">
        <v>331</v>
      </c>
      <c r="C1515" s="272" t="s">
        <v>330</v>
      </c>
      <c r="D1515" s="275" t="s">
        <v>216</v>
      </c>
      <c r="E1515" s="275">
        <v>41494.507534722223</v>
      </c>
      <c r="F1515" s="276">
        <v>1</v>
      </c>
      <c r="G1515" s="243">
        <f t="shared" si="24"/>
        <v>97</v>
      </c>
      <c r="H1515" s="244"/>
      <c r="I1515" s="71" t="e">
        <f>IF(COUNTIF((rName rData),H1515),"","Name Error!")</f>
        <v>#NAME?</v>
      </c>
    </row>
    <row r="1516" spans="2:9" s="126" customFormat="1" ht="15" customHeight="1" x14ac:dyDescent="0.25">
      <c r="B1516" s="271" t="s">
        <v>267</v>
      </c>
      <c r="C1516" s="272" t="s">
        <v>268</v>
      </c>
      <c r="D1516" s="275" t="s">
        <v>216</v>
      </c>
      <c r="E1516" s="275">
        <v>41494.758472222224</v>
      </c>
      <c r="F1516" s="276">
        <v>2</v>
      </c>
      <c r="G1516" s="243">
        <f t="shared" si="24"/>
        <v>97</v>
      </c>
      <c r="H1516" s="244"/>
      <c r="I1516" s="71" t="e">
        <f>IF(COUNTIF((rName rData),H1516),"","Name Error!")</f>
        <v>#NAME?</v>
      </c>
    </row>
    <row r="1517" spans="2:9" s="126" customFormat="1" ht="15" customHeight="1" x14ac:dyDescent="0.25">
      <c r="B1517" s="271" t="s">
        <v>358</v>
      </c>
      <c r="C1517" s="272" t="s">
        <v>357</v>
      </c>
      <c r="D1517" s="275" t="s">
        <v>216</v>
      </c>
      <c r="E1517" s="275">
        <v>41494.845173611109</v>
      </c>
      <c r="F1517" s="276">
        <v>1</v>
      </c>
      <c r="G1517" s="243">
        <f t="shared" si="24"/>
        <v>97</v>
      </c>
      <c r="H1517" s="244"/>
      <c r="I1517" s="71" t="e">
        <f>IF(COUNTIF((rName rData),H1517),"","Name Error!")</f>
        <v>#NAME?</v>
      </c>
    </row>
    <row r="1518" spans="2:9" s="126" customFormat="1" ht="15" customHeight="1" x14ac:dyDescent="0.25">
      <c r="B1518" s="271" t="s">
        <v>350</v>
      </c>
      <c r="C1518" s="272" t="s">
        <v>349</v>
      </c>
      <c r="D1518" s="275" t="s">
        <v>216</v>
      </c>
      <c r="E1518" s="275">
        <v>41494.851527777777</v>
      </c>
      <c r="F1518" s="276">
        <v>1</v>
      </c>
      <c r="G1518" s="243">
        <f t="shared" si="24"/>
        <v>97</v>
      </c>
      <c r="H1518" s="244"/>
      <c r="I1518" s="71" t="e">
        <f>IF(COUNTIF((rName rData),H1518),"","Name Error!")</f>
        <v>#NAME?</v>
      </c>
    </row>
    <row r="1519" spans="2:9" s="126" customFormat="1" ht="15" customHeight="1" x14ac:dyDescent="0.25">
      <c r="B1519" s="271" t="s">
        <v>354</v>
      </c>
      <c r="C1519" s="272" t="s">
        <v>353</v>
      </c>
      <c r="D1519" s="275" t="s">
        <v>216</v>
      </c>
      <c r="E1519" s="275">
        <v>41495.209918981483</v>
      </c>
      <c r="F1519" s="276">
        <v>1</v>
      </c>
      <c r="G1519" s="243">
        <f t="shared" si="24"/>
        <v>97</v>
      </c>
      <c r="H1519" s="244"/>
      <c r="I1519" s="71" t="e">
        <f>IF(COUNTIF((rName rData),H1519),"","Name Error!")</f>
        <v>#NAME?</v>
      </c>
    </row>
    <row r="1520" spans="2:9" s="126" customFormat="1" ht="15" customHeight="1" x14ac:dyDescent="0.25">
      <c r="B1520" s="271" t="s">
        <v>337</v>
      </c>
      <c r="C1520" s="272" t="s">
        <v>336</v>
      </c>
      <c r="D1520" s="275" t="s">
        <v>216</v>
      </c>
      <c r="E1520" s="275">
        <v>41495.47824074074</v>
      </c>
      <c r="F1520" s="276">
        <v>1</v>
      </c>
      <c r="G1520" s="243">
        <f t="shared" si="24"/>
        <v>97</v>
      </c>
      <c r="H1520" s="244"/>
      <c r="I1520" s="71" t="e">
        <f>IF(COUNTIF((rName rData),H1520),"","Name Error!")</f>
        <v>#NAME?</v>
      </c>
    </row>
    <row r="1521" spans="2:9" s="126" customFormat="1" ht="15" customHeight="1" x14ac:dyDescent="0.25">
      <c r="B1521" s="271" t="s">
        <v>333</v>
      </c>
      <c r="C1521" s="272" t="s">
        <v>332</v>
      </c>
      <c r="D1521" s="275" t="s">
        <v>216</v>
      </c>
      <c r="E1521" s="275">
        <v>41495.520844907405</v>
      </c>
      <c r="F1521" s="276">
        <v>3</v>
      </c>
      <c r="G1521" s="243">
        <f t="shared" si="24"/>
        <v>97</v>
      </c>
      <c r="H1521" s="244"/>
      <c r="I1521" s="71" t="e">
        <f>IF(COUNTIF((rName rData),H1521),"","Name Error!")</f>
        <v>#NAME?</v>
      </c>
    </row>
    <row r="1522" spans="2:9" s="126" customFormat="1" ht="15" customHeight="1" x14ac:dyDescent="0.25">
      <c r="B1522" s="271" t="s">
        <v>324</v>
      </c>
      <c r="C1522" s="272" t="s">
        <v>323</v>
      </c>
      <c r="D1522" s="275" t="s">
        <v>216</v>
      </c>
      <c r="E1522" s="275">
        <v>41495.521562499998</v>
      </c>
      <c r="F1522" s="276">
        <v>1</v>
      </c>
      <c r="G1522" s="243">
        <f t="shared" si="24"/>
        <v>97</v>
      </c>
      <c r="H1522" s="244"/>
      <c r="I1522" s="71" t="e">
        <f>IF(COUNTIF((rName rData),H1522),"","Name Error!")</f>
        <v>#NAME?</v>
      </c>
    </row>
    <row r="1523" spans="2:9" s="126" customFormat="1" ht="15" customHeight="1" x14ac:dyDescent="0.25">
      <c r="B1523" s="271" t="s">
        <v>358</v>
      </c>
      <c r="C1523" s="272" t="s">
        <v>357</v>
      </c>
      <c r="D1523" s="275" t="s">
        <v>216</v>
      </c>
      <c r="E1523" s="275">
        <v>41495.535243055558</v>
      </c>
      <c r="F1523" s="276">
        <v>2</v>
      </c>
      <c r="G1523" s="243">
        <f t="shared" si="24"/>
        <v>97</v>
      </c>
      <c r="H1523" s="244"/>
      <c r="I1523" s="71" t="e">
        <f>IF(COUNTIF((rName rData),H1523),"","Name Error!")</f>
        <v>#NAME?</v>
      </c>
    </row>
    <row r="1524" spans="2:9" s="126" customFormat="1" ht="15" customHeight="1" x14ac:dyDescent="0.25">
      <c r="B1524" s="271" t="s">
        <v>267</v>
      </c>
      <c r="C1524" s="272" t="s">
        <v>268</v>
      </c>
      <c r="D1524" s="275" t="s">
        <v>216</v>
      </c>
      <c r="E1524" s="275">
        <v>41495.776863425926</v>
      </c>
      <c r="F1524" s="276">
        <v>1</v>
      </c>
      <c r="G1524" s="243">
        <f t="shared" si="24"/>
        <v>97</v>
      </c>
      <c r="H1524" s="244"/>
      <c r="I1524" s="71" t="e">
        <f>IF(COUNTIF((rName rData),H1524),"","Name Error!")</f>
        <v>#NAME?</v>
      </c>
    </row>
    <row r="1525" spans="2:9" s="126" customFormat="1" ht="15" customHeight="1" x14ac:dyDescent="0.25">
      <c r="B1525" s="271" t="s">
        <v>322</v>
      </c>
      <c r="C1525" s="272" t="s">
        <v>321</v>
      </c>
      <c r="D1525" s="275" t="s">
        <v>216</v>
      </c>
      <c r="E1525" s="275">
        <v>41495.948796296296</v>
      </c>
      <c r="F1525" s="276">
        <v>2</v>
      </c>
      <c r="G1525" s="243">
        <f t="shared" si="24"/>
        <v>97</v>
      </c>
      <c r="H1525" s="244"/>
      <c r="I1525" s="71" t="e">
        <f>IF(COUNTIF((rName rData),H1525),"","Name Error!")</f>
        <v>#NAME?</v>
      </c>
    </row>
    <row r="1526" spans="2:9" s="126" customFormat="1" ht="15" customHeight="1" x14ac:dyDescent="0.25">
      <c r="B1526" s="271" t="s">
        <v>365</v>
      </c>
      <c r="C1526" s="272" t="s">
        <v>364</v>
      </c>
      <c r="D1526" s="275" t="s">
        <v>216</v>
      </c>
      <c r="E1526" s="275">
        <v>41496.16715277778</v>
      </c>
      <c r="F1526" s="276">
        <v>2</v>
      </c>
      <c r="G1526" s="243">
        <f t="shared" si="24"/>
        <v>98</v>
      </c>
      <c r="H1526" s="244"/>
      <c r="I1526" s="71" t="e">
        <f>IF(COUNTIF((rName rData),H1526),"","Name Error!")</f>
        <v>#NAME?</v>
      </c>
    </row>
    <row r="1527" spans="2:9" s="126" customFormat="1" ht="15" customHeight="1" x14ac:dyDescent="0.25">
      <c r="B1527" s="271" t="s">
        <v>356</v>
      </c>
      <c r="C1527" s="272" t="s">
        <v>355</v>
      </c>
      <c r="D1527" s="275" t="s">
        <v>216</v>
      </c>
      <c r="E1527" s="275">
        <v>41496.347638888888</v>
      </c>
      <c r="F1527" s="276">
        <v>4</v>
      </c>
      <c r="G1527" s="243">
        <f t="shared" si="24"/>
        <v>98</v>
      </c>
      <c r="H1527" s="244"/>
      <c r="I1527" s="71" t="e">
        <f>IF(COUNTIF((rName rData),H1527),"","Name Error!")</f>
        <v>#NAME?</v>
      </c>
    </row>
    <row r="1528" spans="2:9" s="126" customFormat="1" ht="15" customHeight="1" x14ac:dyDescent="0.25">
      <c r="B1528" s="271" t="s">
        <v>267</v>
      </c>
      <c r="C1528" s="272" t="s">
        <v>268</v>
      </c>
      <c r="D1528" s="275" t="s">
        <v>216</v>
      </c>
      <c r="E1528" s="275">
        <v>41496.448587962965</v>
      </c>
      <c r="F1528" s="276">
        <v>3</v>
      </c>
      <c r="G1528" s="243">
        <f t="shared" si="24"/>
        <v>98</v>
      </c>
      <c r="H1528" s="244"/>
      <c r="I1528" s="71" t="e">
        <f>IF(COUNTIF((rName rData),H1528),"","Name Error!")</f>
        <v>#NAME?</v>
      </c>
    </row>
    <row r="1529" spans="2:9" s="126" customFormat="1" ht="15" customHeight="1" x14ac:dyDescent="0.25">
      <c r="B1529" s="271" t="s">
        <v>358</v>
      </c>
      <c r="C1529" s="272" t="s">
        <v>357</v>
      </c>
      <c r="D1529" s="275" t="s">
        <v>216</v>
      </c>
      <c r="E1529" s="275">
        <v>41496.497291666667</v>
      </c>
      <c r="F1529" s="276">
        <v>1</v>
      </c>
      <c r="G1529" s="243">
        <f t="shared" si="24"/>
        <v>98</v>
      </c>
      <c r="H1529" s="244"/>
      <c r="I1529" s="71" t="e">
        <f>IF(COUNTIF((rName rData),H1529),"","Name Error!")</f>
        <v>#NAME?</v>
      </c>
    </row>
    <row r="1530" spans="2:9" s="126" customFormat="1" ht="15" customHeight="1" x14ac:dyDescent="0.25">
      <c r="B1530" s="271" t="s">
        <v>339</v>
      </c>
      <c r="C1530" s="272" t="s">
        <v>338</v>
      </c>
      <c r="D1530" s="275" t="s">
        <v>216</v>
      </c>
      <c r="E1530" s="275">
        <v>41496.540219907409</v>
      </c>
      <c r="F1530" s="276">
        <v>1</v>
      </c>
      <c r="G1530" s="243">
        <f t="shared" si="24"/>
        <v>98</v>
      </c>
      <c r="H1530" s="244"/>
      <c r="I1530" s="71" t="e">
        <f>IF(COUNTIF((rName rData),H1530),"","Name Error!")</f>
        <v>#NAME?</v>
      </c>
    </row>
    <row r="1531" spans="2:9" s="126" customFormat="1" ht="15" customHeight="1" x14ac:dyDescent="0.25">
      <c r="B1531" s="271" t="s">
        <v>354</v>
      </c>
      <c r="C1531" s="272" t="s">
        <v>353</v>
      </c>
      <c r="D1531" s="275" t="s">
        <v>216</v>
      </c>
      <c r="E1531" s="275">
        <v>41496.627893518518</v>
      </c>
      <c r="F1531" s="276">
        <v>7</v>
      </c>
      <c r="G1531" s="243">
        <f t="shared" si="24"/>
        <v>98</v>
      </c>
      <c r="H1531" s="244"/>
      <c r="I1531" s="71" t="e">
        <f>IF(COUNTIF((rName rData),H1531),"","Name Error!")</f>
        <v>#NAME?</v>
      </c>
    </row>
    <row r="1532" spans="2:9" s="126" customFormat="1" ht="15" customHeight="1" x14ac:dyDescent="0.25">
      <c r="B1532" s="271" t="s">
        <v>331</v>
      </c>
      <c r="C1532" s="272" t="s">
        <v>330</v>
      </c>
      <c r="D1532" s="275" t="s">
        <v>216</v>
      </c>
      <c r="E1532" s="275">
        <v>41496.656319444446</v>
      </c>
      <c r="F1532" s="276">
        <v>1</v>
      </c>
      <c r="G1532" s="243">
        <f t="shared" si="24"/>
        <v>98</v>
      </c>
      <c r="H1532" s="244"/>
      <c r="I1532" s="71" t="e">
        <f>IF(COUNTIF((rName rData),H1532),"","Name Error!")</f>
        <v>#NAME?</v>
      </c>
    </row>
    <row r="1533" spans="2:9" s="126" customFormat="1" ht="15" customHeight="1" x14ac:dyDescent="0.25">
      <c r="B1533" s="271" t="s">
        <v>367</v>
      </c>
      <c r="C1533" s="272" t="s">
        <v>366</v>
      </c>
      <c r="D1533" s="275" t="s">
        <v>216</v>
      </c>
      <c r="E1533" s="275">
        <v>41496.947696759256</v>
      </c>
      <c r="F1533" s="276">
        <v>1</v>
      </c>
      <c r="G1533" s="243">
        <f t="shared" si="24"/>
        <v>98</v>
      </c>
      <c r="H1533" s="244"/>
      <c r="I1533" s="71" t="e">
        <f>IF(COUNTIF((rName rData),H1533),"","Name Error!")</f>
        <v>#NAME?</v>
      </c>
    </row>
    <row r="1534" spans="2:9" s="126" customFormat="1" ht="15" customHeight="1" x14ac:dyDescent="0.25">
      <c r="B1534" s="271" t="s">
        <v>324</v>
      </c>
      <c r="C1534" s="272" t="s">
        <v>323</v>
      </c>
      <c r="D1534" s="275" t="s">
        <v>216</v>
      </c>
      <c r="E1534" s="275">
        <v>41496.963703703703</v>
      </c>
      <c r="F1534" s="276">
        <v>1</v>
      </c>
      <c r="G1534" s="243">
        <f t="shared" si="24"/>
        <v>98</v>
      </c>
      <c r="H1534" s="244"/>
      <c r="I1534" s="71" t="e">
        <f>IF(COUNTIF((rName rData),H1534),"","Name Error!")</f>
        <v>#NAME?</v>
      </c>
    </row>
    <row r="1535" spans="2:9" s="126" customFormat="1" ht="15" customHeight="1" x14ac:dyDescent="0.25">
      <c r="B1535" s="271" t="s">
        <v>362</v>
      </c>
      <c r="C1535" s="272" t="s">
        <v>361</v>
      </c>
      <c r="D1535" s="275" t="s">
        <v>216</v>
      </c>
      <c r="E1535" s="275">
        <v>41496.966145833336</v>
      </c>
      <c r="F1535" s="276">
        <v>1</v>
      </c>
      <c r="G1535" s="243">
        <f t="shared" si="24"/>
        <v>98</v>
      </c>
      <c r="H1535" s="244"/>
      <c r="I1535" s="71" t="e">
        <f>IF(COUNTIF((rName rData),H1535),"","Name Error!")</f>
        <v>#NAME?</v>
      </c>
    </row>
    <row r="1536" spans="2:9" s="126" customFormat="1" ht="15" customHeight="1" x14ac:dyDescent="0.25">
      <c r="B1536" s="271" t="s">
        <v>337</v>
      </c>
      <c r="C1536" s="272" t="s">
        <v>336</v>
      </c>
      <c r="D1536" s="275" t="s">
        <v>216</v>
      </c>
      <c r="E1536" s="275">
        <v>41497.001446759263</v>
      </c>
      <c r="F1536" s="276">
        <v>7</v>
      </c>
      <c r="G1536" s="243">
        <f t="shared" si="24"/>
        <v>98</v>
      </c>
      <c r="H1536" s="244"/>
      <c r="I1536" s="71" t="e">
        <f>IF(COUNTIF((rName rData),H1536),"","Name Error!")</f>
        <v>#NAME?</v>
      </c>
    </row>
    <row r="1537" spans="2:9" s="126" customFormat="1" ht="15" customHeight="1" x14ac:dyDescent="0.25">
      <c r="B1537" s="271" t="s">
        <v>339</v>
      </c>
      <c r="C1537" s="272" t="s">
        <v>338</v>
      </c>
      <c r="D1537" s="275" t="s">
        <v>216</v>
      </c>
      <c r="E1537" s="275">
        <v>41497.055173611108</v>
      </c>
      <c r="F1537" s="276">
        <v>1</v>
      </c>
      <c r="G1537" s="243">
        <f t="shared" si="24"/>
        <v>98</v>
      </c>
      <c r="H1537" s="244"/>
      <c r="I1537" s="71" t="e">
        <f>IF(COUNTIF((rName rData),H1537),"","Name Error!")</f>
        <v>#NAME?</v>
      </c>
    </row>
    <row r="1538" spans="2:9" s="126" customFormat="1" ht="15" customHeight="1" x14ac:dyDescent="0.25">
      <c r="B1538" s="271" t="s">
        <v>328</v>
      </c>
      <c r="C1538" s="272" t="s">
        <v>327</v>
      </c>
      <c r="D1538" s="275" t="s">
        <v>216</v>
      </c>
      <c r="E1538" s="275">
        <v>41497.114629629628</v>
      </c>
      <c r="F1538" s="276">
        <v>3</v>
      </c>
      <c r="G1538" s="243">
        <f t="shared" si="24"/>
        <v>98</v>
      </c>
      <c r="H1538" s="244"/>
      <c r="I1538" s="71" t="e">
        <f>IF(COUNTIF((rName rData),H1538),"","Name Error!")</f>
        <v>#NAME?</v>
      </c>
    </row>
    <row r="1539" spans="2:9" s="126" customFormat="1" ht="15" customHeight="1" x14ac:dyDescent="0.25">
      <c r="B1539" s="271" t="s">
        <v>362</v>
      </c>
      <c r="C1539" s="272" t="s">
        <v>361</v>
      </c>
      <c r="D1539" s="275" t="s">
        <v>216</v>
      </c>
      <c r="E1539" s="275">
        <v>41497.150439814817</v>
      </c>
      <c r="F1539" s="276">
        <v>4</v>
      </c>
      <c r="G1539" s="243">
        <f t="shared" si="24"/>
        <v>98</v>
      </c>
      <c r="H1539" s="244"/>
      <c r="I1539" s="71" t="e">
        <f>IF(COUNTIF((rName rData),H1539),"","Name Error!")</f>
        <v>#NAME?</v>
      </c>
    </row>
    <row r="1540" spans="2:9" s="126" customFormat="1" ht="15" customHeight="1" x14ac:dyDescent="0.25">
      <c r="B1540" s="271" t="s">
        <v>354</v>
      </c>
      <c r="C1540" s="272" t="s">
        <v>353</v>
      </c>
      <c r="D1540" s="275" t="s">
        <v>216</v>
      </c>
      <c r="E1540" s="275">
        <v>41497.245879629627</v>
      </c>
      <c r="F1540" s="276">
        <v>6</v>
      </c>
      <c r="G1540" s="243">
        <f t="shared" si="24"/>
        <v>98</v>
      </c>
      <c r="H1540" s="244"/>
      <c r="I1540" s="71" t="e">
        <f>IF(COUNTIF((rName rData),H1540),"","Name Error!")</f>
        <v>#NAME?</v>
      </c>
    </row>
    <row r="1541" spans="2:9" s="126" customFormat="1" ht="15" customHeight="1" x14ac:dyDescent="0.25">
      <c r="B1541" s="271" t="s">
        <v>352</v>
      </c>
      <c r="C1541" s="272" t="s">
        <v>351</v>
      </c>
      <c r="D1541" s="275" t="s">
        <v>216</v>
      </c>
      <c r="E1541" s="275">
        <v>41497.422025462962</v>
      </c>
      <c r="F1541" s="276">
        <v>5</v>
      </c>
      <c r="G1541" s="243">
        <f t="shared" si="24"/>
        <v>98</v>
      </c>
      <c r="H1541" s="244"/>
      <c r="I1541" s="71" t="e">
        <f>IF(COUNTIF((rName rData),H1541),"","Name Error!")</f>
        <v>#NAME?</v>
      </c>
    </row>
    <row r="1542" spans="2:9" s="126" customFormat="1" ht="15" customHeight="1" x14ac:dyDescent="0.25">
      <c r="B1542" s="271" t="s">
        <v>356</v>
      </c>
      <c r="C1542" s="272" t="s">
        <v>355</v>
      </c>
      <c r="D1542" s="275" t="s">
        <v>216</v>
      </c>
      <c r="E1542" s="275">
        <v>41497.462314814817</v>
      </c>
      <c r="F1542" s="276">
        <v>5</v>
      </c>
      <c r="G1542" s="243">
        <f t="shared" si="24"/>
        <v>98</v>
      </c>
      <c r="H1542" s="244"/>
      <c r="I1542" s="71" t="e">
        <f>IF(COUNTIF((rName rData),H1542),"","Name Error!")</f>
        <v>#NAME?</v>
      </c>
    </row>
    <row r="1543" spans="2:9" s="126" customFormat="1" ht="15" customHeight="1" x14ac:dyDescent="0.25">
      <c r="B1543" s="271" t="s">
        <v>267</v>
      </c>
      <c r="C1543" s="272" t="s">
        <v>268</v>
      </c>
      <c r="D1543" s="275" t="s">
        <v>216</v>
      </c>
      <c r="E1543" s="275">
        <v>41497.52721064815</v>
      </c>
      <c r="F1543" s="276">
        <v>4</v>
      </c>
      <c r="G1543" s="243">
        <f t="shared" si="24"/>
        <v>98</v>
      </c>
      <c r="H1543" s="244"/>
      <c r="I1543" s="71" t="e">
        <f>IF(COUNTIF((rName rData),H1543),"","Name Error!")</f>
        <v>#NAME?</v>
      </c>
    </row>
    <row r="1544" spans="2:9" s="126" customFormat="1" ht="15" customHeight="1" x14ac:dyDescent="0.25">
      <c r="B1544" s="271" t="s">
        <v>279</v>
      </c>
      <c r="C1544" s="272" t="s">
        <v>280</v>
      </c>
      <c r="D1544" s="275" t="s">
        <v>216</v>
      </c>
      <c r="E1544" s="275">
        <v>41497.528425925928</v>
      </c>
      <c r="F1544" s="276">
        <v>5</v>
      </c>
      <c r="G1544" s="243">
        <f t="shared" si="24"/>
        <v>98</v>
      </c>
      <c r="H1544" s="244"/>
      <c r="I1544" s="71" t="e">
        <f>IF(COUNTIF((rName rData),H1544),"","Name Error!")</f>
        <v>#NAME?</v>
      </c>
    </row>
    <row r="1545" spans="2:9" s="126" customFormat="1" ht="15" customHeight="1" x14ac:dyDescent="0.25">
      <c r="B1545" s="271" t="s">
        <v>320</v>
      </c>
      <c r="C1545" s="272" t="s">
        <v>319</v>
      </c>
      <c r="D1545" s="275" t="s">
        <v>216</v>
      </c>
      <c r="E1545" s="275">
        <v>41497.54215277778</v>
      </c>
      <c r="F1545" s="276">
        <v>1</v>
      </c>
      <c r="G1545" s="243">
        <f t="shared" si="24"/>
        <v>98</v>
      </c>
      <c r="H1545" s="244"/>
      <c r="I1545" s="71" t="e">
        <f>IF(COUNTIF((rName rData),H1545),"","Name Error!")</f>
        <v>#NAME?</v>
      </c>
    </row>
    <row r="1546" spans="2:9" s="126" customFormat="1" ht="15" customHeight="1" x14ac:dyDescent="0.25">
      <c r="B1546" s="271" t="s">
        <v>350</v>
      </c>
      <c r="C1546" s="272" t="s">
        <v>349</v>
      </c>
      <c r="D1546" s="275" t="s">
        <v>216</v>
      </c>
      <c r="E1546" s="275">
        <v>41497.575682870367</v>
      </c>
      <c r="F1546" s="276">
        <v>2</v>
      </c>
      <c r="G1546" s="243">
        <f t="shared" ref="G1546:G1609" si="25">TRUNC((E1546-start)/7)+1</f>
        <v>98</v>
      </c>
      <c r="H1546" s="244"/>
      <c r="I1546" s="71" t="e">
        <f>IF(COUNTIF((rName rData),H1546),"","Name Error!")</f>
        <v>#NAME?</v>
      </c>
    </row>
    <row r="1547" spans="2:9" s="126" customFormat="1" ht="15" customHeight="1" x14ac:dyDescent="0.25">
      <c r="B1547" s="271" t="s">
        <v>367</v>
      </c>
      <c r="C1547" s="272" t="s">
        <v>366</v>
      </c>
      <c r="D1547" s="275" t="s">
        <v>216</v>
      </c>
      <c r="E1547" s="275">
        <v>41497.619571759256</v>
      </c>
      <c r="F1547" s="276">
        <v>2</v>
      </c>
      <c r="G1547" s="243">
        <f t="shared" si="25"/>
        <v>98</v>
      </c>
      <c r="H1547" s="244"/>
      <c r="I1547" s="71" t="e">
        <f>IF(COUNTIF((rName rData),H1547),"","Name Error!")</f>
        <v>#NAME?</v>
      </c>
    </row>
    <row r="1548" spans="2:9" s="126" customFormat="1" ht="15" customHeight="1" x14ac:dyDescent="0.25">
      <c r="B1548" s="271" t="s">
        <v>358</v>
      </c>
      <c r="C1548" s="272" t="s">
        <v>357</v>
      </c>
      <c r="D1548" s="275" t="s">
        <v>216</v>
      </c>
      <c r="E1548" s="275">
        <v>41497.846747685187</v>
      </c>
      <c r="F1548" s="276">
        <v>1</v>
      </c>
      <c r="G1548" s="243">
        <f t="shared" si="25"/>
        <v>98</v>
      </c>
      <c r="H1548" s="244"/>
      <c r="I1548" s="71" t="e">
        <f>IF(COUNTIF((rName rData),H1548),"","Name Error!")</f>
        <v>#NAME?</v>
      </c>
    </row>
    <row r="1549" spans="2:9" s="126" customFormat="1" ht="15" customHeight="1" x14ac:dyDescent="0.25">
      <c r="B1549" s="271" t="s">
        <v>322</v>
      </c>
      <c r="C1549" s="272" t="s">
        <v>321</v>
      </c>
      <c r="D1549" s="275" t="s">
        <v>216</v>
      </c>
      <c r="E1549" s="275">
        <v>41497.856886574074</v>
      </c>
      <c r="F1549" s="276">
        <v>1</v>
      </c>
      <c r="G1549" s="243">
        <f t="shared" si="25"/>
        <v>98</v>
      </c>
      <c r="H1549" s="244"/>
      <c r="I1549" s="71" t="e">
        <f>IF(COUNTIF((rName rData),H1549),"","Name Error!")</f>
        <v>#NAME?</v>
      </c>
    </row>
    <row r="1550" spans="2:9" s="126" customFormat="1" ht="15" customHeight="1" x14ac:dyDescent="0.25">
      <c r="B1550" s="271" t="s">
        <v>324</v>
      </c>
      <c r="C1550" s="272" t="s">
        <v>323</v>
      </c>
      <c r="D1550" s="275" t="s">
        <v>216</v>
      </c>
      <c r="E1550" s="275">
        <v>41497.940787037034</v>
      </c>
      <c r="F1550" s="276">
        <v>1</v>
      </c>
      <c r="G1550" s="243">
        <f t="shared" si="25"/>
        <v>98</v>
      </c>
      <c r="H1550" s="244"/>
      <c r="I1550" s="71" t="e">
        <f>IF(COUNTIF((rName rData),H1550),"","Name Error!")</f>
        <v>#NAME?</v>
      </c>
    </row>
    <row r="1551" spans="2:9" s="126" customFormat="1" ht="15" customHeight="1" x14ac:dyDescent="0.25">
      <c r="B1551" s="271" t="s">
        <v>365</v>
      </c>
      <c r="C1551" s="272" t="s">
        <v>364</v>
      </c>
      <c r="D1551" s="275" t="s">
        <v>216</v>
      </c>
      <c r="E1551" s="275">
        <v>41497.955393518518</v>
      </c>
      <c r="F1551" s="276">
        <v>1</v>
      </c>
      <c r="G1551" s="243">
        <f t="shared" si="25"/>
        <v>98</v>
      </c>
      <c r="H1551" s="244"/>
      <c r="I1551" s="71" t="e">
        <f>IF(COUNTIF((rName rData),H1551),"","Name Error!")</f>
        <v>#NAME?</v>
      </c>
    </row>
    <row r="1552" spans="2:9" s="126" customFormat="1" ht="15" customHeight="1" x14ac:dyDescent="0.25">
      <c r="B1552" s="271" t="s">
        <v>279</v>
      </c>
      <c r="C1552" s="272" t="s">
        <v>280</v>
      </c>
      <c r="D1552" s="275" t="s">
        <v>216</v>
      </c>
      <c r="E1552" s="275">
        <v>41498.109942129631</v>
      </c>
      <c r="F1552" s="276">
        <v>2</v>
      </c>
      <c r="G1552" s="243">
        <f t="shared" si="25"/>
        <v>98</v>
      </c>
      <c r="H1552" s="244"/>
      <c r="I1552" s="71" t="e">
        <f>IF(COUNTIF((rName rData),H1552),"","Name Error!")</f>
        <v>#NAME?</v>
      </c>
    </row>
    <row r="1553" spans="2:9" s="126" customFormat="1" ht="15" customHeight="1" x14ac:dyDescent="0.25">
      <c r="B1553" s="271" t="s">
        <v>365</v>
      </c>
      <c r="C1553" s="272" t="s">
        <v>364</v>
      </c>
      <c r="D1553" s="275" t="s">
        <v>216</v>
      </c>
      <c r="E1553" s="275">
        <v>41498.351342592592</v>
      </c>
      <c r="F1553" s="276">
        <v>1</v>
      </c>
      <c r="G1553" s="243">
        <f t="shared" si="25"/>
        <v>98</v>
      </c>
      <c r="H1553" s="244"/>
      <c r="I1553" s="71" t="e">
        <f>IF(COUNTIF((rName rData),H1553),"","Name Error!")</f>
        <v>#NAME?</v>
      </c>
    </row>
    <row r="1554" spans="2:9" s="126" customFormat="1" ht="15" customHeight="1" x14ac:dyDescent="0.25">
      <c r="B1554" s="271" t="s">
        <v>356</v>
      </c>
      <c r="C1554" s="272" t="s">
        <v>355</v>
      </c>
      <c r="D1554" s="275" t="s">
        <v>216</v>
      </c>
      <c r="E1554" s="275">
        <v>41498.471817129626</v>
      </c>
      <c r="F1554" s="276">
        <v>1</v>
      </c>
      <c r="G1554" s="243">
        <f t="shared" si="25"/>
        <v>98</v>
      </c>
      <c r="H1554" s="244"/>
      <c r="I1554" s="71" t="e">
        <f>IF(COUNTIF((rName rData),H1554),"","Name Error!")</f>
        <v>#NAME?</v>
      </c>
    </row>
    <row r="1555" spans="2:9" s="126" customFormat="1" ht="15" customHeight="1" x14ac:dyDescent="0.25">
      <c r="B1555" s="271" t="s">
        <v>371</v>
      </c>
      <c r="C1555" s="272" t="s">
        <v>370</v>
      </c>
      <c r="D1555" s="275" t="s">
        <v>216</v>
      </c>
      <c r="E1555" s="275">
        <v>41498.500601851854</v>
      </c>
      <c r="F1555" s="276">
        <v>4</v>
      </c>
      <c r="G1555" s="243">
        <f t="shared" si="25"/>
        <v>98</v>
      </c>
      <c r="H1555" s="244"/>
      <c r="I1555" s="71" t="e">
        <f>IF(COUNTIF((rName rData),H1555),"","Name Error!")</f>
        <v>#NAME?</v>
      </c>
    </row>
    <row r="1556" spans="2:9" s="126" customFormat="1" ht="15" customHeight="1" x14ac:dyDescent="0.25">
      <c r="B1556" s="271" t="s">
        <v>337</v>
      </c>
      <c r="C1556" s="272" t="s">
        <v>336</v>
      </c>
      <c r="D1556" s="275" t="s">
        <v>216</v>
      </c>
      <c r="E1556" s="275">
        <v>41498.517372685186</v>
      </c>
      <c r="F1556" s="276">
        <v>1</v>
      </c>
      <c r="G1556" s="243">
        <f t="shared" si="25"/>
        <v>98</v>
      </c>
      <c r="H1556" s="244"/>
      <c r="I1556" s="71" t="e">
        <f>IF(COUNTIF((rName rData),H1556),"","Name Error!")</f>
        <v>#NAME?</v>
      </c>
    </row>
    <row r="1557" spans="2:9" s="126" customFormat="1" ht="15" customHeight="1" x14ac:dyDescent="0.25">
      <c r="B1557" s="271" t="s">
        <v>339</v>
      </c>
      <c r="C1557" s="272" t="s">
        <v>338</v>
      </c>
      <c r="D1557" s="275" t="s">
        <v>216</v>
      </c>
      <c r="E1557" s="275">
        <v>41498.863333333335</v>
      </c>
      <c r="F1557" s="276">
        <v>1</v>
      </c>
      <c r="G1557" s="243">
        <f t="shared" si="25"/>
        <v>98</v>
      </c>
      <c r="H1557" s="244"/>
      <c r="I1557" s="71" t="e">
        <f>IF(COUNTIF((rName rData),H1557),"","Name Error!")</f>
        <v>#NAME?</v>
      </c>
    </row>
    <row r="1558" spans="2:9" s="126" customFormat="1" ht="15" customHeight="1" x14ac:dyDescent="0.25">
      <c r="B1558" s="271" t="s">
        <v>354</v>
      </c>
      <c r="C1558" s="272" t="s">
        <v>353</v>
      </c>
      <c r="D1558" s="275" t="s">
        <v>216</v>
      </c>
      <c r="E1558" s="275">
        <v>41498.870937500003</v>
      </c>
      <c r="F1558" s="276">
        <v>1</v>
      </c>
      <c r="G1558" s="243">
        <f t="shared" si="25"/>
        <v>98</v>
      </c>
      <c r="H1558" s="244"/>
      <c r="I1558" s="71" t="e">
        <f>IF(COUNTIF((rName rData),H1558),"","Name Error!")</f>
        <v>#NAME?</v>
      </c>
    </row>
    <row r="1559" spans="2:9" s="126" customFormat="1" ht="15" customHeight="1" x14ac:dyDescent="0.25">
      <c r="B1559" s="271" t="s">
        <v>358</v>
      </c>
      <c r="C1559" s="272" t="s">
        <v>357</v>
      </c>
      <c r="D1559" s="275" t="s">
        <v>216</v>
      </c>
      <c r="E1559" s="275">
        <v>41498.874872685185</v>
      </c>
      <c r="F1559" s="276">
        <v>1</v>
      </c>
      <c r="G1559" s="243">
        <f t="shared" si="25"/>
        <v>98</v>
      </c>
      <c r="H1559" s="244"/>
      <c r="I1559" s="71" t="e">
        <f>IF(COUNTIF((rName rData),H1559),"","Name Error!")</f>
        <v>#NAME?</v>
      </c>
    </row>
    <row r="1560" spans="2:9" s="126" customFormat="1" ht="15" customHeight="1" x14ac:dyDescent="0.25">
      <c r="B1560" s="271" t="s">
        <v>267</v>
      </c>
      <c r="C1560" s="272" t="s">
        <v>268</v>
      </c>
      <c r="D1560" s="275" t="s">
        <v>216</v>
      </c>
      <c r="E1560" s="275">
        <v>41498.875717592593</v>
      </c>
      <c r="F1560" s="276">
        <v>1</v>
      </c>
      <c r="G1560" s="243">
        <f t="shared" si="25"/>
        <v>98</v>
      </c>
      <c r="H1560" s="244"/>
      <c r="I1560" s="71" t="e">
        <f>IF(COUNTIF((rName rData),H1560),"","Name Error!")</f>
        <v>#NAME?</v>
      </c>
    </row>
    <row r="1561" spans="2:9" s="126" customFormat="1" ht="15" customHeight="1" x14ac:dyDescent="0.25">
      <c r="B1561" s="271" t="s">
        <v>341</v>
      </c>
      <c r="C1561" s="272" t="s">
        <v>340</v>
      </c>
      <c r="D1561" s="275" t="s">
        <v>216</v>
      </c>
      <c r="E1561" s="275">
        <v>41498.914849537039</v>
      </c>
      <c r="F1561" s="276">
        <v>1</v>
      </c>
      <c r="G1561" s="243">
        <f t="shared" si="25"/>
        <v>98</v>
      </c>
      <c r="H1561" s="244"/>
      <c r="I1561" s="71" t="e">
        <f>IF(COUNTIF((rName rData),H1561),"","Name Error!")</f>
        <v>#NAME?</v>
      </c>
    </row>
    <row r="1562" spans="2:9" s="126" customFormat="1" ht="15" customHeight="1" x14ac:dyDescent="0.25">
      <c r="B1562" s="271" t="s">
        <v>335</v>
      </c>
      <c r="C1562" s="272" t="s">
        <v>334</v>
      </c>
      <c r="D1562" s="275" t="s">
        <v>216</v>
      </c>
      <c r="E1562" s="275">
        <v>41498.917719907404</v>
      </c>
      <c r="F1562" s="276">
        <v>1</v>
      </c>
      <c r="G1562" s="243">
        <f t="shared" si="25"/>
        <v>98</v>
      </c>
      <c r="H1562" s="244"/>
      <c r="I1562" s="71" t="e">
        <f>IF(COUNTIF((rName rData),H1562),"","Name Error!")</f>
        <v>#NAME?</v>
      </c>
    </row>
    <row r="1563" spans="2:9" s="126" customFormat="1" ht="15" customHeight="1" x14ac:dyDescent="0.25">
      <c r="B1563" s="271" t="s">
        <v>322</v>
      </c>
      <c r="C1563" s="272" t="s">
        <v>321</v>
      </c>
      <c r="D1563" s="275" t="s">
        <v>216</v>
      </c>
      <c r="E1563" s="275">
        <v>41498.949282407404</v>
      </c>
      <c r="F1563" s="276">
        <v>1</v>
      </c>
      <c r="G1563" s="243">
        <f t="shared" si="25"/>
        <v>98</v>
      </c>
      <c r="H1563" s="244"/>
      <c r="I1563" s="71" t="e">
        <f>IF(COUNTIF((rName rData),H1563),"","Name Error!")</f>
        <v>#NAME?</v>
      </c>
    </row>
    <row r="1564" spans="2:9" s="126" customFormat="1" ht="15" customHeight="1" x14ac:dyDescent="0.25">
      <c r="B1564" s="271" t="s">
        <v>267</v>
      </c>
      <c r="C1564" s="272" t="s">
        <v>268</v>
      </c>
      <c r="D1564" s="275" t="s">
        <v>216</v>
      </c>
      <c r="E1564" s="275">
        <v>41499.324930555558</v>
      </c>
      <c r="F1564" s="276">
        <v>3</v>
      </c>
      <c r="G1564" s="243">
        <f t="shared" si="25"/>
        <v>98</v>
      </c>
      <c r="H1564" s="244"/>
      <c r="I1564" s="71" t="e">
        <f>IF(COUNTIF((rName rData),H1564),"","Name Error!")</f>
        <v>#NAME?</v>
      </c>
    </row>
    <row r="1565" spans="2:9" s="126" customFormat="1" ht="15" customHeight="1" x14ac:dyDescent="0.25">
      <c r="B1565" s="271" t="s">
        <v>331</v>
      </c>
      <c r="C1565" s="272" t="s">
        <v>330</v>
      </c>
      <c r="D1565" s="275" t="s">
        <v>216</v>
      </c>
      <c r="E1565" s="275">
        <v>41499.579768518517</v>
      </c>
      <c r="F1565" s="276">
        <v>1</v>
      </c>
      <c r="G1565" s="243">
        <f t="shared" si="25"/>
        <v>98</v>
      </c>
      <c r="H1565" s="244"/>
      <c r="I1565" s="71" t="e">
        <f>IF(COUNTIF((rName rData),H1565),"","Name Error!")</f>
        <v>#NAME?</v>
      </c>
    </row>
    <row r="1566" spans="2:9" s="126" customFormat="1" ht="15" customHeight="1" x14ac:dyDescent="0.25">
      <c r="B1566" s="271" t="s">
        <v>279</v>
      </c>
      <c r="C1566" s="272" t="s">
        <v>280</v>
      </c>
      <c r="D1566" s="275" t="s">
        <v>216</v>
      </c>
      <c r="E1566" s="275">
        <v>41499.857569444444</v>
      </c>
      <c r="F1566" s="276">
        <v>1</v>
      </c>
      <c r="G1566" s="243">
        <f t="shared" si="25"/>
        <v>98</v>
      </c>
      <c r="H1566" s="244"/>
      <c r="I1566" s="71" t="e">
        <f>IF(COUNTIF((rName rData),H1566),"","Name Error!")</f>
        <v>#NAME?</v>
      </c>
    </row>
    <row r="1567" spans="2:9" s="126" customFormat="1" ht="15" customHeight="1" x14ac:dyDescent="0.25">
      <c r="B1567" s="271" t="s">
        <v>354</v>
      </c>
      <c r="C1567" s="272" t="s">
        <v>353</v>
      </c>
      <c r="D1567" s="275" t="s">
        <v>216</v>
      </c>
      <c r="E1567" s="275">
        <v>41499.914340277777</v>
      </c>
      <c r="F1567" s="276">
        <v>1</v>
      </c>
      <c r="G1567" s="243">
        <f t="shared" si="25"/>
        <v>98</v>
      </c>
      <c r="H1567" s="244"/>
      <c r="I1567" s="71" t="e">
        <f>IF(COUNTIF((rName rData),H1567),"","Name Error!")</f>
        <v>#NAME?</v>
      </c>
    </row>
    <row r="1568" spans="2:9" s="126" customFormat="1" ht="15" customHeight="1" x14ac:dyDescent="0.25">
      <c r="B1568" s="271" t="s">
        <v>341</v>
      </c>
      <c r="C1568" s="272" t="s">
        <v>340</v>
      </c>
      <c r="D1568" s="275" t="s">
        <v>216</v>
      </c>
      <c r="E1568" s="275">
        <v>41499.959710648145</v>
      </c>
      <c r="F1568" s="276">
        <v>1</v>
      </c>
      <c r="G1568" s="243">
        <f t="shared" si="25"/>
        <v>98</v>
      </c>
      <c r="H1568" s="244"/>
      <c r="I1568" s="71" t="e">
        <f>IF(COUNTIF((rName rData),H1568),"","Name Error!")</f>
        <v>#NAME?</v>
      </c>
    </row>
    <row r="1569" spans="2:9" s="126" customFormat="1" ht="15" customHeight="1" x14ac:dyDescent="0.25">
      <c r="B1569" s="271" t="s">
        <v>267</v>
      </c>
      <c r="C1569" s="272" t="s">
        <v>268</v>
      </c>
      <c r="D1569" s="275" t="s">
        <v>216</v>
      </c>
      <c r="E1569" s="275">
        <v>41500.247731481482</v>
      </c>
      <c r="F1569" s="276">
        <v>3</v>
      </c>
      <c r="G1569" s="243">
        <f t="shared" si="25"/>
        <v>98</v>
      </c>
      <c r="H1569" s="244"/>
      <c r="I1569" s="71" t="e">
        <f>IF(COUNTIF((rName rData),H1569),"","Name Error!")</f>
        <v>#NAME?</v>
      </c>
    </row>
    <row r="1570" spans="2:9" s="126" customFormat="1" ht="15" customHeight="1" x14ac:dyDescent="0.25">
      <c r="B1570" s="271" t="s">
        <v>339</v>
      </c>
      <c r="C1570" s="272" t="s">
        <v>338</v>
      </c>
      <c r="D1570" s="275" t="s">
        <v>216</v>
      </c>
      <c r="E1570" s="275">
        <v>41500.299328703702</v>
      </c>
      <c r="F1570" s="276">
        <v>1</v>
      </c>
      <c r="G1570" s="243">
        <f t="shared" si="25"/>
        <v>98</v>
      </c>
      <c r="H1570" s="244"/>
      <c r="I1570" s="71" t="e">
        <f>IF(COUNTIF((rName rData),H1570),"","Name Error!")</f>
        <v>#NAME?</v>
      </c>
    </row>
    <row r="1571" spans="2:9" s="126" customFormat="1" ht="15" customHeight="1" x14ac:dyDescent="0.25">
      <c r="B1571" s="271" t="s">
        <v>365</v>
      </c>
      <c r="C1571" s="272" t="s">
        <v>364</v>
      </c>
      <c r="D1571" s="275" t="s">
        <v>216</v>
      </c>
      <c r="E1571" s="275">
        <v>41500.366608796299</v>
      </c>
      <c r="F1571" s="276">
        <v>1</v>
      </c>
      <c r="G1571" s="243">
        <f t="shared" si="25"/>
        <v>98</v>
      </c>
      <c r="H1571" s="244"/>
      <c r="I1571" s="71" t="e">
        <f>IF(COUNTIF((rName rData),H1571),"","Name Error!")</f>
        <v>#NAME?</v>
      </c>
    </row>
    <row r="1572" spans="2:9" s="126" customFormat="1" ht="15" customHeight="1" x14ac:dyDescent="0.25">
      <c r="B1572" s="271" t="s">
        <v>358</v>
      </c>
      <c r="C1572" s="272" t="s">
        <v>357</v>
      </c>
      <c r="D1572" s="275" t="s">
        <v>216</v>
      </c>
      <c r="E1572" s="275">
        <v>41500.41646990741</v>
      </c>
      <c r="F1572" s="276">
        <v>1</v>
      </c>
      <c r="G1572" s="243">
        <f t="shared" si="25"/>
        <v>98</v>
      </c>
      <c r="H1572" s="244"/>
      <c r="I1572" s="71" t="e">
        <f>IF(COUNTIF((rName rData),H1572),"","Name Error!")</f>
        <v>#NAME?</v>
      </c>
    </row>
    <row r="1573" spans="2:9" s="126" customFormat="1" ht="15" customHeight="1" x14ac:dyDescent="0.25">
      <c r="B1573" s="271" t="s">
        <v>367</v>
      </c>
      <c r="C1573" s="272" t="s">
        <v>366</v>
      </c>
      <c r="D1573" s="275" t="s">
        <v>216</v>
      </c>
      <c r="E1573" s="275">
        <v>41500.423333333332</v>
      </c>
      <c r="F1573" s="276">
        <v>1</v>
      </c>
      <c r="G1573" s="243">
        <f t="shared" si="25"/>
        <v>98</v>
      </c>
      <c r="H1573" s="244"/>
      <c r="I1573" s="71" t="e">
        <f>IF(COUNTIF((rName rData),H1573),"","Name Error!")</f>
        <v>#NAME?</v>
      </c>
    </row>
    <row r="1574" spans="2:9" s="126" customFormat="1" ht="15" customHeight="1" x14ac:dyDescent="0.25">
      <c r="B1574" s="271" t="s">
        <v>356</v>
      </c>
      <c r="C1574" s="272" t="s">
        <v>355</v>
      </c>
      <c r="D1574" s="275" t="s">
        <v>216</v>
      </c>
      <c r="E1574" s="275">
        <v>41500.4997337963</v>
      </c>
      <c r="F1574" s="276">
        <v>2</v>
      </c>
      <c r="G1574" s="243">
        <f t="shared" si="25"/>
        <v>98</v>
      </c>
      <c r="H1574" s="244"/>
      <c r="I1574" s="71" t="e">
        <f>IF(COUNTIF((rName rData),H1574),"","Name Error!")</f>
        <v>#NAME?</v>
      </c>
    </row>
    <row r="1575" spans="2:9" s="126" customFormat="1" ht="15" customHeight="1" x14ac:dyDescent="0.25">
      <c r="B1575" s="271" t="s">
        <v>337</v>
      </c>
      <c r="C1575" s="272" t="s">
        <v>336</v>
      </c>
      <c r="D1575" s="275" t="s">
        <v>216</v>
      </c>
      <c r="E1575" s="275">
        <v>41500.566504629627</v>
      </c>
      <c r="F1575" s="276">
        <v>1</v>
      </c>
      <c r="G1575" s="243">
        <f t="shared" si="25"/>
        <v>98</v>
      </c>
      <c r="H1575" s="244"/>
      <c r="I1575" s="71" t="e">
        <f>IF(COUNTIF((rName rData),H1575),"","Name Error!")</f>
        <v>#NAME?</v>
      </c>
    </row>
    <row r="1576" spans="2:9" s="126" customFormat="1" ht="15" customHeight="1" x14ac:dyDescent="0.25">
      <c r="B1576" s="271" t="s">
        <v>279</v>
      </c>
      <c r="C1576" s="272" t="s">
        <v>280</v>
      </c>
      <c r="D1576" s="275" t="s">
        <v>216</v>
      </c>
      <c r="E1576" s="275">
        <v>41500.935497685183</v>
      </c>
      <c r="F1576" s="276">
        <v>2</v>
      </c>
      <c r="G1576" s="243">
        <f t="shared" si="25"/>
        <v>98</v>
      </c>
      <c r="H1576" s="244"/>
      <c r="I1576" s="71" t="e">
        <f>IF(COUNTIF((rName rData),H1576),"","Name Error!")</f>
        <v>#NAME?</v>
      </c>
    </row>
    <row r="1577" spans="2:9" s="126" customFormat="1" ht="15" customHeight="1" x14ac:dyDescent="0.25">
      <c r="B1577" s="271" t="s">
        <v>267</v>
      </c>
      <c r="C1577" s="272" t="s">
        <v>268</v>
      </c>
      <c r="D1577" s="275" t="s">
        <v>216</v>
      </c>
      <c r="E1577" s="275">
        <v>41501.346006944441</v>
      </c>
      <c r="F1577" s="276">
        <v>4</v>
      </c>
      <c r="G1577" s="243">
        <f t="shared" si="25"/>
        <v>98</v>
      </c>
      <c r="H1577" s="244"/>
      <c r="I1577" s="71" t="e">
        <f>IF(COUNTIF((rName rData),H1577),"","Name Error!")</f>
        <v>#NAME?</v>
      </c>
    </row>
    <row r="1578" spans="2:9" s="126" customFormat="1" ht="15" customHeight="1" x14ac:dyDescent="0.25">
      <c r="B1578" s="271" t="s">
        <v>333</v>
      </c>
      <c r="C1578" s="272" t="s">
        <v>332</v>
      </c>
      <c r="D1578" s="275" t="s">
        <v>216</v>
      </c>
      <c r="E1578" s="275">
        <v>41501.544247685182</v>
      </c>
      <c r="F1578" s="276">
        <v>1</v>
      </c>
      <c r="G1578" s="243">
        <f t="shared" si="25"/>
        <v>98</v>
      </c>
      <c r="H1578" s="244"/>
      <c r="I1578" s="71" t="e">
        <f>IF(COUNTIF((rName rData),H1578),"","Name Error!")</f>
        <v>#NAME?</v>
      </c>
    </row>
    <row r="1579" spans="2:9" s="126" customFormat="1" ht="15" customHeight="1" x14ac:dyDescent="0.25">
      <c r="B1579" s="271" t="s">
        <v>341</v>
      </c>
      <c r="C1579" s="272" t="s">
        <v>340</v>
      </c>
      <c r="D1579" s="275" t="s">
        <v>216</v>
      </c>
      <c r="E1579" s="275">
        <v>41501.588506944441</v>
      </c>
      <c r="F1579" s="276">
        <v>1</v>
      </c>
      <c r="G1579" s="243">
        <f t="shared" si="25"/>
        <v>98</v>
      </c>
      <c r="H1579" s="244"/>
      <c r="I1579" s="71" t="e">
        <f>IF(COUNTIF((rName rData),H1579),"","Name Error!")</f>
        <v>#NAME?</v>
      </c>
    </row>
    <row r="1580" spans="2:9" s="126" customFormat="1" ht="15" customHeight="1" x14ac:dyDescent="0.25">
      <c r="B1580" s="271" t="s">
        <v>358</v>
      </c>
      <c r="C1580" s="272" t="s">
        <v>357</v>
      </c>
      <c r="D1580" s="275" t="s">
        <v>216</v>
      </c>
      <c r="E1580" s="275">
        <v>41501.706689814811</v>
      </c>
      <c r="F1580" s="276">
        <v>1</v>
      </c>
      <c r="G1580" s="243">
        <f t="shared" si="25"/>
        <v>98</v>
      </c>
      <c r="H1580" s="244"/>
      <c r="I1580" s="71" t="e">
        <f>IF(COUNTIF((rName rData),H1580),"","Name Error!")</f>
        <v>#NAME?</v>
      </c>
    </row>
    <row r="1581" spans="2:9" s="126" customFormat="1" ht="15" customHeight="1" x14ac:dyDescent="0.25">
      <c r="B1581" s="271" t="s">
        <v>354</v>
      </c>
      <c r="C1581" s="272" t="s">
        <v>353</v>
      </c>
      <c r="D1581" s="275" t="s">
        <v>216</v>
      </c>
      <c r="E1581" s="275">
        <v>41501.882881944446</v>
      </c>
      <c r="F1581" s="276">
        <v>1</v>
      </c>
      <c r="G1581" s="243">
        <f t="shared" si="25"/>
        <v>98</v>
      </c>
      <c r="H1581" s="244"/>
      <c r="I1581" s="71" t="e">
        <f>IF(COUNTIF((rName rData),H1581),"","Name Error!")</f>
        <v>#NAME?</v>
      </c>
    </row>
    <row r="1582" spans="2:9" s="126" customFormat="1" ht="15" customHeight="1" x14ac:dyDescent="0.25">
      <c r="B1582" s="271" t="s">
        <v>331</v>
      </c>
      <c r="C1582" s="272" t="s">
        <v>330</v>
      </c>
      <c r="D1582" s="275" t="s">
        <v>216</v>
      </c>
      <c r="E1582" s="275">
        <v>41501.960196759261</v>
      </c>
      <c r="F1582" s="276">
        <v>1</v>
      </c>
      <c r="G1582" s="243">
        <f t="shared" si="25"/>
        <v>98</v>
      </c>
      <c r="H1582" s="244"/>
      <c r="I1582" s="71" t="e">
        <f>IF(COUNTIF((rName rData),H1582),"","Name Error!")</f>
        <v>#NAME?</v>
      </c>
    </row>
    <row r="1583" spans="2:9" s="126" customFormat="1" ht="15" customHeight="1" x14ac:dyDescent="0.25">
      <c r="B1583" s="271" t="s">
        <v>371</v>
      </c>
      <c r="C1583" s="272" t="s">
        <v>370</v>
      </c>
      <c r="D1583" s="275" t="s">
        <v>216</v>
      </c>
      <c r="E1583" s="275">
        <v>41501.965011574073</v>
      </c>
      <c r="F1583" s="276">
        <v>1</v>
      </c>
      <c r="G1583" s="243">
        <f t="shared" si="25"/>
        <v>98</v>
      </c>
      <c r="H1583" s="244"/>
      <c r="I1583" s="71" t="e">
        <f>IF(COUNTIF((rName rData),H1583),"","Name Error!")</f>
        <v>#NAME?</v>
      </c>
    </row>
    <row r="1584" spans="2:9" s="126" customFormat="1" ht="15" customHeight="1" x14ac:dyDescent="0.25">
      <c r="B1584" s="271" t="s">
        <v>371</v>
      </c>
      <c r="C1584" s="272" t="s">
        <v>370</v>
      </c>
      <c r="D1584" s="275" t="s">
        <v>216</v>
      </c>
      <c r="E1584" s="275">
        <v>41502.024398148147</v>
      </c>
      <c r="F1584" s="276">
        <v>1</v>
      </c>
      <c r="G1584" s="243">
        <f t="shared" si="25"/>
        <v>98</v>
      </c>
      <c r="H1584" s="244"/>
      <c r="I1584" s="71" t="e">
        <f>IF(COUNTIF((rName rData),H1584),"","Name Error!")</f>
        <v>#NAME?</v>
      </c>
    </row>
    <row r="1585" spans="2:9" s="126" customFormat="1" ht="15" customHeight="1" x14ac:dyDescent="0.25">
      <c r="B1585" s="271" t="s">
        <v>331</v>
      </c>
      <c r="C1585" s="272" t="s">
        <v>330</v>
      </c>
      <c r="D1585" s="275" t="s">
        <v>216</v>
      </c>
      <c r="E1585" s="275">
        <v>41502.602488425924</v>
      </c>
      <c r="F1585" s="276">
        <v>2</v>
      </c>
      <c r="G1585" s="243">
        <f t="shared" si="25"/>
        <v>98</v>
      </c>
      <c r="H1585" s="244"/>
      <c r="I1585" s="71" t="e">
        <f>IF(COUNTIF((rName rData),H1585),"","Name Error!")</f>
        <v>#NAME?</v>
      </c>
    </row>
    <row r="1586" spans="2:9" s="126" customFormat="1" ht="15" customHeight="1" x14ac:dyDescent="0.25">
      <c r="B1586" s="271" t="s">
        <v>358</v>
      </c>
      <c r="C1586" s="272" t="s">
        <v>357</v>
      </c>
      <c r="D1586" s="275" t="s">
        <v>216</v>
      </c>
      <c r="E1586" s="275">
        <v>41502.610173611109</v>
      </c>
      <c r="F1586" s="276">
        <v>1</v>
      </c>
      <c r="G1586" s="243">
        <f t="shared" si="25"/>
        <v>98</v>
      </c>
      <c r="H1586" s="244"/>
      <c r="I1586" s="71" t="e">
        <f>IF(COUNTIF((rName rData),H1586),"","Name Error!")</f>
        <v>#NAME?</v>
      </c>
    </row>
    <row r="1587" spans="2:9" s="126" customFormat="1" ht="15" customHeight="1" x14ac:dyDescent="0.25">
      <c r="B1587" s="271" t="s">
        <v>267</v>
      </c>
      <c r="C1587" s="272" t="s">
        <v>268</v>
      </c>
      <c r="D1587" s="275" t="s">
        <v>216</v>
      </c>
      <c r="E1587" s="275">
        <v>41502.755474537036</v>
      </c>
      <c r="F1587" s="276">
        <v>2</v>
      </c>
      <c r="G1587" s="243">
        <f t="shared" si="25"/>
        <v>98</v>
      </c>
      <c r="H1587" s="244"/>
      <c r="I1587" s="71" t="e">
        <f>IF(COUNTIF((rName rData),H1587),"","Name Error!")</f>
        <v>#NAME?</v>
      </c>
    </row>
    <row r="1588" spans="2:9" s="126" customFormat="1" ht="15" customHeight="1" x14ac:dyDescent="0.25">
      <c r="B1588" s="271" t="s">
        <v>341</v>
      </c>
      <c r="C1588" s="272" t="s">
        <v>340</v>
      </c>
      <c r="D1588" s="275" t="s">
        <v>216</v>
      </c>
      <c r="E1588" s="275">
        <v>41502.974907407406</v>
      </c>
      <c r="F1588" s="276">
        <v>1</v>
      </c>
      <c r="G1588" s="243">
        <f t="shared" si="25"/>
        <v>98</v>
      </c>
      <c r="H1588" s="244"/>
      <c r="I1588" s="71" t="e">
        <f>IF(COUNTIF((rName rData),H1588),"","Name Error!")</f>
        <v>#NAME?</v>
      </c>
    </row>
    <row r="1589" spans="2:9" s="126" customFormat="1" ht="15" customHeight="1" x14ac:dyDescent="0.25">
      <c r="B1589" s="271" t="s">
        <v>324</v>
      </c>
      <c r="C1589" s="272" t="s">
        <v>323</v>
      </c>
      <c r="D1589" s="275" t="s">
        <v>216</v>
      </c>
      <c r="E1589" s="275">
        <v>41502.977916666663</v>
      </c>
      <c r="F1589" s="276">
        <v>1</v>
      </c>
      <c r="G1589" s="243">
        <f t="shared" si="25"/>
        <v>98</v>
      </c>
      <c r="H1589" s="244"/>
      <c r="I1589" s="71" t="e">
        <f>IF(COUNTIF((rName rData),H1589),"","Name Error!")</f>
        <v>#NAME?</v>
      </c>
    </row>
    <row r="1590" spans="2:9" s="126" customFormat="1" ht="15" customHeight="1" x14ac:dyDescent="0.25">
      <c r="B1590" s="271" t="s">
        <v>356</v>
      </c>
      <c r="C1590" s="272" t="s">
        <v>355</v>
      </c>
      <c r="D1590" s="275" t="s">
        <v>216</v>
      </c>
      <c r="E1590" s="275">
        <v>41502.997233796297</v>
      </c>
      <c r="F1590" s="276">
        <v>1</v>
      </c>
      <c r="G1590" s="243">
        <f t="shared" si="25"/>
        <v>98</v>
      </c>
      <c r="H1590" s="244"/>
      <c r="I1590" s="71" t="e">
        <f>IF(COUNTIF((rName rData),H1590),"","Name Error!")</f>
        <v>#NAME?</v>
      </c>
    </row>
    <row r="1591" spans="2:9" s="126" customFormat="1" ht="15" customHeight="1" x14ac:dyDescent="0.25">
      <c r="B1591" s="271" t="s">
        <v>367</v>
      </c>
      <c r="C1591" s="272" t="s">
        <v>366</v>
      </c>
      <c r="D1591" s="275" t="s">
        <v>216</v>
      </c>
      <c r="E1591" s="275">
        <v>41503.046898148146</v>
      </c>
      <c r="F1591" s="276">
        <v>2</v>
      </c>
      <c r="G1591" s="243">
        <f t="shared" si="25"/>
        <v>99</v>
      </c>
      <c r="H1591" s="244"/>
      <c r="I1591" s="71" t="e">
        <f>IF(COUNTIF((rName rData),H1591),"","Name Error!")</f>
        <v>#NAME?</v>
      </c>
    </row>
    <row r="1592" spans="2:9" s="126" customFormat="1" ht="15" customHeight="1" x14ac:dyDescent="0.25">
      <c r="B1592" s="271" t="s">
        <v>324</v>
      </c>
      <c r="C1592" s="272" t="s">
        <v>323</v>
      </c>
      <c r="D1592" s="275" t="s">
        <v>216</v>
      </c>
      <c r="E1592" s="275">
        <v>41503.099618055552</v>
      </c>
      <c r="F1592" s="276">
        <v>2</v>
      </c>
      <c r="G1592" s="243">
        <f t="shared" si="25"/>
        <v>99</v>
      </c>
      <c r="H1592" s="244"/>
      <c r="I1592" s="71" t="e">
        <f>IF(COUNTIF((rName rData),H1592),"","Name Error!")</f>
        <v>#NAME?</v>
      </c>
    </row>
    <row r="1593" spans="2:9" s="126" customFormat="1" ht="15" customHeight="1" x14ac:dyDescent="0.25">
      <c r="B1593" s="271" t="s">
        <v>352</v>
      </c>
      <c r="C1593" s="272" t="s">
        <v>351</v>
      </c>
      <c r="D1593" s="275" t="s">
        <v>216</v>
      </c>
      <c r="E1593" s="275">
        <v>41503.378622685188</v>
      </c>
      <c r="F1593" s="276">
        <v>1</v>
      </c>
      <c r="G1593" s="243">
        <f t="shared" si="25"/>
        <v>99</v>
      </c>
      <c r="H1593" s="244"/>
      <c r="I1593" s="71" t="e">
        <f>IF(COUNTIF((rName rData),H1593),"","Name Error!")</f>
        <v>#NAME?</v>
      </c>
    </row>
    <row r="1594" spans="2:9" s="126" customFormat="1" ht="15" customHeight="1" x14ac:dyDescent="0.25">
      <c r="B1594" s="271" t="s">
        <v>354</v>
      </c>
      <c r="C1594" s="272" t="s">
        <v>353</v>
      </c>
      <c r="D1594" s="275" t="s">
        <v>216</v>
      </c>
      <c r="E1594" s="275">
        <v>41503.388726851852</v>
      </c>
      <c r="F1594" s="276">
        <v>4</v>
      </c>
      <c r="G1594" s="243">
        <f t="shared" si="25"/>
        <v>99</v>
      </c>
      <c r="H1594" s="244"/>
      <c r="I1594" s="71" t="e">
        <f>IF(COUNTIF((rName rData),H1594),"","Name Error!")</f>
        <v>#NAME?</v>
      </c>
    </row>
    <row r="1595" spans="2:9" s="126" customFormat="1" ht="15" customHeight="1" x14ac:dyDescent="0.25">
      <c r="B1595" s="271" t="s">
        <v>371</v>
      </c>
      <c r="C1595" s="272" t="s">
        <v>370</v>
      </c>
      <c r="D1595" s="275" t="s">
        <v>216</v>
      </c>
      <c r="E1595" s="275">
        <v>41503.436701388891</v>
      </c>
      <c r="F1595" s="276">
        <v>3</v>
      </c>
      <c r="G1595" s="243">
        <f t="shared" si="25"/>
        <v>99</v>
      </c>
      <c r="H1595" s="244"/>
      <c r="I1595" s="71" t="e">
        <f>IF(COUNTIF((rName rData),H1595),"","Name Error!")</f>
        <v>#NAME?</v>
      </c>
    </row>
    <row r="1596" spans="2:9" s="126" customFormat="1" ht="15" customHeight="1" x14ac:dyDescent="0.25">
      <c r="B1596" s="271" t="s">
        <v>267</v>
      </c>
      <c r="C1596" s="272" t="s">
        <v>268</v>
      </c>
      <c r="D1596" s="275" t="s">
        <v>216</v>
      </c>
      <c r="E1596" s="275">
        <v>41503.445844907408</v>
      </c>
      <c r="F1596" s="276">
        <v>2</v>
      </c>
      <c r="G1596" s="243">
        <f t="shared" si="25"/>
        <v>99</v>
      </c>
      <c r="H1596" s="244"/>
      <c r="I1596" s="71" t="e">
        <f>IF(COUNTIF((rName rData),H1596),"","Name Error!")</f>
        <v>#NAME?</v>
      </c>
    </row>
    <row r="1597" spans="2:9" s="126" customFormat="1" ht="15" customHeight="1" x14ac:dyDescent="0.25">
      <c r="B1597" s="271" t="s">
        <v>279</v>
      </c>
      <c r="C1597" s="272" t="s">
        <v>280</v>
      </c>
      <c r="D1597" s="275" t="s">
        <v>216</v>
      </c>
      <c r="E1597" s="275">
        <v>41503.455370370371</v>
      </c>
      <c r="F1597" s="276">
        <v>1</v>
      </c>
      <c r="G1597" s="243">
        <f t="shared" si="25"/>
        <v>99</v>
      </c>
      <c r="H1597" s="244"/>
      <c r="I1597" s="71" t="e">
        <f>IF(COUNTIF((rName rData),H1597),"","Name Error!")</f>
        <v>#NAME?</v>
      </c>
    </row>
    <row r="1598" spans="2:9" s="126" customFormat="1" ht="15" customHeight="1" x14ac:dyDescent="0.25">
      <c r="B1598" s="271" t="s">
        <v>341</v>
      </c>
      <c r="C1598" s="272" t="s">
        <v>340</v>
      </c>
      <c r="D1598" s="275" t="s">
        <v>216</v>
      </c>
      <c r="E1598" s="275">
        <v>41503.475127314814</v>
      </c>
      <c r="F1598" s="276">
        <v>2</v>
      </c>
      <c r="G1598" s="243">
        <f t="shared" si="25"/>
        <v>99</v>
      </c>
      <c r="H1598" s="244"/>
      <c r="I1598" s="71" t="e">
        <f>IF(COUNTIF((rName rData),H1598),"","Name Error!")</f>
        <v>#NAME?</v>
      </c>
    </row>
    <row r="1599" spans="2:9" s="126" customFormat="1" ht="15" customHeight="1" x14ac:dyDescent="0.25">
      <c r="B1599" s="271" t="s">
        <v>356</v>
      </c>
      <c r="C1599" s="272" t="s">
        <v>355</v>
      </c>
      <c r="D1599" s="275" t="s">
        <v>216</v>
      </c>
      <c r="E1599" s="275">
        <v>41503.495625000003</v>
      </c>
      <c r="F1599" s="276">
        <v>1</v>
      </c>
      <c r="G1599" s="243">
        <f t="shared" si="25"/>
        <v>99</v>
      </c>
      <c r="H1599" s="244"/>
      <c r="I1599" s="71" t="e">
        <f>IF(COUNTIF((rName rData),H1599),"","Name Error!")</f>
        <v>#NAME?</v>
      </c>
    </row>
    <row r="1600" spans="2:9" s="126" customFormat="1" ht="15" customHeight="1" x14ac:dyDescent="0.25">
      <c r="B1600" s="271" t="s">
        <v>358</v>
      </c>
      <c r="C1600" s="272" t="s">
        <v>357</v>
      </c>
      <c r="D1600" s="275" t="s">
        <v>216</v>
      </c>
      <c r="E1600" s="275">
        <v>41503.5078125</v>
      </c>
      <c r="F1600" s="276">
        <v>3</v>
      </c>
      <c r="G1600" s="243">
        <f t="shared" si="25"/>
        <v>99</v>
      </c>
      <c r="H1600" s="244"/>
      <c r="I1600" s="71" t="e">
        <f>IF(COUNTIF((rName rData),H1600),"","Name Error!")</f>
        <v>#NAME?</v>
      </c>
    </row>
    <row r="1601" spans="2:9" s="126" customFormat="1" ht="15" customHeight="1" x14ac:dyDescent="0.25">
      <c r="B1601" s="271" t="s">
        <v>337</v>
      </c>
      <c r="C1601" s="272" t="s">
        <v>336</v>
      </c>
      <c r="D1601" s="275" t="s">
        <v>216</v>
      </c>
      <c r="E1601" s="275">
        <v>41503.650775462964</v>
      </c>
      <c r="F1601" s="276">
        <v>1</v>
      </c>
      <c r="G1601" s="243">
        <f t="shared" si="25"/>
        <v>99</v>
      </c>
      <c r="H1601" s="244"/>
      <c r="I1601" s="71" t="e">
        <f>IF(COUNTIF((rName rData),H1601),"","Name Error!")</f>
        <v>#NAME?</v>
      </c>
    </row>
    <row r="1602" spans="2:9" s="126" customFormat="1" ht="15" customHeight="1" x14ac:dyDescent="0.25">
      <c r="B1602" s="271" t="s">
        <v>322</v>
      </c>
      <c r="C1602" s="272" t="s">
        <v>321</v>
      </c>
      <c r="D1602" s="275" t="s">
        <v>216</v>
      </c>
      <c r="E1602" s="275">
        <v>41503.696979166663</v>
      </c>
      <c r="F1602" s="276">
        <v>2</v>
      </c>
      <c r="G1602" s="243">
        <f t="shared" si="25"/>
        <v>99</v>
      </c>
      <c r="H1602" s="244"/>
      <c r="I1602" s="71" t="e">
        <f>IF(COUNTIF((rName rData),H1602),"","Name Error!")</f>
        <v>#NAME?</v>
      </c>
    </row>
    <row r="1603" spans="2:9" s="126" customFormat="1" ht="15" customHeight="1" x14ac:dyDescent="0.25">
      <c r="B1603" s="271" t="s">
        <v>328</v>
      </c>
      <c r="C1603" s="272" t="s">
        <v>327</v>
      </c>
      <c r="D1603" s="275" t="s">
        <v>216</v>
      </c>
      <c r="E1603" s="275">
        <v>41503.818182870367</v>
      </c>
      <c r="F1603" s="276">
        <v>1</v>
      </c>
      <c r="G1603" s="243">
        <f t="shared" si="25"/>
        <v>99</v>
      </c>
      <c r="H1603" s="244"/>
      <c r="I1603" s="71" t="e">
        <f>IF(COUNTIF((rName rData),H1603),"","Name Error!")</f>
        <v>#NAME?</v>
      </c>
    </row>
    <row r="1604" spans="2:9" s="126" customFormat="1" ht="15" customHeight="1" x14ac:dyDescent="0.25">
      <c r="B1604" s="271" t="s">
        <v>362</v>
      </c>
      <c r="C1604" s="272" t="s">
        <v>361</v>
      </c>
      <c r="D1604" s="275" t="s">
        <v>216</v>
      </c>
      <c r="E1604" s="275">
        <v>41503.822152777779</v>
      </c>
      <c r="F1604" s="276">
        <v>1</v>
      </c>
      <c r="G1604" s="243">
        <f t="shared" si="25"/>
        <v>99</v>
      </c>
      <c r="H1604" s="244"/>
      <c r="I1604" s="71" t="e">
        <f>IF(COUNTIF((rName rData),H1604),"","Name Error!")</f>
        <v>#NAME?</v>
      </c>
    </row>
    <row r="1605" spans="2:9" s="126" customFormat="1" ht="15" customHeight="1" x14ac:dyDescent="0.25">
      <c r="B1605" s="271" t="s">
        <v>365</v>
      </c>
      <c r="C1605" s="272" t="s">
        <v>364</v>
      </c>
      <c r="D1605" s="275" t="s">
        <v>216</v>
      </c>
      <c r="E1605" s="275">
        <v>41503.93408564815</v>
      </c>
      <c r="F1605" s="276">
        <v>2</v>
      </c>
      <c r="G1605" s="243">
        <f t="shared" si="25"/>
        <v>99</v>
      </c>
      <c r="H1605" s="244"/>
      <c r="I1605" s="71" t="e">
        <f>IF(COUNTIF((rName rData),H1605),"","Name Error!")</f>
        <v>#NAME?</v>
      </c>
    </row>
    <row r="1606" spans="2:9" s="126" customFormat="1" ht="15" customHeight="1" x14ac:dyDescent="0.25">
      <c r="B1606" s="271" t="s">
        <v>350</v>
      </c>
      <c r="C1606" s="272" t="s">
        <v>349</v>
      </c>
      <c r="D1606" s="275" t="s">
        <v>216</v>
      </c>
      <c r="E1606" s="275">
        <v>41503.956585648149</v>
      </c>
      <c r="F1606" s="276">
        <v>1</v>
      </c>
      <c r="G1606" s="243">
        <f t="shared" si="25"/>
        <v>99</v>
      </c>
      <c r="H1606" s="244"/>
      <c r="I1606" s="71" t="e">
        <f>IF(COUNTIF((rName rData),H1606),"","Name Error!")</f>
        <v>#NAME?</v>
      </c>
    </row>
    <row r="1607" spans="2:9" s="126" customFormat="1" ht="15" customHeight="1" x14ac:dyDescent="0.25">
      <c r="B1607" s="271" t="s">
        <v>365</v>
      </c>
      <c r="C1607" s="272" t="s">
        <v>364</v>
      </c>
      <c r="D1607" s="275" t="s">
        <v>216</v>
      </c>
      <c r="E1607" s="275">
        <v>41504.010752314818</v>
      </c>
      <c r="F1607" s="276">
        <v>3</v>
      </c>
      <c r="G1607" s="243">
        <f t="shared" si="25"/>
        <v>99</v>
      </c>
      <c r="H1607" s="244"/>
      <c r="I1607" s="71" t="e">
        <f>IF(COUNTIF((rName rData),H1607),"","Name Error!")</f>
        <v>#NAME?</v>
      </c>
    </row>
    <row r="1608" spans="2:9" s="126" customFormat="1" ht="15" customHeight="1" x14ac:dyDescent="0.25">
      <c r="B1608" s="271" t="s">
        <v>367</v>
      </c>
      <c r="C1608" s="272" t="s">
        <v>366</v>
      </c>
      <c r="D1608" s="275" t="s">
        <v>216</v>
      </c>
      <c r="E1608" s="275">
        <v>41504.018738425926</v>
      </c>
      <c r="F1608" s="276">
        <v>3</v>
      </c>
      <c r="G1608" s="243">
        <f t="shared" si="25"/>
        <v>99</v>
      </c>
      <c r="H1608" s="244"/>
      <c r="I1608" s="71" t="e">
        <f>IF(COUNTIF((rName rData),H1608),"","Name Error!")</f>
        <v>#NAME?</v>
      </c>
    </row>
    <row r="1609" spans="2:9" s="126" customFormat="1" ht="15" customHeight="1" x14ac:dyDescent="0.25">
      <c r="B1609" s="271" t="s">
        <v>328</v>
      </c>
      <c r="C1609" s="272" t="s">
        <v>327</v>
      </c>
      <c r="D1609" s="275" t="s">
        <v>216</v>
      </c>
      <c r="E1609" s="275">
        <v>41504.055138888885</v>
      </c>
      <c r="F1609" s="276">
        <v>1</v>
      </c>
      <c r="G1609" s="243">
        <f t="shared" si="25"/>
        <v>99</v>
      </c>
      <c r="H1609" s="244"/>
      <c r="I1609" s="71" t="e">
        <f>IF(COUNTIF((rName rData),H1609),"","Name Error!")</f>
        <v>#NAME?</v>
      </c>
    </row>
    <row r="1610" spans="2:9" s="126" customFormat="1" ht="15" customHeight="1" x14ac:dyDescent="0.25">
      <c r="B1610" s="271" t="s">
        <v>324</v>
      </c>
      <c r="C1610" s="272" t="s">
        <v>323</v>
      </c>
      <c r="D1610" s="275" t="s">
        <v>216</v>
      </c>
      <c r="E1610" s="275">
        <v>41504.056076388886</v>
      </c>
      <c r="F1610" s="276">
        <v>7</v>
      </c>
      <c r="G1610" s="243">
        <f t="shared" ref="G1610:G1673" si="26">TRUNC((E1610-start)/7)+1</f>
        <v>99</v>
      </c>
      <c r="H1610" s="244"/>
      <c r="I1610" s="71" t="e">
        <f>IF(COUNTIF((rName rData),H1610),"","Name Error!")</f>
        <v>#NAME?</v>
      </c>
    </row>
    <row r="1611" spans="2:9" s="126" customFormat="1" ht="15" customHeight="1" x14ac:dyDescent="0.25">
      <c r="B1611" s="271" t="s">
        <v>345</v>
      </c>
      <c r="C1611" s="272" t="s">
        <v>344</v>
      </c>
      <c r="D1611" s="275" t="s">
        <v>216</v>
      </c>
      <c r="E1611" s="275">
        <v>41504.421631944446</v>
      </c>
      <c r="F1611" s="276">
        <v>5</v>
      </c>
      <c r="G1611" s="243">
        <f t="shared" si="26"/>
        <v>99</v>
      </c>
      <c r="H1611" s="244"/>
      <c r="I1611" s="71" t="e">
        <f>IF(COUNTIF((rName rData),H1611),"","Name Error!")</f>
        <v>#NAME?</v>
      </c>
    </row>
    <row r="1612" spans="2:9" s="126" customFormat="1" ht="15" customHeight="1" x14ac:dyDescent="0.25">
      <c r="B1612" s="271" t="s">
        <v>352</v>
      </c>
      <c r="C1612" s="272" t="s">
        <v>351</v>
      </c>
      <c r="D1612" s="275" t="s">
        <v>216</v>
      </c>
      <c r="E1612" s="275">
        <v>41504.434062499997</v>
      </c>
      <c r="F1612" s="276">
        <v>1</v>
      </c>
      <c r="G1612" s="243">
        <f t="shared" si="26"/>
        <v>99</v>
      </c>
      <c r="H1612" s="244"/>
      <c r="I1612" s="71" t="e">
        <f>IF(COUNTIF((rName rData),H1612),"","Name Error!")</f>
        <v>#NAME?</v>
      </c>
    </row>
    <row r="1613" spans="2:9" s="126" customFormat="1" ht="15" customHeight="1" x14ac:dyDescent="0.25">
      <c r="B1613" s="271" t="s">
        <v>333</v>
      </c>
      <c r="C1613" s="272" t="s">
        <v>332</v>
      </c>
      <c r="D1613" s="275" t="s">
        <v>216</v>
      </c>
      <c r="E1613" s="275">
        <v>41504.459421296298</v>
      </c>
      <c r="F1613" s="276">
        <v>2</v>
      </c>
      <c r="G1613" s="243">
        <f t="shared" si="26"/>
        <v>99</v>
      </c>
      <c r="H1613" s="244"/>
      <c r="I1613" s="71" t="e">
        <f>IF(COUNTIF((rName rData),H1613),"","Name Error!")</f>
        <v>#NAME?</v>
      </c>
    </row>
    <row r="1614" spans="2:9" s="126" customFormat="1" ht="15" customHeight="1" x14ac:dyDescent="0.25">
      <c r="B1614" s="271" t="s">
        <v>322</v>
      </c>
      <c r="C1614" s="272" t="s">
        <v>321</v>
      </c>
      <c r="D1614" s="275" t="s">
        <v>216</v>
      </c>
      <c r="E1614" s="275">
        <v>41504.490173611113</v>
      </c>
      <c r="F1614" s="276">
        <v>4</v>
      </c>
      <c r="G1614" s="243">
        <f t="shared" si="26"/>
        <v>99</v>
      </c>
      <c r="H1614" s="244"/>
      <c r="I1614" s="71" t="e">
        <f>IF(COUNTIF((rName rData),H1614),"","Name Error!")</f>
        <v>#NAME?</v>
      </c>
    </row>
    <row r="1615" spans="2:9" s="126" customFormat="1" ht="15" customHeight="1" x14ac:dyDescent="0.25">
      <c r="B1615" s="271" t="s">
        <v>339</v>
      </c>
      <c r="C1615" s="272" t="s">
        <v>338</v>
      </c>
      <c r="D1615" s="275" t="s">
        <v>216</v>
      </c>
      <c r="E1615" s="275">
        <v>41504.510717592595</v>
      </c>
      <c r="F1615" s="276">
        <v>1</v>
      </c>
      <c r="G1615" s="243">
        <f t="shared" si="26"/>
        <v>99</v>
      </c>
      <c r="H1615" s="244"/>
      <c r="I1615" s="71" t="e">
        <f>IF(COUNTIF((rName rData),H1615),"","Name Error!")</f>
        <v>#NAME?</v>
      </c>
    </row>
    <row r="1616" spans="2:9" s="126" customFormat="1" ht="15" customHeight="1" x14ac:dyDescent="0.25">
      <c r="B1616" s="271" t="s">
        <v>341</v>
      </c>
      <c r="C1616" s="272" t="s">
        <v>340</v>
      </c>
      <c r="D1616" s="275" t="s">
        <v>216</v>
      </c>
      <c r="E1616" s="275">
        <v>41504.511620370373</v>
      </c>
      <c r="F1616" s="276">
        <v>2</v>
      </c>
      <c r="G1616" s="243">
        <f t="shared" si="26"/>
        <v>99</v>
      </c>
      <c r="H1616" s="244"/>
      <c r="I1616" s="71" t="e">
        <f>IF(COUNTIF((rName rData),H1616),"","Name Error!")</f>
        <v>#NAME?</v>
      </c>
    </row>
    <row r="1617" spans="2:9" s="126" customFormat="1" ht="15" customHeight="1" x14ac:dyDescent="0.25">
      <c r="B1617" s="271" t="s">
        <v>320</v>
      </c>
      <c r="C1617" s="272" t="s">
        <v>319</v>
      </c>
      <c r="D1617" s="275" t="s">
        <v>216</v>
      </c>
      <c r="E1617" s="275">
        <v>41504.536527777775</v>
      </c>
      <c r="F1617" s="276">
        <v>2</v>
      </c>
      <c r="G1617" s="243">
        <f t="shared" si="26"/>
        <v>99</v>
      </c>
      <c r="H1617" s="244"/>
      <c r="I1617" s="71" t="e">
        <f>IF(COUNTIF((rName rData),H1617),"","Name Error!")</f>
        <v>#NAME?</v>
      </c>
    </row>
    <row r="1618" spans="2:9" s="126" customFormat="1" ht="15" customHeight="1" x14ac:dyDescent="0.25">
      <c r="B1618" s="271" t="s">
        <v>358</v>
      </c>
      <c r="C1618" s="272" t="s">
        <v>357</v>
      </c>
      <c r="D1618" s="275" t="s">
        <v>216</v>
      </c>
      <c r="E1618" s="275">
        <v>41504.539074074077</v>
      </c>
      <c r="F1618" s="276">
        <v>3</v>
      </c>
      <c r="G1618" s="243">
        <f t="shared" si="26"/>
        <v>99</v>
      </c>
      <c r="H1618" s="244"/>
      <c r="I1618" s="71" t="e">
        <f>IF(COUNTIF((rName rData),H1618),"","Name Error!")</f>
        <v>#NAME?</v>
      </c>
    </row>
    <row r="1619" spans="2:9" s="126" customFormat="1" ht="15" customHeight="1" x14ac:dyDescent="0.25">
      <c r="B1619" s="271" t="s">
        <v>279</v>
      </c>
      <c r="C1619" s="272" t="s">
        <v>280</v>
      </c>
      <c r="D1619" s="275" t="s">
        <v>216</v>
      </c>
      <c r="E1619" s="275">
        <v>41504.547534722224</v>
      </c>
      <c r="F1619" s="276">
        <v>3</v>
      </c>
      <c r="G1619" s="243">
        <f t="shared" si="26"/>
        <v>99</v>
      </c>
      <c r="H1619" s="244"/>
      <c r="I1619" s="71" t="e">
        <f>IF(COUNTIF((rName rData),H1619),"","Name Error!")</f>
        <v>#NAME?</v>
      </c>
    </row>
    <row r="1620" spans="2:9" s="126" customFormat="1" ht="15" customHeight="1" x14ac:dyDescent="0.25">
      <c r="B1620" s="271" t="s">
        <v>337</v>
      </c>
      <c r="C1620" s="272" t="s">
        <v>336</v>
      </c>
      <c r="D1620" s="275" t="s">
        <v>216</v>
      </c>
      <c r="E1620" s="275">
        <v>41504.55064814815</v>
      </c>
      <c r="F1620" s="276">
        <v>3</v>
      </c>
      <c r="G1620" s="243">
        <f t="shared" si="26"/>
        <v>99</v>
      </c>
      <c r="H1620" s="244"/>
      <c r="I1620" s="71" t="e">
        <f>IF(COUNTIF((rName rData),H1620),"","Name Error!")</f>
        <v>#NAME?</v>
      </c>
    </row>
    <row r="1621" spans="2:9" s="126" customFormat="1" ht="15" customHeight="1" x14ac:dyDescent="0.25">
      <c r="B1621" s="271" t="s">
        <v>362</v>
      </c>
      <c r="C1621" s="272" t="s">
        <v>361</v>
      </c>
      <c r="D1621" s="275" t="s">
        <v>216</v>
      </c>
      <c r="E1621" s="275">
        <v>41504.560914351852</v>
      </c>
      <c r="F1621" s="276">
        <v>3</v>
      </c>
      <c r="G1621" s="243">
        <f t="shared" si="26"/>
        <v>99</v>
      </c>
      <c r="H1621" s="244"/>
      <c r="I1621" s="71" t="e">
        <f>IF(COUNTIF((rName rData),H1621),"","Name Error!")</f>
        <v>#NAME?</v>
      </c>
    </row>
    <row r="1622" spans="2:9" s="126" customFormat="1" ht="15" customHeight="1" x14ac:dyDescent="0.25">
      <c r="B1622" s="271" t="s">
        <v>356</v>
      </c>
      <c r="C1622" s="272" t="s">
        <v>355</v>
      </c>
      <c r="D1622" s="275" t="s">
        <v>216</v>
      </c>
      <c r="E1622" s="275">
        <v>41504.57603009259</v>
      </c>
      <c r="F1622" s="276">
        <v>3</v>
      </c>
      <c r="G1622" s="243">
        <f t="shared" si="26"/>
        <v>99</v>
      </c>
      <c r="H1622" s="244"/>
      <c r="I1622" s="71" t="e">
        <f>IF(COUNTIF((rName rData),H1622),"","Name Error!")</f>
        <v>#NAME?</v>
      </c>
    </row>
    <row r="1623" spans="2:9" s="126" customFormat="1" ht="15" customHeight="1" x14ac:dyDescent="0.25">
      <c r="B1623" s="271" t="s">
        <v>354</v>
      </c>
      <c r="C1623" s="272" t="s">
        <v>353</v>
      </c>
      <c r="D1623" s="275" t="s">
        <v>216</v>
      </c>
      <c r="E1623" s="275">
        <v>41504.642129629632</v>
      </c>
      <c r="F1623" s="276">
        <v>2</v>
      </c>
      <c r="G1623" s="243">
        <f t="shared" si="26"/>
        <v>99</v>
      </c>
      <c r="H1623" s="244"/>
      <c r="I1623" s="71" t="e">
        <f>IF(COUNTIF((rName rData),H1623),"","Name Error!")</f>
        <v>#NAME?</v>
      </c>
    </row>
    <row r="1624" spans="2:9" s="126" customFormat="1" ht="15" customHeight="1" x14ac:dyDescent="0.25">
      <c r="B1624" s="271" t="s">
        <v>331</v>
      </c>
      <c r="C1624" s="272" t="s">
        <v>330</v>
      </c>
      <c r="D1624" s="275" t="s">
        <v>216</v>
      </c>
      <c r="E1624" s="275">
        <v>41504.647106481483</v>
      </c>
      <c r="F1624" s="276">
        <v>2</v>
      </c>
      <c r="G1624" s="243">
        <f t="shared" si="26"/>
        <v>99</v>
      </c>
      <c r="H1624" s="244"/>
      <c r="I1624" s="71" t="e">
        <f>IF(COUNTIF((rName rData),H1624),"","Name Error!")</f>
        <v>#NAME?</v>
      </c>
    </row>
    <row r="1625" spans="2:9" s="126" customFormat="1" ht="15" customHeight="1" x14ac:dyDescent="0.25">
      <c r="B1625" s="271" t="s">
        <v>267</v>
      </c>
      <c r="C1625" s="272" t="s">
        <v>268</v>
      </c>
      <c r="D1625" s="275" t="s">
        <v>216</v>
      </c>
      <c r="E1625" s="275">
        <v>41504.684988425928</v>
      </c>
      <c r="F1625" s="276">
        <v>1</v>
      </c>
      <c r="G1625" s="243">
        <f t="shared" si="26"/>
        <v>99</v>
      </c>
      <c r="H1625" s="244"/>
      <c r="I1625" s="71" t="e">
        <f>IF(COUNTIF((rName rData),H1625),"","Name Error!")</f>
        <v>#NAME?</v>
      </c>
    </row>
    <row r="1626" spans="2:9" s="126" customFormat="1" ht="15" customHeight="1" x14ac:dyDescent="0.25">
      <c r="B1626" s="271" t="s">
        <v>350</v>
      </c>
      <c r="C1626" s="272" t="s">
        <v>349</v>
      </c>
      <c r="D1626" s="275" t="s">
        <v>216</v>
      </c>
      <c r="E1626" s="275">
        <v>41504.692511574074</v>
      </c>
      <c r="F1626" s="276">
        <v>2</v>
      </c>
      <c r="G1626" s="243">
        <f t="shared" si="26"/>
        <v>99</v>
      </c>
      <c r="H1626" s="244"/>
      <c r="I1626" s="71" t="e">
        <f>IF(COUNTIF((rName rData),H1626),"","Name Error!")</f>
        <v>#NAME?</v>
      </c>
    </row>
    <row r="1627" spans="2:9" s="126" customFormat="1" ht="15" customHeight="1" x14ac:dyDescent="0.25">
      <c r="B1627" s="271" t="s">
        <v>335</v>
      </c>
      <c r="C1627" s="272" t="s">
        <v>334</v>
      </c>
      <c r="D1627" s="275" t="s">
        <v>216</v>
      </c>
      <c r="E1627" s="275">
        <v>41504.75508101852</v>
      </c>
      <c r="F1627" s="276">
        <v>3</v>
      </c>
      <c r="G1627" s="243">
        <f t="shared" si="26"/>
        <v>99</v>
      </c>
      <c r="H1627" s="244"/>
      <c r="I1627" s="71" t="e">
        <f>IF(COUNTIF((rName rData),H1627),"","Name Error!")</f>
        <v>#NAME?</v>
      </c>
    </row>
    <row r="1628" spans="2:9" s="126" customFormat="1" ht="15" customHeight="1" x14ac:dyDescent="0.25">
      <c r="B1628" s="271" t="s">
        <v>324</v>
      </c>
      <c r="C1628" s="272" t="s">
        <v>323</v>
      </c>
      <c r="D1628" s="275" t="s">
        <v>216</v>
      </c>
      <c r="E1628" s="275">
        <v>41505.108564814815</v>
      </c>
      <c r="F1628" s="276">
        <v>1</v>
      </c>
      <c r="G1628" s="243">
        <f t="shared" si="26"/>
        <v>99</v>
      </c>
      <c r="H1628" s="244"/>
      <c r="I1628" s="71" t="e">
        <f>IF(COUNTIF((rName rData),H1628),"","Name Error!")</f>
        <v>#NAME?</v>
      </c>
    </row>
    <row r="1629" spans="2:9" s="126" customFormat="1" ht="15" customHeight="1" x14ac:dyDescent="0.25">
      <c r="B1629" s="271" t="s">
        <v>354</v>
      </c>
      <c r="C1629" s="272" t="s">
        <v>353</v>
      </c>
      <c r="D1629" s="275" t="s">
        <v>216</v>
      </c>
      <c r="E1629" s="275">
        <v>41505.212164351855</v>
      </c>
      <c r="F1629" s="276">
        <v>1</v>
      </c>
      <c r="G1629" s="243">
        <f t="shared" si="26"/>
        <v>99</v>
      </c>
      <c r="H1629" s="244"/>
      <c r="I1629" s="71" t="e">
        <f>IF(COUNTIF((rName rData),H1629),"","Name Error!")</f>
        <v>#NAME?</v>
      </c>
    </row>
    <row r="1630" spans="2:9" s="126" customFormat="1" ht="15" customHeight="1" x14ac:dyDescent="0.25">
      <c r="B1630" s="271" t="s">
        <v>267</v>
      </c>
      <c r="C1630" s="272" t="s">
        <v>268</v>
      </c>
      <c r="D1630" s="275" t="s">
        <v>216</v>
      </c>
      <c r="E1630" s="275">
        <v>41505.254571759258</v>
      </c>
      <c r="F1630" s="276">
        <v>2</v>
      </c>
      <c r="G1630" s="243">
        <f t="shared" si="26"/>
        <v>99</v>
      </c>
      <c r="H1630" s="244"/>
      <c r="I1630" s="71" t="e">
        <f>IF(COUNTIF((rName rData),H1630),"","Name Error!")</f>
        <v>#NAME?</v>
      </c>
    </row>
    <row r="1631" spans="2:9" s="126" customFormat="1" ht="15" customHeight="1" x14ac:dyDescent="0.25">
      <c r="B1631" s="271" t="s">
        <v>337</v>
      </c>
      <c r="C1631" s="272" t="s">
        <v>336</v>
      </c>
      <c r="D1631" s="275" t="s">
        <v>216</v>
      </c>
      <c r="E1631" s="275">
        <v>41505.697418981479</v>
      </c>
      <c r="F1631" s="276">
        <v>2</v>
      </c>
      <c r="G1631" s="243">
        <f t="shared" si="26"/>
        <v>99</v>
      </c>
      <c r="H1631" s="244"/>
      <c r="I1631" s="71" t="e">
        <f>IF(COUNTIF((rName rData),H1631),"","Name Error!")</f>
        <v>#NAME?</v>
      </c>
    </row>
    <row r="1632" spans="2:9" s="126" customFormat="1" ht="15" customHeight="1" x14ac:dyDescent="0.25">
      <c r="B1632" s="271" t="s">
        <v>352</v>
      </c>
      <c r="C1632" s="272" t="s">
        <v>351</v>
      </c>
      <c r="D1632" s="275" t="s">
        <v>216</v>
      </c>
      <c r="E1632" s="275">
        <v>41505.777002314811</v>
      </c>
      <c r="F1632" s="276">
        <v>1</v>
      </c>
      <c r="G1632" s="243">
        <f t="shared" si="26"/>
        <v>99</v>
      </c>
      <c r="H1632" s="244"/>
      <c r="I1632" s="71" t="e">
        <f>IF(COUNTIF((rName rData),H1632),"","Name Error!")</f>
        <v>#NAME?</v>
      </c>
    </row>
    <row r="1633" spans="2:9" s="126" customFormat="1" ht="15" customHeight="1" x14ac:dyDescent="0.25">
      <c r="B1633" s="271" t="s">
        <v>341</v>
      </c>
      <c r="C1633" s="272" t="s">
        <v>340</v>
      </c>
      <c r="D1633" s="275" t="s">
        <v>216</v>
      </c>
      <c r="E1633" s="275">
        <v>41505.828634259262</v>
      </c>
      <c r="F1633" s="276">
        <v>1</v>
      </c>
      <c r="G1633" s="243">
        <f t="shared" si="26"/>
        <v>99</v>
      </c>
      <c r="H1633" s="244"/>
      <c r="I1633" s="71" t="e">
        <f>IF(COUNTIF((rName rData),H1633),"","Name Error!")</f>
        <v>#NAME?</v>
      </c>
    </row>
    <row r="1634" spans="2:9" s="126" customFormat="1" ht="15" customHeight="1" x14ac:dyDescent="0.25">
      <c r="B1634" s="271" t="s">
        <v>322</v>
      </c>
      <c r="C1634" s="272" t="s">
        <v>321</v>
      </c>
      <c r="D1634" s="275" t="s">
        <v>216</v>
      </c>
      <c r="E1634" s="275">
        <v>41505.963703703703</v>
      </c>
      <c r="F1634" s="276">
        <v>1</v>
      </c>
      <c r="G1634" s="243">
        <f t="shared" si="26"/>
        <v>99</v>
      </c>
      <c r="H1634" s="244"/>
      <c r="I1634" s="71" t="e">
        <f>IF(COUNTIF((rName rData),H1634),"","Name Error!")</f>
        <v>#NAME?</v>
      </c>
    </row>
    <row r="1635" spans="2:9" s="126" customFormat="1" ht="15" customHeight="1" x14ac:dyDescent="0.25">
      <c r="B1635" s="271" t="s">
        <v>337</v>
      </c>
      <c r="C1635" s="272" t="s">
        <v>336</v>
      </c>
      <c r="D1635" s="275" t="s">
        <v>216</v>
      </c>
      <c r="E1635" s="275">
        <v>41506.483877314815</v>
      </c>
      <c r="F1635" s="276">
        <v>1</v>
      </c>
      <c r="G1635" s="243">
        <f t="shared" si="26"/>
        <v>99</v>
      </c>
      <c r="H1635" s="244"/>
      <c r="I1635" s="71" t="e">
        <f>IF(COUNTIF((rName rData),H1635),"","Name Error!")</f>
        <v>#NAME?</v>
      </c>
    </row>
    <row r="1636" spans="2:9" s="126" customFormat="1" ht="15" customHeight="1" x14ac:dyDescent="0.25">
      <c r="B1636" s="271" t="s">
        <v>331</v>
      </c>
      <c r="C1636" s="272" t="s">
        <v>330</v>
      </c>
      <c r="D1636" s="275" t="s">
        <v>216</v>
      </c>
      <c r="E1636" s="275">
        <v>41506.61383101852</v>
      </c>
      <c r="F1636" s="276">
        <v>2</v>
      </c>
      <c r="G1636" s="243">
        <f t="shared" si="26"/>
        <v>99</v>
      </c>
      <c r="H1636" s="244"/>
      <c r="I1636" s="71" t="e">
        <f>IF(COUNTIF((rName rData),H1636),"","Name Error!")</f>
        <v>#NAME?</v>
      </c>
    </row>
    <row r="1637" spans="2:9" s="126" customFormat="1" ht="15" customHeight="1" x14ac:dyDescent="0.25">
      <c r="B1637" s="271" t="s">
        <v>279</v>
      </c>
      <c r="C1637" s="272" t="s">
        <v>280</v>
      </c>
      <c r="D1637" s="275" t="s">
        <v>216</v>
      </c>
      <c r="E1637" s="275">
        <v>41506.830914351849</v>
      </c>
      <c r="F1637" s="276">
        <v>1</v>
      </c>
      <c r="G1637" s="243">
        <f t="shared" si="26"/>
        <v>99</v>
      </c>
      <c r="H1637" s="244"/>
      <c r="I1637" s="71" t="e">
        <f>IF(COUNTIF((rName rData),H1637),"","Name Error!")</f>
        <v>#NAME?</v>
      </c>
    </row>
    <row r="1638" spans="2:9" s="126" customFormat="1" ht="15" customHeight="1" x14ac:dyDescent="0.25">
      <c r="B1638" s="271" t="s">
        <v>324</v>
      </c>
      <c r="C1638" s="272" t="s">
        <v>323</v>
      </c>
      <c r="D1638" s="275" t="s">
        <v>216</v>
      </c>
      <c r="E1638" s="275">
        <v>41506.986400462964</v>
      </c>
      <c r="F1638" s="276">
        <v>1</v>
      </c>
      <c r="G1638" s="243">
        <f t="shared" si="26"/>
        <v>99</v>
      </c>
      <c r="H1638" s="244"/>
      <c r="I1638" s="71" t="e">
        <f>IF(COUNTIF((rName rData),H1638),"","Name Error!")</f>
        <v>#NAME?</v>
      </c>
    </row>
    <row r="1639" spans="2:9" s="126" customFormat="1" ht="15" customHeight="1" x14ac:dyDescent="0.25">
      <c r="B1639" s="271" t="s">
        <v>362</v>
      </c>
      <c r="C1639" s="272" t="s">
        <v>361</v>
      </c>
      <c r="D1639" s="275" t="s">
        <v>216</v>
      </c>
      <c r="E1639" s="275">
        <v>41507.010636574072</v>
      </c>
      <c r="F1639" s="276">
        <v>2</v>
      </c>
      <c r="G1639" s="243">
        <f t="shared" si="26"/>
        <v>99</v>
      </c>
      <c r="H1639" s="244"/>
      <c r="I1639" s="71" t="e">
        <f>IF(COUNTIF((rName rData),H1639),"","Name Error!")</f>
        <v>#NAME?</v>
      </c>
    </row>
    <row r="1640" spans="2:9" s="126" customFormat="1" ht="15" customHeight="1" x14ac:dyDescent="0.25">
      <c r="B1640" s="271" t="s">
        <v>331</v>
      </c>
      <c r="C1640" s="272" t="s">
        <v>330</v>
      </c>
      <c r="D1640" s="275" t="s">
        <v>216</v>
      </c>
      <c r="E1640" s="275">
        <v>41507.61928240741</v>
      </c>
      <c r="F1640" s="276">
        <v>1</v>
      </c>
      <c r="G1640" s="243">
        <f t="shared" si="26"/>
        <v>99</v>
      </c>
      <c r="H1640" s="244"/>
      <c r="I1640" s="71" t="e">
        <f>IF(COUNTIF((rName rData),H1640),"","Name Error!")</f>
        <v>#NAME?</v>
      </c>
    </row>
    <row r="1641" spans="2:9" s="126" customFormat="1" ht="15" customHeight="1" x14ac:dyDescent="0.25">
      <c r="B1641" s="271" t="s">
        <v>267</v>
      </c>
      <c r="C1641" s="272" t="s">
        <v>268</v>
      </c>
      <c r="D1641" s="275" t="s">
        <v>216</v>
      </c>
      <c r="E1641" s="275">
        <v>41507.648182870369</v>
      </c>
      <c r="F1641" s="276">
        <v>1</v>
      </c>
      <c r="G1641" s="243">
        <f t="shared" si="26"/>
        <v>99</v>
      </c>
      <c r="H1641" s="244"/>
      <c r="I1641" s="71" t="e">
        <f>IF(COUNTIF((rName rData),H1641),"","Name Error!")</f>
        <v>#NAME?</v>
      </c>
    </row>
    <row r="1642" spans="2:9" s="126" customFormat="1" ht="15" customHeight="1" x14ac:dyDescent="0.25">
      <c r="B1642" s="271" t="s">
        <v>352</v>
      </c>
      <c r="C1642" s="272" t="s">
        <v>351</v>
      </c>
      <c r="D1642" s="275" t="s">
        <v>216</v>
      </c>
      <c r="E1642" s="275">
        <v>41507.738368055558</v>
      </c>
      <c r="F1642" s="276">
        <v>1</v>
      </c>
      <c r="G1642" s="243">
        <f t="shared" si="26"/>
        <v>99</v>
      </c>
      <c r="H1642" s="244"/>
      <c r="I1642" s="71" t="e">
        <f>IF(COUNTIF((rName rData),H1642),"","Name Error!")</f>
        <v>#NAME?</v>
      </c>
    </row>
    <row r="1643" spans="2:9" s="126" customFormat="1" ht="15" customHeight="1" x14ac:dyDescent="0.25">
      <c r="B1643" s="271" t="s">
        <v>341</v>
      </c>
      <c r="C1643" s="272" t="s">
        <v>340</v>
      </c>
      <c r="D1643" s="275" t="s">
        <v>216</v>
      </c>
      <c r="E1643" s="275">
        <v>41507.87773148148</v>
      </c>
      <c r="F1643" s="276">
        <v>1</v>
      </c>
      <c r="G1643" s="243">
        <f t="shared" si="26"/>
        <v>99</v>
      </c>
      <c r="H1643" s="244"/>
      <c r="I1643" s="71" t="e">
        <f>IF(COUNTIF((rName rData),H1643),"","Name Error!")</f>
        <v>#NAME?</v>
      </c>
    </row>
    <row r="1644" spans="2:9" s="126" customFormat="1" ht="15" customHeight="1" x14ac:dyDescent="0.25">
      <c r="B1644" s="271" t="s">
        <v>328</v>
      </c>
      <c r="C1644" s="272" t="s">
        <v>327</v>
      </c>
      <c r="D1644" s="275" t="s">
        <v>216</v>
      </c>
      <c r="E1644" s="275">
        <v>41507.977071759262</v>
      </c>
      <c r="F1644" s="276">
        <v>1</v>
      </c>
      <c r="G1644" s="243">
        <f t="shared" si="26"/>
        <v>99</v>
      </c>
      <c r="H1644" s="244"/>
      <c r="I1644" s="71" t="e">
        <f>IF(COUNTIF((rName rData),H1644),"","Name Error!")</f>
        <v>#NAME?</v>
      </c>
    </row>
    <row r="1645" spans="2:9" s="126" customFormat="1" ht="15" customHeight="1" x14ac:dyDescent="0.25">
      <c r="B1645" s="271" t="s">
        <v>333</v>
      </c>
      <c r="C1645" s="272" t="s">
        <v>332</v>
      </c>
      <c r="D1645" s="275" t="s">
        <v>216</v>
      </c>
      <c r="E1645" s="275">
        <v>41508.466967592591</v>
      </c>
      <c r="F1645" s="276">
        <v>1</v>
      </c>
      <c r="G1645" s="243">
        <f t="shared" si="26"/>
        <v>99</v>
      </c>
      <c r="H1645" s="244"/>
      <c r="I1645" s="71" t="e">
        <f>IF(COUNTIF((rName rData),H1645),"","Name Error!")</f>
        <v>#NAME?</v>
      </c>
    </row>
    <row r="1646" spans="2:9" s="126" customFormat="1" ht="15" customHeight="1" x14ac:dyDescent="0.25">
      <c r="B1646" s="271" t="s">
        <v>358</v>
      </c>
      <c r="C1646" s="272" t="s">
        <v>357</v>
      </c>
      <c r="D1646" s="275" t="s">
        <v>216</v>
      </c>
      <c r="E1646" s="275">
        <v>41508.817627314813</v>
      </c>
      <c r="F1646" s="276">
        <v>1</v>
      </c>
      <c r="G1646" s="243">
        <f t="shared" si="26"/>
        <v>99</v>
      </c>
      <c r="H1646" s="244"/>
      <c r="I1646" s="71" t="e">
        <f>IF(COUNTIF((rName rData),H1646),"","Name Error!")</f>
        <v>#NAME?</v>
      </c>
    </row>
    <row r="1647" spans="2:9" s="126" customFormat="1" ht="15" customHeight="1" x14ac:dyDescent="0.25">
      <c r="B1647" s="271" t="s">
        <v>354</v>
      </c>
      <c r="C1647" s="272" t="s">
        <v>353</v>
      </c>
      <c r="D1647" s="275" t="s">
        <v>216</v>
      </c>
      <c r="E1647" s="275">
        <v>41508.897245370368</v>
      </c>
      <c r="F1647" s="276">
        <v>1</v>
      </c>
      <c r="G1647" s="243">
        <f t="shared" si="26"/>
        <v>99</v>
      </c>
      <c r="H1647" s="244"/>
      <c r="I1647" s="71" t="e">
        <f>IF(COUNTIF((rName rData),H1647),"","Name Error!")</f>
        <v>#NAME?</v>
      </c>
    </row>
    <row r="1648" spans="2:9" s="126" customFormat="1" ht="15" customHeight="1" x14ac:dyDescent="0.25">
      <c r="B1648" s="271" t="s">
        <v>324</v>
      </c>
      <c r="C1648" s="272" t="s">
        <v>323</v>
      </c>
      <c r="D1648" s="275" t="s">
        <v>216</v>
      </c>
      <c r="E1648" s="275">
        <v>41508.994155092594</v>
      </c>
      <c r="F1648" s="276">
        <v>1</v>
      </c>
      <c r="G1648" s="243">
        <f t="shared" si="26"/>
        <v>99</v>
      </c>
      <c r="H1648" s="244"/>
      <c r="I1648" s="71" t="e">
        <f>IF(COUNTIF((rName rData),H1648),"","Name Error!")</f>
        <v>#NAME?</v>
      </c>
    </row>
    <row r="1649" spans="2:9" s="126" customFormat="1" ht="15" customHeight="1" x14ac:dyDescent="0.25">
      <c r="B1649" s="271" t="s">
        <v>333</v>
      </c>
      <c r="C1649" s="272" t="s">
        <v>332</v>
      </c>
      <c r="D1649" s="275" t="s">
        <v>216</v>
      </c>
      <c r="E1649" s="275">
        <v>41509.058912037035</v>
      </c>
      <c r="F1649" s="276">
        <v>2</v>
      </c>
      <c r="G1649" s="243">
        <f t="shared" si="26"/>
        <v>99</v>
      </c>
      <c r="H1649" s="244"/>
      <c r="I1649" s="71" t="e">
        <f>IF(COUNTIF((rName rData),H1649),"","Name Error!")</f>
        <v>#NAME?</v>
      </c>
    </row>
    <row r="1650" spans="2:9" s="126" customFormat="1" ht="15" customHeight="1" x14ac:dyDescent="0.25">
      <c r="B1650" s="271" t="s">
        <v>267</v>
      </c>
      <c r="C1650" s="272" t="s">
        <v>268</v>
      </c>
      <c r="D1650" s="275" t="s">
        <v>216</v>
      </c>
      <c r="E1650" s="275">
        <v>41509.14329861111</v>
      </c>
      <c r="F1650" s="276">
        <v>1</v>
      </c>
      <c r="G1650" s="243">
        <f t="shared" si="26"/>
        <v>99</v>
      </c>
      <c r="H1650" s="244"/>
      <c r="I1650" s="71" t="e">
        <f>IF(COUNTIF((rName rData),H1650),"","Name Error!")</f>
        <v>#NAME?</v>
      </c>
    </row>
    <row r="1651" spans="2:9" s="126" customFormat="1" ht="15" customHeight="1" x14ac:dyDescent="0.25">
      <c r="B1651" s="271" t="s">
        <v>345</v>
      </c>
      <c r="C1651" s="272" t="s">
        <v>344</v>
      </c>
      <c r="D1651" s="275" t="s">
        <v>216</v>
      </c>
      <c r="E1651" s="275">
        <v>41509.317511574074</v>
      </c>
      <c r="F1651" s="276">
        <v>1</v>
      </c>
      <c r="G1651" s="243">
        <f t="shared" si="26"/>
        <v>99</v>
      </c>
      <c r="H1651" s="244"/>
      <c r="I1651" s="71" t="e">
        <f>IF(COUNTIF((rName rData),H1651),"","Name Error!")</f>
        <v>#NAME?</v>
      </c>
    </row>
    <row r="1652" spans="2:9" s="126" customFormat="1" ht="15" customHeight="1" x14ac:dyDescent="0.25">
      <c r="B1652" s="271" t="s">
        <v>335</v>
      </c>
      <c r="C1652" s="272" t="s">
        <v>334</v>
      </c>
      <c r="D1652" s="275" t="s">
        <v>216</v>
      </c>
      <c r="E1652" s="275">
        <v>41509.705462962964</v>
      </c>
      <c r="F1652" s="276">
        <v>1</v>
      </c>
      <c r="G1652" s="243">
        <f t="shared" si="26"/>
        <v>99</v>
      </c>
      <c r="H1652" s="244"/>
      <c r="I1652" s="71" t="e">
        <f>IF(COUNTIF((rName rData),H1652),"","Name Error!")</f>
        <v>#NAME?</v>
      </c>
    </row>
    <row r="1653" spans="2:9" s="126" customFormat="1" ht="15" customHeight="1" x14ac:dyDescent="0.25">
      <c r="B1653" s="271" t="s">
        <v>358</v>
      </c>
      <c r="C1653" s="272" t="s">
        <v>357</v>
      </c>
      <c r="D1653" s="275" t="s">
        <v>216</v>
      </c>
      <c r="E1653" s="275">
        <v>41509.733067129629</v>
      </c>
      <c r="F1653" s="276">
        <v>1</v>
      </c>
      <c r="G1653" s="243">
        <f t="shared" si="26"/>
        <v>99</v>
      </c>
      <c r="H1653" s="244"/>
      <c r="I1653" s="71" t="e">
        <f>IF(COUNTIF((rName rData),H1653),"","Name Error!")</f>
        <v>#NAME?</v>
      </c>
    </row>
    <row r="1654" spans="2:9" s="126" customFormat="1" ht="15" customHeight="1" x14ac:dyDescent="0.25">
      <c r="B1654" s="271" t="s">
        <v>331</v>
      </c>
      <c r="C1654" s="272" t="s">
        <v>330</v>
      </c>
      <c r="D1654" s="275" t="s">
        <v>216</v>
      </c>
      <c r="E1654" s="275">
        <v>41509.737557870372</v>
      </c>
      <c r="F1654" s="276">
        <v>1</v>
      </c>
      <c r="G1654" s="243">
        <f t="shared" si="26"/>
        <v>99</v>
      </c>
      <c r="H1654" s="244"/>
      <c r="I1654" s="71" t="e">
        <f>IF(COUNTIF((rName rData),H1654),"","Name Error!")</f>
        <v>#NAME?</v>
      </c>
    </row>
    <row r="1655" spans="2:9" s="126" customFormat="1" ht="15" customHeight="1" x14ac:dyDescent="0.25">
      <c r="B1655" s="271" t="s">
        <v>371</v>
      </c>
      <c r="C1655" s="272" t="s">
        <v>370</v>
      </c>
      <c r="D1655" s="275" t="s">
        <v>216</v>
      </c>
      <c r="E1655" s="275">
        <v>41509.79277777778</v>
      </c>
      <c r="F1655" s="276">
        <v>2</v>
      </c>
      <c r="G1655" s="243">
        <f t="shared" si="26"/>
        <v>99</v>
      </c>
      <c r="H1655" s="244"/>
      <c r="I1655" s="71" t="e">
        <f>IF(COUNTIF((rName rData),H1655),"","Name Error!")</f>
        <v>#NAME?</v>
      </c>
    </row>
    <row r="1656" spans="2:9" s="126" customFormat="1" ht="15" customHeight="1" x14ac:dyDescent="0.25">
      <c r="B1656" s="271" t="s">
        <v>352</v>
      </c>
      <c r="C1656" s="272" t="s">
        <v>351</v>
      </c>
      <c r="D1656" s="275" t="s">
        <v>216</v>
      </c>
      <c r="E1656" s="275">
        <v>41509.805914351855</v>
      </c>
      <c r="F1656" s="276">
        <v>1</v>
      </c>
      <c r="G1656" s="243">
        <f t="shared" si="26"/>
        <v>99</v>
      </c>
      <c r="H1656" s="244"/>
      <c r="I1656" s="71" t="e">
        <f>IF(COUNTIF((rName rData),H1656),"","Name Error!")</f>
        <v>#NAME?</v>
      </c>
    </row>
    <row r="1657" spans="2:9" s="126" customFormat="1" ht="15" customHeight="1" x14ac:dyDescent="0.25">
      <c r="B1657" s="271" t="s">
        <v>341</v>
      </c>
      <c r="C1657" s="272" t="s">
        <v>340</v>
      </c>
      <c r="D1657" s="275" t="s">
        <v>216</v>
      </c>
      <c r="E1657" s="275">
        <v>41509.842685185184</v>
      </c>
      <c r="F1657" s="276">
        <v>1</v>
      </c>
      <c r="G1657" s="243">
        <f t="shared" si="26"/>
        <v>99</v>
      </c>
      <c r="H1657" s="244"/>
      <c r="I1657" s="71" t="e">
        <f>IF(COUNTIF((rName rData),H1657),"","Name Error!")</f>
        <v>#NAME?</v>
      </c>
    </row>
    <row r="1658" spans="2:9" s="126" customFormat="1" ht="15" customHeight="1" x14ac:dyDescent="0.25">
      <c r="B1658" s="271" t="s">
        <v>354</v>
      </c>
      <c r="C1658" s="272" t="s">
        <v>353</v>
      </c>
      <c r="D1658" s="275" t="s">
        <v>216</v>
      </c>
      <c r="E1658" s="275">
        <v>41509.843784722223</v>
      </c>
      <c r="F1658" s="276">
        <v>1</v>
      </c>
      <c r="G1658" s="243">
        <f t="shared" si="26"/>
        <v>99</v>
      </c>
      <c r="H1658" s="244"/>
      <c r="I1658" s="71" t="e">
        <f>IF(COUNTIF((rName rData),H1658),"","Name Error!")</f>
        <v>#NAME?</v>
      </c>
    </row>
    <row r="1659" spans="2:9" s="126" customFormat="1" ht="15" customHeight="1" x14ac:dyDescent="0.25">
      <c r="B1659" s="271" t="s">
        <v>337</v>
      </c>
      <c r="C1659" s="272" t="s">
        <v>336</v>
      </c>
      <c r="D1659" s="275" t="s">
        <v>216</v>
      </c>
      <c r="E1659" s="275">
        <v>41509.965497685182</v>
      </c>
      <c r="F1659" s="276">
        <v>1</v>
      </c>
      <c r="G1659" s="243">
        <f t="shared" si="26"/>
        <v>99</v>
      </c>
      <c r="H1659" s="244"/>
      <c r="I1659" s="71" t="e">
        <f>IF(COUNTIF((rName rData),H1659),"","Name Error!")</f>
        <v>#NAME?</v>
      </c>
    </row>
    <row r="1660" spans="2:9" s="126" customFormat="1" ht="15" customHeight="1" x14ac:dyDescent="0.25">
      <c r="B1660" s="271" t="s">
        <v>322</v>
      </c>
      <c r="C1660" s="272" t="s">
        <v>321</v>
      </c>
      <c r="D1660" s="275" t="s">
        <v>216</v>
      </c>
      <c r="E1660" s="275">
        <v>41509.996041666665</v>
      </c>
      <c r="F1660" s="276">
        <v>1</v>
      </c>
      <c r="G1660" s="243">
        <f t="shared" si="26"/>
        <v>99</v>
      </c>
      <c r="H1660" s="244"/>
      <c r="I1660" s="71" t="e">
        <f>IF(COUNTIF((rName rData),H1660),"","Name Error!")</f>
        <v>#NAME?</v>
      </c>
    </row>
    <row r="1661" spans="2:9" s="126" customFormat="1" ht="15" customHeight="1" x14ac:dyDescent="0.25">
      <c r="B1661" s="271" t="s">
        <v>324</v>
      </c>
      <c r="C1661" s="272" t="s">
        <v>323</v>
      </c>
      <c r="D1661" s="275" t="s">
        <v>216</v>
      </c>
      <c r="E1661" s="275">
        <v>41510.026631944442</v>
      </c>
      <c r="F1661" s="276">
        <v>3</v>
      </c>
      <c r="G1661" s="243">
        <f t="shared" si="26"/>
        <v>100</v>
      </c>
      <c r="H1661" s="244"/>
      <c r="I1661" s="71" t="e">
        <f>IF(COUNTIF((rName rData),H1661),"","Name Error!")</f>
        <v>#NAME?</v>
      </c>
    </row>
    <row r="1662" spans="2:9" s="126" customFormat="1" ht="15" customHeight="1" x14ac:dyDescent="0.25">
      <c r="B1662" s="271" t="s">
        <v>337</v>
      </c>
      <c r="C1662" s="272" t="s">
        <v>336</v>
      </c>
      <c r="D1662" s="275" t="s">
        <v>216</v>
      </c>
      <c r="E1662" s="275">
        <v>41510.088587962964</v>
      </c>
      <c r="F1662" s="276">
        <v>3</v>
      </c>
      <c r="G1662" s="243">
        <f t="shared" si="26"/>
        <v>100</v>
      </c>
      <c r="H1662" s="244"/>
      <c r="I1662" s="71" t="e">
        <f>IF(COUNTIF((rName rData),H1662),"","Name Error!")</f>
        <v>#NAME?</v>
      </c>
    </row>
    <row r="1663" spans="2:9" s="126" customFormat="1" ht="15" customHeight="1" x14ac:dyDescent="0.25">
      <c r="B1663" s="271" t="s">
        <v>371</v>
      </c>
      <c r="C1663" s="272" t="s">
        <v>370</v>
      </c>
      <c r="D1663" s="275" t="s">
        <v>216</v>
      </c>
      <c r="E1663" s="275">
        <v>41510.384212962963</v>
      </c>
      <c r="F1663" s="276">
        <v>1</v>
      </c>
      <c r="G1663" s="243">
        <f t="shared" si="26"/>
        <v>100</v>
      </c>
      <c r="H1663" s="244"/>
      <c r="I1663" s="71" t="e">
        <f>IF(COUNTIF((rName rData),H1663),"","Name Error!")</f>
        <v>#NAME?</v>
      </c>
    </row>
    <row r="1664" spans="2:9" s="126" customFormat="1" ht="15" customHeight="1" x14ac:dyDescent="0.25">
      <c r="B1664" s="271" t="s">
        <v>322</v>
      </c>
      <c r="C1664" s="272" t="s">
        <v>321</v>
      </c>
      <c r="D1664" s="275" t="s">
        <v>216</v>
      </c>
      <c r="E1664" s="275">
        <v>41510.395902777775</v>
      </c>
      <c r="F1664" s="276">
        <v>2</v>
      </c>
      <c r="G1664" s="243">
        <f t="shared" si="26"/>
        <v>100</v>
      </c>
      <c r="H1664" s="244"/>
      <c r="I1664" s="71" t="e">
        <f>IF(COUNTIF((rName rData),H1664),"","Name Error!")</f>
        <v>#NAME?</v>
      </c>
    </row>
    <row r="1665" spans="2:9" s="126" customFormat="1" ht="15" customHeight="1" x14ac:dyDescent="0.25">
      <c r="B1665" s="271" t="s">
        <v>358</v>
      </c>
      <c r="C1665" s="272" t="s">
        <v>357</v>
      </c>
      <c r="D1665" s="275" t="s">
        <v>216</v>
      </c>
      <c r="E1665" s="275">
        <v>41510.494942129626</v>
      </c>
      <c r="F1665" s="276">
        <v>2</v>
      </c>
      <c r="G1665" s="243">
        <f t="shared" si="26"/>
        <v>100</v>
      </c>
      <c r="H1665" s="244"/>
      <c r="I1665" s="71" t="e">
        <f>IF(COUNTIF((rName rData),H1665),"","Name Error!")</f>
        <v>#NAME?</v>
      </c>
    </row>
    <row r="1666" spans="2:9" s="126" customFormat="1" ht="15" customHeight="1" x14ac:dyDescent="0.25">
      <c r="B1666" s="271" t="s">
        <v>267</v>
      </c>
      <c r="C1666" s="272" t="s">
        <v>268</v>
      </c>
      <c r="D1666" s="275" t="s">
        <v>216</v>
      </c>
      <c r="E1666" s="275">
        <v>41510.497835648152</v>
      </c>
      <c r="F1666" s="276">
        <v>5</v>
      </c>
      <c r="G1666" s="243">
        <f t="shared" si="26"/>
        <v>100</v>
      </c>
      <c r="H1666" s="244"/>
      <c r="I1666" s="71" t="e">
        <f>IF(COUNTIF((rName rData),H1666),"","Name Error!")</f>
        <v>#NAME?</v>
      </c>
    </row>
    <row r="1667" spans="2:9" s="126" customFormat="1" ht="15" customHeight="1" x14ac:dyDescent="0.25">
      <c r="B1667" s="271" t="s">
        <v>279</v>
      </c>
      <c r="C1667" s="272" t="s">
        <v>280</v>
      </c>
      <c r="D1667" s="275" t="s">
        <v>216</v>
      </c>
      <c r="E1667" s="275">
        <v>41510.500543981485</v>
      </c>
      <c r="F1667" s="276">
        <v>3</v>
      </c>
      <c r="G1667" s="243">
        <f t="shared" si="26"/>
        <v>100</v>
      </c>
      <c r="H1667" s="244"/>
      <c r="I1667" s="71" t="e">
        <f>IF(COUNTIF((rName rData),H1667),"","Name Error!")</f>
        <v>#NAME?</v>
      </c>
    </row>
    <row r="1668" spans="2:9" s="126" customFormat="1" ht="15" customHeight="1" x14ac:dyDescent="0.25">
      <c r="B1668" s="271" t="s">
        <v>341</v>
      </c>
      <c r="C1668" s="272" t="s">
        <v>340</v>
      </c>
      <c r="D1668" s="275" t="s">
        <v>216</v>
      </c>
      <c r="E1668" s="275">
        <v>41510.524062500001</v>
      </c>
      <c r="F1668" s="276">
        <v>2</v>
      </c>
      <c r="G1668" s="243">
        <f t="shared" si="26"/>
        <v>100</v>
      </c>
      <c r="H1668" s="244"/>
      <c r="I1668" s="71" t="e">
        <f>IF(COUNTIF((rName rData),H1668),"","Name Error!")</f>
        <v>#NAME?</v>
      </c>
    </row>
    <row r="1669" spans="2:9" s="126" customFormat="1" ht="15" customHeight="1" x14ac:dyDescent="0.25">
      <c r="B1669" s="271" t="s">
        <v>356</v>
      </c>
      <c r="C1669" s="272" t="s">
        <v>355</v>
      </c>
      <c r="D1669" s="275" t="s">
        <v>216</v>
      </c>
      <c r="E1669" s="275">
        <v>41510.697245370371</v>
      </c>
      <c r="F1669" s="276">
        <v>3</v>
      </c>
      <c r="G1669" s="243">
        <f t="shared" si="26"/>
        <v>100</v>
      </c>
      <c r="H1669" s="244"/>
      <c r="I1669" s="71" t="e">
        <f>IF(COUNTIF((rName rData),H1669),"","Name Error!")</f>
        <v>#NAME?</v>
      </c>
    </row>
    <row r="1670" spans="2:9" s="126" customFormat="1" ht="15" customHeight="1" x14ac:dyDescent="0.25">
      <c r="B1670" s="271" t="s">
        <v>339</v>
      </c>
      <c r="C1670" s="272" t="s">
        <v>338</v>
      </c>
      <c r="D1670" s="275" t="s">
        <v>216</v>
      </c>
      <c r="E1670" s="275">
        <v>41510.772233796299</v>
      </c>
      <c r="F1670" s="276">
        <v>2</v>
      </c>
      <c r="G1670" s="243">
        <f t="shared" si="26"/>
        <v>100</v>
      </c>
      <c r="H1670" s="244"/>
      <c r="I1670" s="71" t="e">
        <f>IF(COUNTIF((rName rData),H1670),"","Name Error!")</f>
        <v>#NAME?</v>
      </c>
    </row>
    <row r="1671" spans="2:9" s="126" customFormat="1" ht="15" customHeight="1" x14ac:dyDescent="0.25">
      <c r="B1671" s="271" t="s">
        <v>335</v>
      </c>
      <c r="C1671" s="272" t="s">
        <v>334</v>
      </c>
      <c r="D1671" s="275" t="s">
        <v>216</v>
      </c>
      <c r="E1671" s="275">
        <v>41510.775671296295</v>
      </c>
      <c r="F1671" s="276">
        <v>1</v>
      </c>
      <c r="G1671" s="243">
        <f t="shared" si="26"/>
        <v>100</v>
      </c>
      <c r="H1671" s="244"/>
      <c r="I1671" s="71" t="e">
        <f>IF(COUNTIF((rName rData),H1671),"","Name Error!")</f>
        <v>#NAME?</v>
      </c>
    </row>
    <row r="1672" spans="2:9" s="126" customFormat="1" ht="15" customHeight="1" x14ac:dyDescent="0.25">
      <c r="B1672" s="271" t="s">
        <v>367</v>
      </c>
      <c r="C1672" s="272" t="s">
        <v>366</v>
      </c>
      <c r="D1672" s="275" t="s">
        <v>216</v>
      </c>
      <c r="E1672" s="275">
        <v>41510.781412037039</v>
      </c>
      <c r="F1672" s="276">
        <v>3</v>
      </c>
      <c r="G1672" s="243">
        <f t="shared" si="26"/>
        <v>100</v>
      </c>
      <c r="H1672" s="244"/>
      <c r="I1672" s="71" t="e">
        <f>IF(COUNTIF((rName rData),H1672),"","Name Error!")</f>
        <v>#NAME?</v>
      </c>
    </row>
    <row r="1673" spans="2:9" s="126" customFormat="1" ht="15" customHeight="1" x14ac:dyDescent="0.25">
      <c r="B1673" s="271" t="s">
        <v>352</v>
      </c>
      <c r="C1673" s="272" t="s">
        <v>351</v>
      </c>
      <c r="D1673" s="275" t="s">
        <v>216</v>
      </c>
      <c r="E1673" s="275">
        <v>41510.782002314816</v>
      </c>
      <c r="F1673" s="276">
        <v>3</v>
      </c>
      <c r="G1673" s="243">
        <f t="shared" si="26"/>
        <v>100</v>
      </c>
      <c r="H1673" s="244"/>
      <c r="I1673" s="71" t="e">
        <f>IF(COUNTIF((rName rData),H1673),"","Name Error!")</f>
        <v>#NAME?</v>
      </c>
    </row>
    <row r="1674" spans="2:9" s="126" customFormat="1" ht="15" customHeight="1" x14ac:dyDescent="0.25">
      <c r="B1674" s="271" t="s">
        <v>365</v>
      </c>
      <c r="C1674" s="272" t="s">
        <v>364</v>
      </c>
      <c r="D1674" s="275" t="s">
        <v>216</v>
      </c>
      <c r="E1674" s="275">
        <v>41510.820057870369</v>
      </c>
      <c r="F1674" s="276">
        <v>2</v>
      </c>
      <c r="G1674" s="243">
        <f t="shared" ref="G1674:G1737" si="27">TRUNC((E1674-start)/7)+1</f>
        <v>100</v>
      </c>
      <c r="H1674" s="244"/>
      <c r="I1674" s="71" t="e">
        <f>IF(COUNTIF((rName rData),H1674),"","Name Error!")</f>
        <v>#NAME?</v>
      </c>
    </row>
    <row r="1675" spans="2:9" s="126" customFormat="1" ht="15" customHeight="1" x14ac:dyDescent="0.25">
      <c r="B1675" s="271" t="s">
        <v>328</v>
      </c>
      <c r="C1675" s="272" t="s">
        <v>327</v>
      </c>
      <c r="D1675" s="275" t="s">
        <v>216</v>
      </c>
      <c r="E1675" s="275">
        <v>41510.825219907405</v>
      </c>
      <c r="F1675" s="276">
        <v>2</v>
      </c>
      <c r="G1675" s="243">
        <f t="shared" si="27"/>
        <v>100</v>
      </c>
      <c r="H1675" s="244"/>
      <c r="I1675" s="71" t="e">
        <f>IF(COUNTIF((rName rData),H1675),"","Name Error!")</f>
        <v>#NAME?</v>
      </c>
    </row>
    <row r="1676" spans="2:9" s="126" customFormat="1" ht="15" customHeight="1" x14ac:dyDescent="0.25">
      <c r="B1676" s="271" t="s">
        <v>339</v>
      </c>
      <c r="C1676" s="272" t="s">
        <v>338</v>
      </c>
      <c r="D1676" s="275" t="s">
        <v>216</v>
      </c>
      <c r="E1676" s="275">
        <v>41511.025138888886</v>
      </c>
      <c r="F1676" s="276">
        <v>1</v>
      </c>
      <c r="G1676" s="243">
        <f t="shared" si="27"/>
        <v>100</v>
      </c>
      <c r="H1676" s="244"/>
      <c r="I1676" s="71" t="e">
        <f>IF(COUNTIF((rName rData),H1676),"","Name Error!")</f>
        <v>#NAME?</v>
      </c>
    </row>
    <row r="1677" spans="2:9" s="126" customFormat="1" ht="15" customHeight="1" x14ac:dyDescent="0.25">
      <c r="B1677" s="271" t="s">
        <v>328</v>
      </c>
      <c r="C1677" s="272" t="s">
        <v>327</v>
      </c>
      <c r="D1677" s="275" t="s">
        <v>216</v>
      </c>
      <c r="E1677" s="275">
        <v>41511.037534722222</v>
      </c>
      <c r="F1677" s="276">
        <v>1</v>
      </c>
      <c r="G1677" s="243">
        <f t="shared" si="27"/>
        <v>100</v>
      </c>
      <c r="H1677" s="244"/>
      <c r="I1677" s="71" t="e">
        <f>IF(COUNTIF((rName rData),H1677),"","Name Error!")</f>
        <v>#NAME?</v>
      </c>
    </row>
    <row r="1678" spans="2:9" s="126" customFormat="1" ht="15" customHeight="1" x14ac:dyDescent="0.25">
      <c r="B1678" s="271" t="s">
        <v>356</v>
      </c>
      <c r="C1678" s="272" t="s">
        <v>355</v>
      </c>
      <c r="D1678" s="275" t="s">
        <v>216</v>
      </c>
      <c r="E1678" s="275">
        <v>41511.039548611108</v>
      </c>
      <c r="F1678" s="276">
        <v>7</v>
      </c>
      <c r="G1678" s="243">
        <f t="shared" si="27"/>
        <v>100</v>
      </c>
      <c r="H1678" s="244"/>
      <c r="I1678" s="71" t="e">
        <f>IF(COUNTIF((rName rData),H1678),"","Name Error!")</f>
        <v>#NAME?</v>
      </c>
    </row>
    <row r="1679" spans="2:9" s="126" customFormat="1" ht="15" customHeight="1" x14ac:dyDescent="0.25">
      <c r="B1679" s="271" t="s">
        <v>362</v>
      </c>
      <c r="C1679" s="272" t="s">
        <v>361</v>
      </c>
      <c r="D1679" s="275" t="s">
        <v>216</v>
      </c>
      <c r="E1679" s="275">
        <v>41511.083923611113</v>
      </c>
      <c r="F1679" s="276">
        <v>2</v>
      </c>
      <c r="G1679" s="243">
        <f t="shared" si="27"/>
        <v>100</v>
      </c>
      <c r="H1679" s="244"/>
      <c r="I1679" s="71" t="e">
        <f>IF(COUNTIF((rName rData),H1679),"","Name Error!")</f>
        <v>#NAME?</v>
      </c>
    </row>
    <row r="1680" spans="2:9" s="126" customFormat="1" ht="15" customHeight="1" x14ac:dyDescent="0.25">
      <c r="B1680" s="271" t="s">
        <v>324</v>
      </c>
      <c r="C1680" s="272" t="s">
        <v>323</v>
      </c>
      <c r="D1680" s="275" t="s">
        <v>216</v>
      </c>
      <c r="E1680" s="275">
        <v>41511.096435185187</v>
      </c>
      <c r="F1680" s="276">
        <v>1</v>
      </c>
      <c r="G1680" s="243">
        <f t="shared" si="27"/>
        <v>100</v>
      </c>
      <c r="H1680" s="244"/>
      <c r="I1680" s="71" t="e">
        <f>IF(COUNTIF((rName rData),H1680),"","Name Error!")</f>
        <v>#NAME?</v>
      </c>
    </row>
    <row r="1681" spans="2:9" s="126" customFormat="1" ht="15" customHeight="1" x14ac:dyDescent="0.25">
      <c r="B1681" s="271" t="s">
        <v>352</v>
      </c>
      <c r="C1681" s="272" t="s">
        <v>351</v>
      </c>
      <c r="D1681" s="275" t="s">
        <v>216</v>
      </c>
      <c r="E1681" s="275">
        <v>41511.342581018522</v>
      </c>
      <c r="F1681" s="276">
        <v>4</v>
      </c>
      <c r="G1681" s="243">
        <f t="shared" si="27"/>
        <v>100</v>
      </c>
      <c r="H1681" s="244"/>
      <c r="I1681" s="71" t="e">
        <f>IF(COUNTIF((rName rData),H1681),"","Name Error!")</f>
        <v>#NAME?</v>
      </c>
    </row>
    <row r="1682" spans="2:9" s="126" customFormat="1" ht="15" customHeight="1" x14ac:dyDescent="0.25">
      <c r="B1682" s="271" t="s">
        <v>354</v>
      </c>
      <c r="C1682" s="272" t="s">
        <v>353</v>
      </c>
      <c r="D1682" s="275" t="s">
        <v>216</v>
      </c>
      <c r="E1682" s="275">
        <v>41511.39770833333</v>
      </c>
      <c r="F1682" s="276">
        <v>4</v>
      </c>
      <c r="G1682" s="243">
        <f t="shared" si="27"/>
        <v>100</v>
      </c>
      <c r="H1682" s="244"/>
      <c r="I1682" s="71" t="e">
        <f>IF(COUNTIF((rName rData),H1682),"","Name Error!")</f>
        <v>#NAME?</v>
      </c>
    </row>
    <row r="1683" spans="2:9" s="126" customFormat="1" ht="15" customHeight="1" x14ac:dyDescent="0.25">
      <c r="B1683" s="271" t="s">
        <v>267</v>
      </c>
      <c r="C1683" s="272" t="s">
        <v>268</v>
      </c>
      <c r="D1683" s="275" t="s">
        <v>216</v>
      </c>
      <c r="E1683" s="275">
        <v>41511.426018518519</v>
      </c>
      <c r="F1683" s="276">
        <v>3</v>
      </c>
      <c r="G1683" s="243">
        <f t="shared" si="27"/>
        <v>100</v>
      </c>
      <c r="H1683" s="244"/>
      <c r="I1683" s="71" t="e">
        <f>IF(COUNTIF((rName rData),H1683),"","Name Error!")</f>
        <v>#NAME?</v>
      </c>
    </row>
    <row r="1684" spans="2:9" s="126" customFormat="1" ht="15" customHeight="1" x14ac:dyDescent="0.25">
      <c r="B1684" s="271" t="s">
        <v>345</v>
      </c>
      <c r="C1684" s="272" t="s">
        <v>344</v>
      </c>
      <c r="D1684" s="275" t="s">
        <v>216</v>
      </c>
      <c r="E1684" s="275">
        <v>41511.453333333331</v>
      </c>
      <c r="F1684" s="276">
        <v>4</v>
      </c>
      <c r="G1684" s="243">
        <f t="shared" si="27"/>
        <v>100</v>
      </c>
      <c r="H1684" s="244"/>
      <c r="I1684" s="71" t="e">
        <f>IF(COUNTIF((rName rData),H1684),"","Name Error!")</f>
        <v>#NAME?</v>
      </c>
    </row>
    <row r="1685" spans="2:9" s="126" customFormat="1" ht="15" customHeight="1" x14ac:dyDescent="0.25">
      <c r="B1685" s="271" t="s">
        <v>367</v>
      </c>
      <c r="C1685" s="272" t="s">
        <v>366</v>
      </c>
      <c r="D1685" s="275" t="s">
        <v>216</v>
      </c>
      <c r="E1685" s="275">
        <v>41511.503159722219</v>
      </c>
      <c r="F1685" s="276">
        <v>2</v>
      </c>
      <c r="G1685" s="243">
        <f t="shared" si="27"/>
        <v>100</v>
      </c>
      <c r="H1685" s="244"/>
      <c r="I1685" s="71" t="e">
        <f>IF(COUNTIF((rName rData),H1685),"","Name Error!")</f>
        <v>#NAME?</v>
      </c>
    </row>
    <row r="1686" spans="2:9" s="126" customFormat="1" ht="15" customHeight="1" x14ac:dyDescent="0.25">
      <c r="B1686" s="271" t="s">
        <v>320</v>
      </c>
      <c r="C1686" s="272" t="s">
        <v>319</v>
      </c>
      <c r="D1686" s="275" t="s">
        <v>216</v>
      </c>
      <c r="E1686" s="275">
        <v>41511.529490740744</v>
      </c>
      <c r="F1686" s="276">
        <v>4</v>
      </c>
      <c r="G1686" s="243">
        <f t="shared" si="27"/>
        <v>100</v>
      </c>
      <c r="H1686" s="244"/>
      <c r="I1686" s="71" t="e">
        <f>IF(COUNTIF((rName rData),H1686),"","Name Error!")</f>
        <v>#NAME?</v>
      </c>
    </row>
    <row r="1687" spans="2:9" s="126" customFormat="1" ht="15" customHeight="1" x14ac:dyDescent="0.25">
      <c r="B1687" s="271" t="s">
        <v>358</v>
      </c>
      <c r="C1687" s="272" t="s">
        <v>357</v>
      </c>
      <c r="D1687" s="275" t="s">
        <v>216</v>
      </c>
      <c r="E1687" s="275">
        <v>41511.604189814818</v>
      </c>
      <c r="F1687" s="276">
        <v>1</v>
      </c>
      <c r="G1687" s="243">
        <f t="shared" si="27"/>
        <v>100</v>
      </c>
      <c r="H1687" s="244"/>
      <c r="I1687" s="71" t="e">
        <f>IF(COUNTIF((rName rData),H1687),"","Name Error!")</f>
        <v>#NAME?</v>
      </c>
    </row>
    <row r="1688" spans="2:9" s="126" customFormat="1" ht="15" customHeight="1" x14ac:dyDescent="0.25">
      <c r="B1688" s="271" t="s">
        <v>322</v>
      </c>
      <c r="C1688" s="272" t="s">
        <v>321</v>
      </c>
      <c r="D1688" s="275" t="s">
        <v>216</v>
      </c>
      <c r="E1688" s="275">
        <v>41511.613217592596</v>
      </c>
      <c r="F1688" s="276">
        <v>2</v>
      </c>
      <c r="G1688" s="243">
        <f t="shared" si="27"/>
        <v>100</v>
      </c>
      <c r="H1688" s="244"/>
      <c r="I1688" s="71" t="e">
        <f>IF(COUNTIF((rName rData),H1688),"","Name Error!")</f>
        <v>#NAME?</v>
      </c>
    </row>
    <row r="1689" spans="2:9" s="126" customFormat="1" ht="15" customHeight="1" x14ac:dyDescent="0.25">
      <c r="B1689" s="271" t="s">
        <v>333</v>
      </c>
      <c r="C1689" s="272" t="s">
        <v>332</v>
      </c>
      <c r="D1689" s="275" t="s">
        <v>216</v>
      </c>
      <c r="E1689" s="275">
        <v>41511.681747685187</v>
      </c>
      <c r="F1689" s="276">
        <v>2</v>
      </c>
      <c r="G1689" s="243">
        <f t="shared" si="27"/>
        <v>100</v>
      </c>
      <c r="H1689" s="244"/>
      <c r="I1689" s="71" t="e">
        <f>IF(COUNTIF((rName rData),H1689),"","Name Error!")</f>
        <v>#NAME?</v>
      </c>
    </row>
    <row r="1690" spans="2:9" s="126" customFormat="1" ht="15" customHeight="1" x14ac:dyDescent="0.25">
      <c r="B1690" s="271" t="s">
        <v>335</v>
      </c>
      <c r="C1690" s="272" t="s">
        <v>334</v>
      </c>
      <c r="D1690" s="275" t="s">
        <v>216</v>
      </c>
      <c r="E1690" s="275">
        <v>41511.701574074075</v>
      </c>
      <c r="F1690" s="276">
        <v>1</v>
      </c>
      <c r="G1690" s="243">
        <f t="shared" si="27"/>
        <v>100</v>
      </c>
      <c r="H1690" s="244"/>
      <c r="I1690" s="71" t="e">
        <f>IF(COUNTIF((rName rData),H1690),"","Name Error!")</f>
        <v>#NAME?</v>
      </c>
    </row>
    <row r="1691" spans="2:9" s="126" customFormat="1" ht="15" customHeight="1" x14ac:dyDescent="0.25">
      <c r="B1691" s="271" t="s">
        <v>341</v>
      </c>
      <c r="C1691" s="272" t="s">
        <v>340</v>
      </c>
      <c r="D1691" s="275" t="s">
        <v>216</v>
      </c>
      <c r="E1691" s="275">
        <v>41511.842233796298</v>
      </c>
      <c r="F1691" s="276">
        <v>1</v>
      </c>
      <c r="G1691" s="243">
        <f t="shared" si="27"/>
        <v>100</v>
      </c>
      <c r="H1691" s="244"/>
      <c r="I1691" s="71" t="e">
        <f>IF(COUNTIF((rName rData),H1691),"","Name Error!")</f>
        <v>#NAME?</v>
      </c>
    </row>
    <row r="1692" spans="2:9" s="126" customFormat="1" ht="15" customHeight="1" x14ac:dyDescent="0.25">
      <c r="B1692" s="271" t="s">
        <v>365</v>
      </c>
      <c r="C1692" s="272" t="s">
        <v>364</v>
      </c>
      <c r="D1692" s="275" t="s">
        <v>216</v>
      </c>
      <c r="E1692" s="275">
        <v>41511.987766203703</v>
      </c>
      <c r="F1692" s="276">
        <v>1</v>
      </c>
      <c r="G1692" s="243">
        <f t="shared" si="27"/>
        <v>100</v>
      </c>
      <c r="H1692" s="244"/>
      <c r="I1692" s="71" t="e">
        <f>IF(COUNTIF((rName rData),H1692),"","Name Error!")</f>
        <v>#NAME?</v>
      </c>
    </row>
    <row r="1693" spans="2:9" s="126" customFormat="1" ht="15" customHeight="1" x14ac:dyDescent="0.25">
      <c r="B1693" s="271" t="s">
        <v>356</v>
      </c>
      <c r="C1693" s="272" t="s">
        <v>355</v>
      </c>
      <c r="D1693" s="275" t="s">
        <v>216</v>
      </c>
      <c r="E1693" s="275">
        <v>41512.000277777777</v>
      </c>
      <c r="F1693" s="276">
        <v>2</v>
      </c>
      <c r="G1693" s="243">
        <f t="shared" si="27"/>
        <v>100</v>
      </c>
      <c r="H1693" s="244"/>
      <c r="I1693" s="71" t="e">
        <f>IF(COUNTIF((rName rData),H1693),"","Name Error!")</f>
        <v>#NAME?</v>
      </c>
    </row>
    <row r="1694" spans="2:9" s="126" customFormat="1" ht="15" customHeight="1" x14ac:dyDescent="0.25">
      <c r="B1694" s="271" t="s">
        <v>337</v>
      </c>
      <c r="C1694" s="272" t="s">
        <v>336</v>
      </c>
      <c r="D1694" s="275" t="s">
        <v>216</v>
      </c>
      <c r="E1694" s="275">
        <v>41512.04488425926</v>
      </c>
      <c r="F1694" s="276">
        <v>1</v>
      </c>
      <c r="G1694" s="243">
        <f t="shared" si="27"/>
        <v>100</v>
      </c>
      <c r="H1694" s="244"/>
      <c r="I1694" s="71" t="e">
        <f>IF(COUNTIF((rName rData),H1694),"","Name Error!")</f>
        <v>#NAME?</v>
      </c>
    </row>
    <row r="1695" spans="2:9" s="126" customFormat="1" ht="15" customHeight="1" x14ac:dyDescent="0.25">
      <c r="B1695" s="271" t="s">
        <v>339</v>
      </c>
      <c r="C1695" s="272" t="s">
        <v>338</v>
      </c>
      <c r="D1695" s="275" t="s">
        <v>216</v>
      </c>
      <c r="E1695" s="275">
        <v>41512.505532407406</v>
      </c>
      <c r="F1695" s="276">
        <v>1</v>
      </c>
      <c r="G1695" s="243">
        <f t="shared" si="27"/>
        <v>100</v>
      </c>
      <c r="H1695" s="244"/>
      <c r="I1695" s="71" t="e">
        <f>IF(COUNTIF((rName rData),H1695),"","Name Error!")</f>
        <v>#NAME?</v>
      </c>
    </row>
    <row r="1696" spans="2:9" s="126" customFormat="1" ht="15" customHeight="1" x14ac:dyDescent="0.25">
      <c r="B1696" s="271" t="s">
        <v>331</v>
      </c>
      <c r="C1696" s="272" t="s">
        <v>330</v>
      </c>
      <c r="D1696" s="275" t="s">
        <v>216</v>
      </c>
      <c r="E1696" s="275">
        <v>41512.560925925929</v>
      </c>
      <c r="F1696" s="276">
        <v>1</v>
      </c>
      <c r="G1696" s="243">
        <f t="shared" si="27"/>
        <v>100</v>
      </c>
      <c r="H1696" s="244"/>
      <c r="I1696" s="71" t="e">
        <f>IF(COUNTIF((rName rData),H1696),"","Name Error!")</f>
        <v>#NAME?</v>
      </c>
    </row>
    <row r="1697" spans="2:9" s="126" customFormat="1" ht="15" customHeight="1" x14ac:dyDescent="0.25">
      <c r="B1697" s="271" t="s">
        <v>354</v>
      </c>
      <c r="C1697" s="272" t="s">
        <v>353</v>
      </c>
      <c r="D1697" s="275" t="s">
        <v>216</v>
      </c>
      <c r="E1697" s="275">
        <v>41512.732048611113</v>
      </c>
      <c r="F1697" s="276">
        <v>1</v>
      </c>
      <c r="G1697" s="243">
        <f t="shared" si="27"/>
        <v>100</v>
      </c>
      <c r="H1697" s="244"/>
      <c r="I1697" s="71" t="e">
        <f>IF(COUNTIF((rName rData),H1697),"","Name Error!")</f>
        <v>#NAME?</v>
      </c>
    </row>
    <row r="1698" spans="2:9" s="126" customFormat="1" ht="15" customHeight="1" x14ac:dyDescent="0.25">
      <c r="B1698" s="271" t="s">
        <v>267</v>
      </c>
      <c r="C1698" s="272" t="s">
        <v>268</v>
      </c>
      <c r="D1698" s="275" t="s">
        <v>216</v>
      </c>
      <c r="E1698" s="275">
        <v>41512.741712962961</v>
      </c>
      <c r="F1698" s="276">
        <v>2</v>
      </c>
      <c r="G1698" s="243">
        <f t="shared" si="27"/>
        <v>100</v>
      </c>
      <c r="H1698" s="244"/>
      <c r="I1698" s="71" t="e">
        <f>IF(COUNTIF((rName rData),H1698),"","Name Error!")</f>
        <v>#NAME?</v>
      </c>
    </row>
    <row r="1699" spans="2:9" s="126" customFormat="1" ht="15" customHeight="1" x14ac:dyDescent="0.25">
      <c r="B1699" s="271" t="s">
        <v>279</v>
      </c>
      <c r="C1699" s="272" t="s">
        <v>280</v>
      </c>
      <c r="D1699" s="275" t="s">
        <v>216</v>
      </c>
      <c r="E1699" s="275">
        <v>41512.773541666669</v>
      </c>
      <c r="F1699" s="276">
        <v>1</v>
      </c>
      <c r="G1699" s="243">
        <f t="shared" si="27"/>
        <v>100</v>
      </c>
      <c r="H1699" s="244"/>
      <c r="I1699" s="71" t="e">
        <f>IF(COUNTIF((rName rData),H1699),"","Name Error!")</f>
        <v>#NAME?</v>
      </c>
    </row>
    <row r="1700" spans="2:9" s="126" customFormat="1" ht="15" customHeight="1" x14ac:dyDescent="0.25">
      <c r="B1700" s="271" t="s">
        <v>279</v>
      </c>
      <c r="C1700" s="272" t="s">
        <v>280</v>
      </c>
      <c r="D1700" s="275" t="s">
        <v>216</v>
      </c>
      <c r="E1700" s="275">
        <v>41513.032372685186</v>
      </c>
      <c r="F1700" s="276">
        <v>3</v>
      </c>
      <c r="G1700" s="243">
        <f t="shared" si="27"/>
        <v>100</v>
      </c>
      <c r="H1700" s="244"/>
      <c r="I1700" s="71" t="e">
        <f>IF(COUNTIF((rName rData),H1700),"","Name Error!")</f>
        <v>#NAME?</v>
      </c>
    </row>
    <row r="1701" spans="2:9" s="126" customFormat="1" ht="15" customHeight="1" x14ac:dyDescent="0.25">
      <c r="B1701" s="271" t="s">
        <v>267</v>
      </c>
      <c r="C1701" s="272" t="s">
        <v>268</v>
      </c>
      <c r="D1701" s="275" t="s">
        <v>216</v>
      </c>
      <c r="E1701" s="275">
        <v>41513.559594907405</v>
      </c>
      <c r="F1701" s="276">
        <v>2</v>
      </c>
      <c r="G1701" s="243">
        <f t="shared" si="27"/>
        <v>100</v>
      </c>
      <c r="H1701" s="244"/>
      <c r="I1701" s="71" t="e">
        <f>IF(COUNTIF((rName rData),H1701),"","Name Error!")</f>
        <v>#NAME?</v>
      </c>
    </row>
    <row r="1702" spans="2:9" s="126" customFormat="1" ht="15" customHeight="1" x14ac:dyDescent="0.25">
      <c r="B1702" s="271" t="s">
        <v>358</v>
      </c>
      <c r="C1702" s="272" t="s">
        <v>357</v>
      </c>
      <c r="D1702" s="275" t="s">
        <v>216</v>
      </c>
      <c r="E1702" s="275">
        <v>41513.815798611111</v>
      </c>
      <c r="F1702" s="276">
        <v>1</v>
      </c>
      <c r="G1702" s="243">
        <f t="shared" si="27"/>
        <v>100</v>
      </c>
      <c r="H1702" s="244"/>
      <c r="I1702" s="71" t="e">
        <f>IF(COUNTIF((rName rData),H1702),"","Name Error!")</f>
        <v>#NAME?</v>
      </c>
    </row>
    <row r="1703" spans="2:9" s="126" customFormat="1" ht="15" customHeight="1" x14ac:dyDescent="0.25">
      <c r="B1703" s="271" t="s">
        <v>354</v>
      </c>
      <c r="C1703" s="272" t="s">
        <v>353</v>
      </c>
      <c r="D1703" s="275" t="s">
        <v>216</v>
      </c>
      <c r="E1703" s="275">
        <v>41513.888368055559</v>
      </c>
      <c r="F1703" s="276">
        <v>1</v>
      </c>
      <c r="G1703" s="243">
        <f t="shared" si="27"/>
        <v>100</v>
      </c>
      <c r="H1703" s="244"/>
      <c r="I1703" s="71" t="e">
        <f>IF(COUNTIF((rName rData),H1703),"","Name Error!")</f>
        <v>#NAME?</v>
      </c>
    </row>
    <row r="1704" spans="2:9" s="126" customFormat="1" ht="15" customHeight="1" x14ac:dyDescent="0.25">
      <c r="B1704" s="271" t="s">
        <v>345</v>
      </c>
      <c r="C1704" s="272" t="s">
        <v>344</v>
      </c>
      <c r="D1704" s="275" t="s">
        <v>216</v>
      </c>
      <c r="E1704" s="275">
        <v>41513.913240740738</v>
      </c>
      <c r="F1704" s="276">
        <v>3</v>
      </c>
      <c r="G1704" s="243">
        <f t="shared" si="27"/>
        <v>100</v>
      </c>
      <c r="H1704" s="244"/>
      <c r="I1704" s="71" t="e">
        <f>IF(COUNTIF((rName rData),H1704),"","Name Error!")</f>
        <v>#NAME?</v>
      </c>
    </row>
    <row r="1705" spans="2:9" s="126" customFormat="1" ht="15" customHeight="1" x14ac:dyDescent="0.25">
      <c r="B1705" s="271" t="s">
        <v>350</v>
      </c>
      <c r="C1705" s="272" t="s">
        <v>349</v>
      </c>
      <c r="D1705" s="275" t="s">
        <v>216</v>
      </c>
      <c r="E1705" s="275">
        <v>41513.930972222224</v>
      </c>
      <c r="F1705" s="276">
        <v>1</v>
      </c>
      <c r="G1705" s="243">
        <f t="shared" si="27"/>
        <v>100</v>
      </c>
      <c r="H1705" s="244"/>
      <c r="I1705" s="71" t="e">
        <f>IF(COUNTIF((rName rData),H1705),"","Name Error!")</f>
        <v>#NAME?</v>
      </c>
    </row>
    <row r="1706" spans="2:9" s="126" customFormat="1" ht="15" customHeight="1" x14ac:dyDescent="0.25">
      <c r="B1706" s="271" t="s">
        <v>267</v>
      </c>
      <c r="C1706" s="272" t="s">
        <v>268</v>
      </c>
      <c r="D1706" s="275" t="s">
        <v>216</v>
      </c>
      <c r="E1706" s="275">
        <v>41514.017442129632</v>
      </c>
      <c r="F1706" s="276">
        <v>2</v>
      </c>
      <c r="G1706" s="243">
        <f t="shared" si="27"/>
        <v>100</v>
      </c>
      <c r="H1706" s="244"/>
      <c r="I1706" s="71" t="e">
        <f>IF(COUNTIF((rName rData),H1706),"","Name Error!")</f>
        <v>#NAME?</v>
      </c>
    </row>
    <row r="1707" spans="2:9" s="126" customFormat="1" ht="15" customHeight="1" x14ac:dyDescent="0.25">
      <c r="B1707" s="271" t="s">
        <v>328</v>
      </c>
      <c r="C1707" s="272" t="s">
        <v>327</v>
      </c>
      <c r="D1707" s="275" t="s">
        <v>216</v>
      </c>
      <c r="E1707" s="275">
        <v>41514.044039351851</v>
      </c>
      <c r="F1707" s="276">
        <v>1</v>
      </c>
      <c r="G1707" s="243">
        <f t="shared" si="27"/>
        <v>100</v>
      </c>
      <c r="H1707" s="244"/>
      <c r="I1707" s="71" t="e">
        <f>IF(COUNTIF((rName rData),H1707),"","Name Error!")</f>
        <v>#NAME?</v>
      </c>
    </row>
    <row r="1708" spans="2:9" s="126" customFormat="1" ht="15" customHeight="1" x14ac:dyDescent="0.25">
      <c r="B1708" s="271" t="s">
        <v>331</v>
      </c>
      <c r="C1708" s="272" t="s">
        <v>330</v>
      </c>
      <c r="D1708" s="275" t="s">
        <v>216</v>
      </c>
      <c r="E1708" s="275">
        <v>41514.884270833332</v>
      </c>
      <c r="F1708" s="276">
        <v>1</v>
      </c>
      <c r="G1708" s="243">
        <f t="shared" si="27"/>
        <v>100</v>
      </c>
      <c r="H1708" s="244"/>
      <c r="I1708" s="71" t="e">
        <f>IF(COUNTIF((rName rData),H1708),"","Name Error!")</f>
        <v>#NAME?</v>
      </c>
    </row>
    <row r="1709" spans="2:9" s="126" customFormat="1" ht="15" customHeight="1" x14ac:dyDescent="0.25">
      <c r="B1709" s="271" t="s">
        <v>358</v>
      </c>
      <c r="C1709" s="272" t="s">
        <v>357</v>
      </c>
      <c r="D1709" s="275" t="s">
        <v>216</v>
      </c>
      <c r="E1709" s="275">
        <v>41514.884710648148</v>
      </c>
      <c r="F1709" s="276">
        <v>1</v>
      </c>
      <c r="G1709" s="243">
        <f t="shared" si="27"/>
        <v>100</v>
      </c>
      <c r="H1709" s="244"/>
      <c r="I1709" s="71" t="e">
        <f>IF(COUNTIF((rName rData),H1709),"","Name Error!")</f>
        <v>#NAME?</v>
      </c>
    </row>
    <row r="1710" spans="2:9" s="126" customFormat="1" ht="15" customHeight="1" x14ac:dyDescent="0.25">
      <c r="B1710" s="271" t="s">
        <v>267</v>
      </c>
      <c r="C1710" s="272" t="s">
        <v>268</v>
      </c>
      <c r="D1710" s="275" t="s">
        <v>216</v>
      </c>
      <c r="E1710" s="275">
        <v>41515.392604166664</v>
      </c>
      <c r="F1710" s="276">
        <v>2</v>
      </c>
      <c r="G1710" s="243">
        <f t="shared" si="27"/>
        <v>100</v>
      </c>
      <c r="H1710" s="244"/>
      <c r="I1710" s="71" t="e">
        <f>IF(COUNTIF((rName rData),H1710),"","Name Error!")</f>
        <v>#NAME?</v>
      </c>
    </row>
    <row r="1711" spans="2:9" s="126" customFormat="1" ht="15" customHeight="1" x14ac:dyDescent="0.25">
      <c r="B1711" s="271" t="s">
        <v>354</v>
      </c>
      <c r="C1711" s="272" t="s">
        <v>353</v>
      </c>
      <c r="D1711" s="275" t="s">
        <v>216</v>
      </c>
      <c r="E1711" s="275">
        <v>41515.40525462963</v>
      </c>
      <c r="F1711" s="276">
        <v>1</v>
      </c>
      <c r="G1711" s="243">
        <f t="shared" si="27"/>
        <v>100</v>
      </c>
      <c r="H1711" s="244"/>
      <c r="I1711" s="71" t="e">
        <f>IF(COUNTIF((rName rData),H1711),"","Name Error!")</f>
        <v>#NAME?</v>
      </c>
    </row>
    <row r="1712" spans="2:9" s="126" customFormat="1" ht="15" customHeight="1" x14ac:dyDescent="0.25">
      <c r="B1712" s="271" t="s">
        <v>345</v>
      </c>
      <c r="C1712" s="272" t="s">
        <v>344</v>
      </c>
      <c r="D1712" s="275" t="s">
        <v>216</v>
      </c>
      <c r="E1712" s="275">
        <v>41515.572106481479</v>
      </c>
      <c r="F1712" s="276">
        <v>1</v>
      </c>
      <c r="G1712" s="243">
        <f t="shared" si="27"/>
        <v>100</v>
      </c>
      <c r="H1712" s="244"/>
      <c r="I1712" s="71" t="e">
        <f>IF(COUNTIF((rName rData),H1712),"","Name Error!")</f>
        <v>#NAME?</v>
      </c>
    </row>
    <row r="1713" spans="2:9" s="126" customFormat="1" ht="15" customHeight="1" x14ac:dyDescent="0.25">
      <c r="B1713" s="271" t="s">
        <v>335</v>
      </c>
      <c r="C1713" s="272" t="s">
        <v>334</v>
      </c>
      <c r="D1713" s="275" t="s">
        <v>216</v>
      </c>
      <c r="E1713" s="275">
        <v>41515.604131944441</v>
      </c>
      <c r="F1713" s="276">
        <v>1</v>
      </c>
      <c r="G1713" s="243">
        <f t="shared" si="27"/>
        <v>100</v>
      </c>
      <c r="H1713" s="244"/>
      <c r="I1713" s="71" t="e">
        <f>IF(COUNTIF((rName rData),H1713),"","Name Error!")</f>
        <v>#NAME?</v>
      </c>
    </row>
    <row r="1714" spans="2:9" s="126" customFormat="1" ht="15" customHeight="1" x14ac:dyDescent="0.25">
      <c r="B1714" s="271" t="s">
        <v>331</v>
      </c>
      <c r="C1714" s="272" t="s">
        <v>330</v>
      </c>
      <c r="D1714" s="275" t="s">
        <v>216</v>
      </c>
      <c r="E1714" s="275">
        <v>41515.64402777778</v>
      </c>
      <c r="F1714" s="276">
        <v>2</v>
      </c>
      <c r="G1714" s="243">
        <f t="shared" si="27"/>
        <v>100</v>
      </c>
      <c r="H1714" s="244"/>
      <c r="I1714" s="71" t="e">
        <f>IF(COUNTIF((rName rData),H1714),"","Name Error!")</f>
        <v>#NAME?</v>
      </c>
    </row>
    <row r="1715" spans="2:9" s="126" customFormat="1" ht="15" customHeight="1" x14ac:dyDescent="0.25">
      <c r="B1715" s="271" t="s">
        <v>341</v>
      </c>
      <c r="C1715" s="272" t="s">
        <v>340</v>
      </c>
      <c r="D1715" s="275" t="s">
        <v>216</v>
      </c>
      <c r="E1715" s="275">
        <v>41515.898738425924</v>
      </c>
      <c r="F1715" s="276">
        <v>2</v>
      </c>
      <c r="G1715" s="243">
        <f t="shared" si="27"/>
        <v>100</v>
      </c>
      <c r="H1715" s="244"/>
      <c r="I1715" s="71" t="e">
        <f>IF(COUNTIF((rName rData),H1715),"","Name Error!")</f>
        <v>#NAME?</v>
      </c>
    </row>
    <row r="1716" spans="2:9" s="126" customFormat="1" ht="15" customHeight="1" x14ac:dyDescent="0.25">
      <c r="B1716" s="271" t="s">
        <v>324</v>
      </c>
      <c r="C1716" s="272" t="s">
        <v>323</v>
      </c>
      <c r="D1716" s="275" t="s">
        <v>216</v>
      </c>
      <c r="E1716" s="275">
        <v>41515.932384259257</v>
      </c>
      <c r="F1716" s="276">
        <v>2</v>
      </c>
      <c r="G1716" s="243">
        <f t="shared" si="27"/>
        <v>100</v>
      </c>
      <c r="H1716" s="244"/>
      <c r="I1716" s="71" t="e">
        <f>IF(COUNTIF((rName rData),H1716),"","Name Error!")</f>
        <v>#NAME?</v>
      </c>
    </row>
    <row r="1717" spans="2:9" s="126" customFormat="1" ht="15" customHeight="1" x14ac:dyDescent="0.25">
      <c r="B1717" s="271" t="s">
        <v>367</v>
      </c>
      <c r="C1717" s="272" t="s">
        <v>366</v>
      </c>
      <c r="D1717" s="275" t="s">
        <v>216</v>
      </c>
      <c r="E1717" s="275">
        <v>41516.018333333333</v>
      </c>
      <c r="F1717" s="276">
        <v>1</v>
      </c>
      <c r="G1717" s="243">
        <f t="shared" si="27"/>
        <v>100</v>
      </c>
      <c r="H1717" s="244"/>
      <c r="I1717" s="71" t="e">
        <f>IF(COUNTIF((rName rData),H1717),"","Name Error!")</f>
        <v>#NAME?</v>
      </c>
    </row>
    <row r="1718" spans="2:9" s="126" customFormat="1" ht="15" customHeight="1" x14ac:dyDescent="0.25">
      <c r="B1718" s="271" t="s">
        <v>267</v>
      </c>
      <c r="C1718" s="272" t="s">
        <v>268</v>
      </c>
      <c r="D1718" s="275" t="s">
        <v>216</v>
      </c>
      <c r="E1718" s="275">
        <v>41516.282939814817</v>
      </c>
      <c r="F1718" s="276">
        <v>2</v>
      </c>
      <c r="G1718" s="243">
        <f t="shared" si="27"/>
        <v>100</v>
      </c>
      <c r="H1718" s="244"/>
      <c r="I1718" s="71" t="e">
        <f>IF(COUNTIF((rName rData),H1718),"","Name Error!")</f>
        <v>#NAME?</v>
      </c>
    </row>
    <row r="1719" spans="2:9" s="126" customFormat="1" ht="15" customHeight="1" x14ac:dyDescent="0.25">
      <c r="B1719" s="271" t="s">
        <v>365</v>
      </c>
      <c r="C1719" s="272" t="s">
        <v>364</v>
      </c>
      <c r="D1719" s="275" t="s">
        <v>216</v>
      </c>
      <c r="E1719" s="275">
        <v>41516.590810185182</v>
      </c>
      <c r="F1719" s="276">
        <v>1</v>
      </c>
      <c r="G1719" s="243">
        <f t="shared" si="27"/>
        <v>100</v>
      </c>
      <c r="H1719" s="244"/>
      <c r="I1719" s="71" t="e">
        <f>IF(COUNTIF((rName rData),H1719),"","Name Error!")</f>
        <v>#NAME?</v>
      </c>
    </row>
    <row r="1720" spans="2:9" s="126" customFormat="1" ht="15" customHeight="1" x14ac:dyDescent="0.25">
      <c r="B1720" s="271" t="s">
        <v>279</v>
      </c>
      <c r="C1720" s="272" t="s">
        <v>280</v>
      </c>
      <c r="D1720" s="275" t="s">
        <v>216</v>
      </c>
      <c r="E1720" s="275">
        <v>41516.7890625</v>
      </c>
      <c r="F1720" s="276">
        <v>1</v>
      </c>
      <c r="G1720" s="243">
        <f t="shared" si="27"/>
        <v>100</v>
      </c>
      <c r="H1720" s="244"/>
      <c r="I1720" s="71" t="e">
        <f>IF(COUNTIF((rName rData),H1720),"","Name Error!")</f>
        <v>#NAME?</v>
      </c>
    </row>
    <row r="1721" spans="2:9" s="126" customFormat="1" ht="15" customHeight="1" x14ac:dyDescent="0.25">
      <c r="B1721" s="271" t="s">
        <v>371</v>
      </c>
      <c r="C1721" s="272" t="s">
        <v>370</v>
      </c>
      <c r="D1721" s="275" t="s">
        <v>216</v>
      </c>
      <c r="E1721" s="275">
        <v>41516.864837962959</v>
      </c>
      <c r="F1721" s="276">
        <v>1</v>
      </c>
      <c r="G1721" s="243">
        <f t="shared" si="27"/>
        <v>100</v>
      </c>
      <c r="H1721" s="244"/>
      <c r="I1721" s="71" t="e">
        <f>IF(COUNTIF((rName rData),H1721),"","Name Error!")</f>
        <v>#NAME?</v>
      </c>
    </row>
    <row r="1722" spans="2:9" s="126" customFormat="1" ht="15" customHeight="1" x14ac:dyDescent="0.25">
      <c r="B1722" s="271" t="s">
        <v>356</v>
      </c>
      <c r="C1722" s="272" t="s">
        <v>355</v>
      </c>
      <c r="D1722" s="275" t="s">
        <v>216</v>
      </c>
      <c r="E1722" s="275">
        <v>41516.934293981481</v>
      </c>
      <c r="F1722" s="276">
        <v>1</v>
      </c>
      <c r="G1722" s="243">
        <f t="shared" si="27"/>
        <v>100</v>
      </c>
      <c r="H1722" s="244"/>
      <c r="I1722" s="71" t="e">
        <f>IF(COUNTIF((rName rData),H1722),"","Name Error!")</f>
        <v>#NAME?</v>
      </c>
    </row>
    <row r="1723" spans="2:9" s="126" customFormat="1" ht="15" customHeight="1" x14ac:dyDescent="0.25">
      <c r="B1723" s="271" t="s">
        <v>356</v>
      </c>
      <c r="C1723" s="272" t="s">
        <v>355</v>
      </c>
      <c r="D1723" s="275" t="s">
        <v>216</v>
      </c>
      <c r="E1723" s="275">
        <v>41517.015543981484</v>
      </c>
      <c r="F1723" s="276">
        <v>7</v>
      </c>
      <c r="G1723" s="243">
        <f t="shared" si="27"/>
        <v>101</v>
      </c>
      <c r="H1723" s="244"/>
      <c r="I1723" s="71" t="e">
        <f>IF(COUNTIF((rName rData),H1723),"","Name Error!")</f>
        <v>#NAME?</v>
      </c>
    </row>
    <row r="1724" spans="2:9" s="126" customFormat="1" ht="15" customHeight="1" x14ac:dyDescent="0.25">
      <c r="B1724" s="271" t="s">
        <v>367</v>
      </c>
      <c r="C1724" s="272" t="s">
        <v>366</v>
      </c>
      <c r="D1724" s="275" t="s">
        <v>216</v>
      </c>
      <c r="E1724" s="275">
        <v>41517.088414351849</v>
      </c>
      <c r="F1724" s="276">
        <v>4</v>
      </c>
      <c r="G1724" s="243">
        <f t="shared" si="27"/>
        <v>101</v>
      </c>
      <c r="H1724" s="244"/>
      <c r="I1724" s="71" t="e">
        <f>IF(COUNTIF((rName rData),H1724),"","Name Error!")</f>
        <v>#NAME?</v>
      </c>
    </row>
    <row r="1725" spans="2:9" s="126" customFormat="1" ht="15" customHeight="1" x14ac:dyDescent="0.25">
      <c r="B1725" s="271" t="s">
        <v>328</v>
      </c>
      <c r="C1725" s="272" t="s">
        <v>327</v>
      </c>
      <c r="D1725" s="275" t="s">
        <v>216</v>
      </c>
      <c r="E1725" s="275">
        <v>41517.09716435185</v>
      </c>
      <c r="F1725" s="276">
        <v>2</v>
      </c>
      <c r="G1725" s="243">
        <f t="shared" si="27"/>
        <v>101</v>
      </c>
      <c r="H1725" s="244"/>
      <c r="I1725" s="71" t="e">
        <f>IF(COUNTIF((rName rData),H1725),"","Name Error!")</f>
        <v>#NAME?</v>
      </c>
    </row>
    <row r="1726" spans="2:9" s="126" customFormat="1" ht="15" customHeight="1" x14ac:dyDescent="0.25">
      <c r="B1726" s="271" t="s">
        <v>324</v>
      </c>
      <c r="C1726" s="272" t="s">
        <v>323</v>
      </c>
      <c r="D1726" s="275" t="s">
        <v>216</v>
      </c>
      <c r="E1726" s="275">
        <v>41517.143414351849</v>
      </c>
      <c r="F1726" s="276">
        <v>4</v>
      </c>
      <c r="G1726" s="243">
        <f t="shared" si="27"/>
        <v>101</v>
      </c>
      <c r="H1726" s="244"/>
      <c r="I1726" s="71" t="e">
        <f>IF(COUNTIF((rName rData),H1726),"","Name Error!")</f>
        <v>#NAME?</v>
      </c>
    </row>
    <row r="1727" spans="2:9" s="126" customFormat="1" ht="15" customHeight="1" x14ac:dyDescent="0.25">
      <c r="B1727" s="271" t="s">
        <v>267</v>
      </c>
      <c r="C1727" s="272" t="s">
        <v>268</v>
      </c>
      <c r="D1727" s="275" t="s">
        <v>216</v>
      </c>
      <c r="E1727" s="275">
        <v>41517.399953703702</v>
      </c>
      <c r="F1727" s="276">
        <v>1</v>
      </c>
      <c r="G1727" s="243">
        <f t="shared" si="27"/>
        <v>101</v>
      </c>
      <c r="H1727" s="244"/>
      <c r="I1727" s="71" t="e">
        <f>IF(COUNTIF((rName rData),H1727),"","Name Error!")</f>
        <v>#NAME?</v>
      </c>
    </row>
    <row r="1728" spans="2:9" s="126" customFormat="1" ht="15" customHeight="1" x14ac:dyDescent="0.25">
      <c r="B1728" s="271" t="s">
        <v>322</v>
      </c>
      <c r="C1728" s="272" t="s">
        <v>321</v>
      </c>
      <c r="D1728" s="275" t="s">
        <v>216</v>
      </c>
      <c r="E1728" s="275">
        <v>41517.476203703707</v>
      </c>
      <c r="F1728" s="276">
        <v>3</v>
      </c>
      <c r="G1728" s="243">
        <f t="shared" si="27"/>
        <v>101</v>
      </c>
      <c r="H1728" s="244"/>
      <c r="I1728" s="71" t="e">
        <f>IF(COUNTIF((rName rData),H1728),"","Name Error!")</f>
        <v>#NAME?</v>
      </c>
    </row>
    <row r="1729" spans="2:9" s="126" customFormat="1" ht="15" customHeight="1" x14ac:dyDescent="0.25">
      <c r="B1729" s="271" t="s">
        <v>354</v>
      </c>
      <c r="C1729" s="272" t="s">
        <v>353</v>
      </c>
      <c r="D1729" s="275" t="s">
        <v>216</v>
      </c>
      <c r="E1729" s="275">
        <v>41517.503101851849</v>
      </c>
      <c r="F1729" s="276">
        <v>1</v>
      </c>
      <c r="G1729" s="243">
        <f t="shared" si="27"/>
        <v>101</v>
      </c>
      <c r="H1729" s="244"/>
      <c r="I1729" s="71" t="e">
        <f>IF(COUNTIF((rName rData),H1729),"","Name Error!")</f>
        <v>#NAME?</v>
      </c>
    </row>
    <row r="1730" spans="2:9" s="126" customFormat="1" ht="15" customHeight="1" x14ac:dyDescent="0.25">
      <c r="B1730" s="271" t="s">
        <v>337</v>
      </c>
      <c r="C1730" s="272" t="s">
        <v>336</v>
      </c>
      <c r="D1730" s="275" t="s">
        <v>216</v>
      </c>
      <c r="E1730" s="275">
        <v>41517.575659722221</v>
      </c>
      <c r="F1730" s="276">
        <v>3</v>
      </c>
      <c r="G1730" s="243">
        <f t="shared" si="27"/>
        <v>101</v>
      </c>
      <c r="H1730" s="244"/>
      <c r="I1730" s="71" t="e">
        <f>IF(COUNTIF((rName rData),H1730),"","Name Error!")</f>
        <v>#NAME?</v>
      </c>
    </row>
    <row r="1731" spans="2:9" s="126" customFormat="1" ht="15" customHeight="1" x14ac:dyDescent="0.25">
      <c r="B1731" s="271" t="s">
        <v>341</v>
      </c>
      <c r="C1731" s="272" t="s">
        <v>340</v>
      </c>
      <c r="D1731" s="275" t="s">
        <v>216</v>
      </c>
      <c r="E1731" s="275">
        <v>41517.588807870372</v>
      </c>
      <c r="F1731" s="276">
        <v>1</v>
      </c>
      <c r="G1731" s="243">
        <f t="shared" si="27"/>
        <v>101</v>
      </c>
      <c r="H1731" s="244"/>
      <c r="I1731" s="71" t="e">
        <f>IF(COUNTIF((rName rData),H1731),"","Name Error!")</f>
        <v>#NAME?</v>
      </c>
    </row>
    <row r="1732" spans="2:9" s="126" customFormat="1" ht="15" customHeight="1" x14ac:dyDescent="0.25">
      <c r="B1732" s="271" t="s">
        <v>339</v>
      </c>
      <c r="C1732" s="272" t="s">
        <v>338</v>
      </c>
      <c r="D1732" s="275" t="s">
        <v>216</v>
      </c>
      <c r="E1732" s="275">
        <v>41517.68409722222</v>
      </c>
      <c r="F1732" s="276">
        <v>2</v>
      </c>
      <c r="G1732" s="243">
        <f t="shared" si="27"/>
        <v>101</v>
      </c>
      <c r="H1732" s="244"/>
      <c r="I1732" s="71" t="e">
        <f>IF(COUNTIF((rName rData),H1732),"","Name Error!")</f>
        <v>#NAME?</v>
      </c>
    </row>
    <row r="1733" spans="2:9" s="126" customFormat="1" ht="15" customHeight="1" x14ac:dyDescent="0.25">
      <c r="B1733" s="271" t="s">
        <v>279</v>
      </c>
      <c r="C1733" s="272" t="s">
        <v>280</v>
      </c>
      <c r="D1733" s="275" t="s">
        <v>216</v>
      </c>
      <c r="E1733" s="275">
        <v>41517.974594907406</v>
      </c>
      <c r="F1733" s="276">
        <v>1</v>
      </c>
      <c r="G1733" s="243">
        <f t="shared" si="27"/>
        <v>101</v>
      </c>
      <c r="H1733" s="244"/>
      <c r="I1733" s="71" t="e">
        <f>IF(COUNTIF((rName rData),H1733),"","Name Error!")</f>
        <v>#NAME?</v>
      </c>
    </row>
    <row r="1734" spans="2:9" s="126" customFormat="1" ht="15" customHeight="1" x14ac:dyDescent="0.25">
      <c r="B1734" s="271" t="s">
        <v>362</v>
      </c>
      <c r="C1734" s="272" t="s">
        <v>361</v>
      </c>
      <c r="D1734" s="275" t="s">
        <v>216</v>
      </c>
      <c r="E1734" s="275">
        <v>41517.985763888886</v>
      </c>
      <c r="F1734" s="276">
        <v>2</v>
      </c>
      <c r="G1734" s="243">
        <f t="shared" si="27"/>
        <v>101</v>
      </c>
      <c r="H1734" s="244"/>
      <c r="I1734" s="71" t="e">
        <f>IF(COUNTIF((rName rData),H1734),"","Name Error!")</f>
        <v>#NAME?</v>
      </c>
    </row>
    <row r="1735" spans="2:9" s="126" customFormat="1" ht="15" customHeight="1" x14ac:dyDescent="0.25">
      <c r="B1735" s="271" t="s">
        <v>328</v>
      </c>
      <c r="C1735" s="272" t="s">
        <v>327</v>
      </c>
      <c r="D1735" s="275" t="s">
        <v>216</v>
      </c>
      <c r="E1735" s="275">
        <v>41518.016493055555</v>
      </c>
      <c r="F1735" s="276">
        <v>2</v>
      </c>
      <c r="G1735" s="243">
        <f t="shared" si="27"/>
        <v>101</v>
      </c>
      <c r="H1735" s="244"/>
      <c r="I1735" s="71" t="e">
        <f>IF(COUNTIF((rName rData),H1735),"","Name Error!")</f>
        <v>#NAME?</v>
      </c>
    </row>
    <row r="1736" spans="2:9" s="126" customFormat="1" ht="15" customHeight="1" x14ac:dyDescent="0.25">
      <c r="B1736" s="271" t="s">
        <v>324</v>
      </c>
      <c r="C1736" s="272" t="s">
        <v>323</v>
      </c>
      <c r="D1736" s="275" t="s">
        <v>216</v>
      </c>
      <c r="E1736" s="275">
        <v>41518.045266203706</v>
      </c>
      <c r="F1736" s="276">
        <v>6</v>
      </c>
      <c r="G1736" s="243">
        <f t="shared" si="27"/>
        <v>101</v>
      </c>
      <c r="H1736" s="244"/>
      <c r="I1736" s="71" t="e">
        <f>IF(COUNTIF((rName rData),H1736),"","Name Error!")</f>
        <v>#NAME?</v>
      </c>
    </row>
    <row r="1737" spans="2:9" s="126" customFormat="1" ht="15" customHeight="1" x14ac:dyDescent="0.25">
      <c r="B1737" s="271" t="s">
        <v>367</v>
      </c>
      <c r="C1737" s="272" t="s">
        <v>366</v>
      </c>
      <c r="D1737" s="275" t="s">
        <v>216</v>
      </c>
      <c r="E1737" s="275">
        <v>41518.169872685183</v>
      </c>
      <c r="F1737" s="276">
        <v>4</v>
      </c>
      <c r="G1737" s="243">
        <f t="shared" si="27"/>
        <v>101</v>
      </c>
      <c r="H1737" s="244"/>
      <c r="I1737" s="71" t="e">
        <f>IF(COUNTIF((rName rData),H1737),"","Name Error!")</f>
        <v>#NAME?</v>
      </c>
    </row>
    <row r="1738" spans="2:9" s="126" customFormat="1" ht="15" customHeight="1" x14ac:dyDescent="0.25">
      <c r="B1738" s="271" t="s">
        <v>362</v>
      </c>
      <c r="C1738" s="272" t="s">
        <v>361</v>
      </c>
      <c r="D1738" s="275" t="s">
        <v>216</v>
      </c>
      <c r="E1738" s="275">
        <v>41518.34747685185</v>
      </c>
      <c r="F1738" s="276">
        <v>8</v>
      </c>
      <c r="G1738" s="243">
        <f t="shared" ref="G1738:G1801" si="28">TRUNC((E1738-start)/7)+1</f>
        <v>101</v>
      </c>
      <c r="H1738" s="244"/>
      <c r="I1738" s="71" t="e">
        <f>IF(COUNTIF((rName rData),H1738),"","Name Error!")</f>
        <v>#NAME?</v>
      </c>
    </row>
    <row r="1739" spans="2:9" s="126" customFormat="1" ht="15" customHeight="1" x14ac:dyDescent="0.25">
      <c r="B1739" s="271" t="s">
        <v>333</v>
      </c>
      <c r="C1739" s="272" t="s">
        <v>332</v>
      </c>
      <c r="D1739" s="275" t="s">
        <v>216</v>
      </c>
      <c r="E1739" s="275">
        <v>41518.46234953704</v>
      </c>
      <c r="F1739" s="276">
        <v>2</v>
      </c>
      <c r="G1739" s="243">
        <f t="shared" si="28"/>
        <v>101</v>
      </c>
      <c r="H1739" s="244"/>
      <c r="I1739" s="71" t="e">
        <f>IF(COUNTIF((rName rData),H1739),"","Name Error!")</f>
        <v>#NAME?</v>
      </c>
    </row>
    <row r="1740" spans="2:9" s="126" customFormat="1" ht="15" customHeight="1" x14ac:dyDescent="0.25">
      <c r="B1740" s="271" t="s">
        <v>337</v>
      </c>
      <c r="C1740" s="272" t="s">
        <v>336</v>
      </c>
      <c r="D1740" s="275" t="s">
        <v>216</v>
      </c>
      <c r="E1740" s="275">
        <v>41518.465173611112</v>
      </c>
      <c r="F1740" s="276">
        <v>4</v>
      </c>
      <c r="G1740" s="243">
        <f t="shared" si="28"/>
        <v>101</v>
      </c>
      <c r="H1740" s="244"/>
      <c r="I1740" s="71" t="e">
        <f>IF(COUNTIF((rName rData),H1740),"","Name Error!")</f>
        <v>#NAME?</v>
      </c>
    </row>
    <row r="1741" spans="2:9" s="126" customFormat="1" ht="15" customHeight="1" x14ac:dyDescent="0.25">
      <c r="B1741" s="271" t="s">
        <v>322</v>
      </c>
      <c r="C1741" s="272" t="s">
        <v>321</v>
      </c>
      <c r="D1741" s="275" t="s">
        <v>216</v>
      </c>
      <c r="E1741" s="275">
        <v>41518.466851851852</v>
      </c>
      <c r="F1741" s="276">
        <v>4</v>
      </c>
      <c r="G1741" s="243">
        <f t="shared" si="28"/>
        <v>101</v>
      </c>
      <c r="H1741" s="244"/>
      <c r="I1741" s="71" t="e">
        <f>IF(COUNTIF((rName rData),H1741),"","Name Error!")</f>
        <v>#NAME?</v>
      </c>
    </row>
    <row r="1742" spans="2:9" s="126" customFormat="1" ht="15" customHeight="1" x14ac:dyDescent="0.25">
      <c r="B1742" s="271" t="s">
        <v>341</v>
      </c>
      <c r="C1742" s="272" t="s">
        <v>340</v>
      </c>
      <c r="D1742" s="275" t="s">
        <v>216</v>
      </c>
      <c r="E1742" s="275">
        <v>41518.491018518522</v>
      </c>
      <c r="F1742" s="276">
        <v>2</v>
      </c>
      <c r="G1742" s="243">
        <f t="shared" si="28"/>
        <v>101</v>
      </c>
      <c r="H1742" s="244"/>
      <c r="I1742" s="71" t="e">
        <f>IF(COUNTIF((rName rData),H1742),"","Name Error!")</f>
        <v>#NAME?</v>
      </c>
    </row>
    <row r="1743" spans="2:9" s="126" customFormat="1" ht="15" customHeight="1" x14ac:dyDescent="0.25">
      <c r="B1743" s="271" t="s">
        <v>356</v>
      </c>
      <c r="C1743" s="272" t="s">
        <v>355</v>
      </c>
      <c r="D1743" s="275" t="s">
        <v>216</v>
      </c>
      <c r="E1743" s="275">
        <v>41518.504826388889</v>
      </c>
      <c r="F1743" s="276">
        <v>4</v>
      </c>
      <c r="G1743" s="243">
        <f t="shared" si="28"/>
        <v>101</v>
      </c>
      <c r="H1743" s="244"/>
      <c r="I1743" s="71" t="e">
        <f>IF(COUNTIF((rName rData),H1743),"","Name Error!")</f>
        <v>#NAME?</v>
      </c>
    </row>
    <row r="1744" spans="2:9" s="126" customFormat="1" ht="15" customHeight="1" x14ac:dyDescent="0.25">
      <c r="B1744" s="271" t="s">
        <v>352</v>
      </c>
      <c r="C1744" s="272" t="s">
        <v>351</v>
      </c>
      <c r="D1744" s="275" t="s">
        <v>216</v>
      </c>
      <c r="E1744" s="275">
        <v>41518.518634259257</v>
      </c>
      <c r="F1744" s="276">
        <v>1</v>
      </c>
      <c r="G1744" s="243">
        <f t="shared" si="28"/>
        <v>101</v>
      </c>
      <c r="H1744" s="244"/>
      <c r="I1744" s="71" t="e">
        <f>IF(COUNTIF((rName rData),H1744),"","Name Error!")</f>
        <v>#NAME?</v>
      </c>
    </row>
    <row r="1745" spans="2:9" s="126" customFormat="1" ht="15" customHeight="1" x14ac:dyDescent="0.25">
      <c r="B1745" s="271" t="s">
        <v>267</v>
      </c>
      <c r="C1745" s="272" t="s">
        <v>268</v>
      </c>
      <c r="D1745" s="275" t="s">
        <v>216</v>
      </c>
      <c r="E1745" s="275">
        <v>41518.51972222222</v>
      </c>
      <c r="F1745" s="276">
        <v>2</v>
      </c>
      <c r="G1745" s="243">
        <f t="shared" si="28"/>
        <v>101</v>
      </c>
      <c r="H1745" s="244"/>
      <c r="I1745" s="71" t="e">
        <f>IF(COUNTIF((rName rData),H1745),"","Name Error!")</f>
        <v>#NAME?</v>
      </c>
    </row>
    <row r="1746" spans="2:9" s="126" customFormat="1" ht="15" customHeight="1" x14ac:dyDescent="0.25">
      <c r="B1746" s="271" t="s">
        <v>339</v>
      </c>
      <c r="C1746" s="272" t="s">
        <v>338</v>
      </c>
      <c r="D1746" s="275" t="s">
        <v>216</v>
      </c>
      <c r="E1746" s="275">
        <v>41518.520787037036</v>
      </c>
      <c r="F1746" s="276">
        <v>2</v>
      </c>
      <c r="G1746" s="243">
        <f t="shared" si="28"/>
        <v>101</v>
      </c>
      <c r="H1746" s="244"/>
      <c r="I1746" s="71" t="e">
        <f>IF(COUNTIF((rName rData),H1746),"","Name Error!")</f>
        <v>#NAME?</v>
      </c>
    </row>
    <row r="1747" spans="2:9" s="126" customFormat="1" ht="15" customHeight="1" x14ac:dyDescent="0.25">
      <c r="B1747" s="271" t="s">
        <v>331</v>
      </c>
      <c r="C1747" s="272" t="s">
        <v>330</v>
      </c>
      <c r="D1747" s="275" t="s">
        <v>216</v>
      </c>
      <c r="E1747" s="275">
        <v>41518.527916666666</v>
      </c>
      <c r="F1747" s="276">
        <v>3</v>
      </c>
      <c r="G1747" s="243">
        <f t="shared" si="28"/>
        <v>101</v>
      </c>
      <c r="H1747" s="244"/>
      <c r="I1747" s="71" t="e">
        <f>IF(COUNTIF((rName rData),H1747),"","Name Error!")</f>
        <v>#NAME?</v>
      </c>
    </row>
    <row r="1748" spans="2:9" s="126" customFormat="1" ht="15" customHeight="1" x14ac:dyDescent="0.25">
      <c r="B1748" s="271" t="s">
        <v>350</v>
      </c>
      <c r="C1748" s="272" t="s">
        <v>349</v>
      </c>
      <c r="D1748" s="275" t="s">
        <v>216</v>
      </c>
      <c r="E1748" s="275">
        <v>41518.531168981484</v>
      </c>
      <c r="F1748" s="276">
        <v>1</v>
      </c>
      <c r="G1748" s="243">
        <f t="shared" si="28"/>
        <v>101</v>
      </c>
      <c r="H1748" s="244"/>
      <c r="I1748" s="71" t="e">
        <f>IF(COUNTIF((rName rData),H1748),"","Name Error!")</f>
        <v>#NAME?</v>
      </c>
    </row>
    <row r="1749" spans="2:9" s="126" customFormat="1" ht="15" customHeight="1" x14ac:dyDescent="0.25">
      <c r="B1749" s="271" t="s">
        <v>358</v>
      </c>
      <c r="C1749" s="272" t="s">
        <v>357</v>
      </c>
      <c r="D1749" s="275" t="s">
        <v>216</v>
      </c>
      <c r="E1749" s="275">
        <v>41518.543726851851</v>
      </c>
      <c r="F1749" s="276">
        <v>1</v>
      </c>
      <c r="G1749" s="243">
        <f t="shared" si="28"/>
        <v>101</v>
      </c>
      <c r="H1749" s="244"/>
      <c r="I1749" s="71" t="e">
        <f>IF(COUNTIF((rName rData),H1749),"","Name Error!")</f>
        <v>#NAME?</v>
      </c>
    </row>
    <row r="1750" spans="2:9" s="126" customFormat="1" ht="15" customHeight="1" x14ac:dyDescent="0.25">
      <c r="B1750" s="271" t="s">
        <v>371</v>
      </c>
      <c r="C1750" s="272" t="s">
        <v>370</v>
      </c>
      <c r="D1750" s="275" t="s">
        <v>216</v>
      </c>
      <c r="E1750" s="275">
        <v>41518.553773148145</v>
      </c>
      <c r="F1750" s="276">
        <v>1</v>
      </c>
      <c r="G1750" s="243">
        <f t="shared" si="28"/>
        <v>101</v>
      </c>
      <c r="H1750" s="244"/>
      <c r="I1750" s="71" t="e">
        <f>IF(COUNTIF((rName rData),H1750),"","Name Error!")</f>
        <v>#NAME?</v>
      </c>
    </row>
    <row r="1751" spans="2:9" s="126" customFormat="1" ht="15" customHeight="1" x14ac:dyDescent="0.25">
      <c r="B1751" s="271" t="s">
        <v>279</v>
      </c>
      <c r="C1751" s="272" t="s">
        <v>280</v>
      </c>
      <c r="D1751" s="275" t="s">
        <v>216</v>
      </c>
      <c r="E1751" s="275">
        <v>41518.601400462961</v>
      </c>
      <c r="F1751" s="276">
        <v>3</v>
      </c>
      <c r="G1751" s="243">
        <f t="shared" si="28"/>
        <v>101</v>
      </c>
      <c r="H1751" s="244"/>
      <c r="I1751" s="71" t="e">
        <f>IF(COUNTIF((rName rData),H1751),"","Name Error!")</f>
        <v>#NAME?</v>
      </c>
    </row>
    <row r="1752" spans="2:9" s="126" customFormat="1" ht="15" customHeight="1" x14ac:dyDescent="0.25">
      <c r="B1752" s="271" t="s">
        <v>320</v>
      </c>
      <c r="C1752" s="272" t="s">
        <v>319</v>
      </c>
      <c r="D1752" s="275" t="s">
        <v>216</v>
      </c>
      <c r="E1752" s="275">
        <v>41518.601921296293</v>
      </c>
      <c r="F1752" s="276">
        <v>2</v>
      </c>
      <c r="G1752" s="243">
        <f t="shared" si="28"/>
        <v>101</v>
      </c>
      <c r="H1752" s="244"/>
      <c r="I1752" s="71" t="e">
        <f>IF(COUNTIF((rName rData),H1752),"","Name Error!")</f>
        <v>#NAME?</v>
      </c>
    </row>
    <row r="1753" spans="2:9" s="126" customFormat="1" ht="15" customHeight="1" x14ac:dyDescent="0.25">
      <c r="B1753" s="271" t="s">
        <v>354</v>
      </c>
      <c r="C1753" s="272" t="s">
        <v>353</v>
      </c>
      <c r="D1753" s="275" t="s">
        <v>216</v>
      </c>
      <c r="E1753" s="275">
        <v>41518.718101851853</v>
      </c>
      <c r="F1753" s="276">
        <v>3</v>
      </c>
      <c r="G1753" s="243">
        <f t="shared" si="28"/>
        <v>101</v>
      </c>
      <c r="H1753" s="244"/>
      <c r="I1753" s="71" t="e">
        <f>IF(COUNTIF((rName rData),H1753),"","Name Error!")</f>
        <v>#NAME?</v>
      </c>
    </row>
    <row r="1754" spans="2:9" s="126" customFormat="1" ht="15" customHeight="1" x14ac:dyDescent="0.25">
      <c r="B1754" s="271" t="s">
        <v>365</v>
      </c>
      <c r="C1754" s="272" t="s">
        <v>364</v>
      </c>
      <c r="D1754" s="275" t="s">
        <v>216</v>
      </c>
      <c r="E1754" s="275">
        <v>41518.740081018521</v>
      </c>
      <c r="F1754" s="276">
        <v>2</v>
      </c>
      <c r="G1754" s="243">
        <f t="shared" si="28"/>
        <v>101</v>
      </c>
      <c r="H1754" s="244"/>
      <c r="I1754" s="71" t="e">
        <f>IF(COUNTIF((rName rData),H1754),"","Name Error!")</f>
        <v>#NAME?</v>
      </c>
    </row>
    <row r="1755" spans="2:9" s="126" customFormat="1" ht="15" customHeight="1" x14ac:dyDescent="0.25">
      <c r="B1755" s="271" t="s">
        <v>328</v>
      </c>
      <c r="C1755" s="272" t="s">
        <v>327</v>
      </c>
      <c r="D1755" s="275" t="s">
        <v>216</v>
      </c>
      <c r="E1755" s="275">
        <v>41519.026192129626</v>
      </c>
      <c r="F1755" s="276">
        <v>2</v>
      </c>
      <c r="G1755" s="243">
        <f t="shared" si="28"/>
        <v>101</v>
      </c>
      <c r="H1755" s="244"/>
      <c r="I1755" s="71" t="e">
        <f>IF(COUNTIF((rName rData),H1755),"","Name Error!")</f>
        <v>#NAME?</v>
      </c>
    </row>
    <row r="1756" spans="2:9" s="126" customFormat="1" ht="15" customHeight="1" x14ac:dyDescent="0.25">
      <c r="B1756" s="271" t="s">
        <v>324</v>
      </c>
      <c r="C1756" s="272" t="s">
        <v>323</v>
      </c>
      <c r="D1756" s="275" t="s">
        <v>216</v>
      </c>
      <c r="E1756" s="275">
        <v>41519.032812500001</v>
      </c>
      <c r="F1756" s="276">
        <v>2</v>
      </c>
      <c r="G1756" s="243">
        <f t="shared" si="28"/>
        <v>101</v>
      </c>
      <c r="H1756" s="244"/>
      <c r="I1756" s="71" t="e">
        <f>IF(COUNTIF((rName rData),H1756),"","Name Error!")</f>
        <v>#NAME?</v>
      </c>
    </row>
    <row r="1757" spans="2:9" s="126" customFormat="1" ht="15" customHeight="1" x14ac:dyDescent="0.25">
      <c r="B1757" s="271" t="s">
        <v>267</v>
      </c>
      <c r="C1757" s="272" t="s">
        <v>268</v>
      </c>
      <c r="D1757" s="275" t="s">
        <v>216</v>
      </c>
      <c r="E1757" s="275">
        <v>41519.425740740742</v>
      </c>
      <c r="F1757" s="276">
        <v>4</v>
      </c>
      <c r="G1757" s="243">
        <f t="shared" si="28"/>
        <v>101</v>
      </c>
      <c r="H1757" s="244"/>
      <c r="I1757" s="71" t="e">
        <f>IF(COUNTIF((rName rData),H1757),"","Name Error!")</f>
        <v>#NAME?</v>
      </c>
    </row>
    <row r="1758" spans="2:9" s="126" customFormat="1" ht="15" customHeight="1" x14ac:dyDescent="0.25">
      <c r="B1758" s="271" t="s">
        <v>322</v>
      </c>
      <c r="C1758" s="272" t="s">
        <v>321</v>
      </c>
      <c r="D1758" s="275" t="s">
        <v>216</v>
      </c>
      <c r="E1758" s="275">
        <v>41519.449456018519</v>
      </c>
      <c r="F1758" s="276">
        <v>1</v>
      </c>
      <c r="G1758" s="243">
        <f t="shared" si="28"/>
        <v>101</v>
      </c>
      <c r="H1758" s="244"/>
      <c r="I1758" s="71" t="e">
        <f>IF(COUNTIF((rName rData),H1758),"","Name Error!")</f>
        <v>#NAME?</v>
      </c>
    </row>
    <row r="1759" spans="2:9" s="126" customFormat="1" ht="15" customHeight="1" x14ac:dyDescent="0.25">
      <c r="B1759" s="271" t="s">
        <v>358</v>
      </c>
      <c r="C1759" s="272" t="s">
        <v>357</v>
      </c>
      <c r="D1759" s="275" t="s">
        <v>216</v>
      </c>
      <c r="E1759" s="275">
        <v>41519.454699074071</v>
      </c>
      <c r="F1759" s="276">
        <v>2</v>
      </c>
      <c r="G1759" s="243">
        <f t="shared" si="28"/>
        <v>101</v>
      </c>
      <c r="H1759" s="244"/>
      <c r="I1759" s="71" t="e">
        <f>IF(COUNTIF((rName rData),H1759),"","Name Error!")</f>
        <v>#NAME?</v>
      </c>
    </row>
    <row r="1760" spans="2:9" s="126" customFormat="1" ht="15" customHeight="1" x14ac:dyDescent="0.25">
      <c r="B1760" s="271" t="s">
        <v>331</v>
      </c>
      <c r="C1760" s="272" t="s">
        <v>330</v>
      </c>
      <c r="D1760" s="275" t="s">
        <v>216</v>
      </c>
      <c r="E1760" s="275">
        <v>41519.594652777778</v>
      </c>
      <c r="F1760" s="276">
        <v>1</v>
      </c>
      <c r="G1760" s="243">
        <f t="shared" si="28"/>
        <v>101</v>
      </c>
      <c r="H1760" s="244"/>
      <c r="I1760" s="71" t="e">
        <f>IF(COUNTIF((rName rData),H1760),"","Name Error!")</f>
        <v>#NAME?</v>
      </c>
    </row>
    <row r="1761" spans="2:9" s="126" customFormat="1" ht="15" customHeight="1" x14ac:dyDescent="0.25">
      <c r="B1761" s="271" t="s">
        <v>333</v>
      </c>
      <c r="C1761" s="272" t="s">
        <v>332</v>
      </c>
      <c r="D1761" s="275" t="s">
        <v>216</v>
      </c>
      <c r="E1761" s="275">
        <v>41519.599664351852</v>
      </c>
      <c r="F1761" s="276">
        <v>2</v>
      </c>
      <c r="G1761" s="243">
        <f t="shared" si="28"/>
        <v>101</v>
      </c>
      <c r="H1761" s="244"/>
      <c r="I1761" s="71" t="e">
        <f>IF(COUNTIF((rName rData),H1761),"","Name Error!")</f>
        <v>#NAME?</v>
      </c>
    </row>
    <row r="1762" spans="2:9" s="126" customFormat="1" ht="15" customHeight="1" x14ac:dyDescent="0.25">
      <c r="B1762" s="271" t="s">
        <v>354</v>
      </c>
      <c r="C1762" s="272" t="s">
        <v>353</v>
      </c>
      <c r="D1762" s="275" t="s">
        <v>216</v>
      </c>
      <c r="E1762" s="275">
        <v>41519.612847222219</v>
      </c>
      <c r="F1762" s="276">
        <v>1</v>
      </c>
      <c r="G1762" s="243">
        <f t="shared" si="28"/>
        <v>101</v>
      </c>
      <c r="H1762" s="244"/>
      <c r="I1762" s="71" t="e">
        <f>IF(COUNTIF((rName rData),H1762),"","Name Error!")</f>
        <v>#NAME?</v>
      </c>
    </row>
    <row r="1763" spans="2:9" s="126" customFormat="1" ht="15" customHeight="1" x14ac:dyDescent="0.25">
      <c r="B1763" s="271" t="s">
        <v>350</v>
      </c>
      <c r="C1763" s="272" t="s">
        <v>349</v>
      </c>
      <c r="D1763" s="275" t="s">
        <v>216</v>
      </c>
      <c r="E1763" s="275">
        <v>41520.489282407405</v>
      </c>
      <c r="F1763" s="276">
        <v>4</v>
      </c>
      <c r="G1763" s="243">
        <f t="shared" si="28"/>
        <v>101</v>
      </c>
      <c r="H1763" s="244"/>
      <c r="I1763" s="71" t="e">
        <f>IF(COUNTIF((rName rData),H1763),"","Name Error!")</f>
        <v>#NAME?</v>
      </c>
    </row>
    <row r="1764" spans="2:9" s="126" customFormat="1" ht="15" customHeight="1" x14ac:dyDescent="0.25">
      <c r="B1764" s="271" t="s">
        <v>267</v>
      </c>
      <c r="C1764" s="272" t="s">
        <v>268</v>
      </c>
      <c r="D1764" s="275" t="s">
        <v>216</v>
      </c>
      <c r="E1764" s="275">
        <v>41520.560949074075</v>
      </c>
      <c r="F1764" s="276">
        <v>2</v>
      </c>
      <c r="G1764" s="243">
        <f t="shared" si="28"/>
        <v>101</v>
      </c>
      <c r="H1764" s="244"/>
      <c r="I1764" s="71" t="e">
        <f>IF(COUNTIF((rName rData),H1764),"","Name Error!")</f>
        <v>#NAME?</v>
      </c>
    </row>
    <row r="1765" spans="2:9" s="126" customFormat="1" ht="15" customHeight="1" x14ac:dyDescent="0.25">
      <c r="B1765" s="271" t="s">
        <v>322</v>
      </c>
      <c r="C1765" s="272" t="s">
        <v>321</v>
      </c>
      <c r="D1765" s="275" t="s">
        <v>216</v>
      </c>
      <c r="E1765" s="275">
        <v>41520.805219907408</v>
      </c>
      <c r="F1765" s="276">
        <v>2</v>
      </c>
      <c r="G1765" s="243">
        <f t="shared" si="28"/>
        <v>101</v>
      </c>
      <c r="H1765" s="244"/>
      <c r="I1765" s="71" t="e">
        <f>IF(COUNTIF((rName rData),H1765),"","Name Error!")</f>
        <v>#NAME?</v>
      </c>
    </row>
    <row r="1766" spans="2:9" s="126" customFormat="1" ht="15" customHeight="1" x14ac:dyDescent="0.25">
      <c r="B1766" s="271" t="s">
        <v>358</v>
      </c>
      <c r="C1766" s="272" t="s">
        <v>357</v>
      </c>
      <c r="D1766" s="275" t="s">
        <v>216</v>
      </c>
      <c r="E1766" s="275">
        <v>41520.870208333334</v>
      </c>
      <c r="F1766" s="276">
        <v>1</v>
      </c>
      <c r="G1766" s="243">
        <f t="shared" si="28"/>
        <v>101</v>
      </c>
      <c r="H1766" s="244"/>
      <c r="I1766" s="71" t="e">
        <f>IF(COUNTIF((rName rData),H1766),"","Name Error!")</f>
        <v>#NAME?</v>
      </c>
    </row>
    <row r="1767" spans="2:9" s="126" customFormat="1" ht="15" customHeight="1" x14ac:dyDescent="0.25">
      <c r="B1767" s="271" t="s">
        <v>267</v>
      </c>
      <c r="C1767" s="272" t="s">
        <v>268</v>
      </c>
      <c r="D1767" s="275" t="s">
        <v>216</v>
      </c>
      <c r="E1767" s="275">
        <v>41521.358067129629</v>
      </c>
      <c r="F1767" s="276">
        <v>1</v>
      </c>
      <c r="G1767" s="243">
        <f t="shared" si="28"/>
        <v>101</v>
      </c>
      <c r="H1767" s="244"/>
      <c r="I1767" s="71" t="e">
        <f>IF(COUNTIF((rName rData),H1767),"","Name Error!")</f>
        <v>#NAME?</v>
      </c>
    </row>
    <row r="1768" spans="2:9" s="126" customFormat="1" ht="15" customHeight="1" x14ac:dyDescent="0.25">
      <c r="B1768" s="271" t="s">
        <v>333</v>
      </c>
      <c r="C1768" s="272" t="s">
        <v>332</v>
      </c>
      <c r="D1768" s="275" t="s">
        <v>216</v>
      </c>
      <c r="E1768" s="275">
        <v>41521.475127314814</v>
      </c>
      <c r="F1768" s="276">
        <v>1</v>
      </c>
      <c r="G1768" s="243">
        <f t="shared" si="28"/>
        <v>101</v>
      </c>
      <c r="H1768" s="244"/>
      <c r="I1768" s="71" t="e">
        <f>IF(COUNTIF((rName rData),H1768),"","Name Error!")</f>
        <v>#NAME?</v>
      </c>
    </row>
    <row r="1769" spans="2:9" s="126" customFormat="1" ht="15" customHeight="1" x14ac:dyDescent="0.25">
      <c r="B1769" s="271" t="s">
        <v>356</v>
      </c>
      <c r="C1769" s="272" t="s">
        <v>355</v>
      </c>
      <c r="D1769" s="275" t="s">
        <v>216</v>
      </c>
      <c r="E1769" s="275">
        <v>41521.476006944446</v>
      </c>
      <c r="F1769" s="276">
        <v>1</v>
      </c>
      <c r="G1769" s="243">
        <f t="shared" si="28"/>
        <v>101</v>
      </c>
      <c r="H1769" s="244"/>
      <c r="I1769" s="71" t="e">
        <f>IF(COUNTIF((rName rData),H1769),"","Name Error!")</f>
        <v>#NAME?</v>
      </c>
    </row>
    <row r="1770" spans="2:9" s="126" customFormat="1" ht="15" customHeight="1" x14ac:dyDescent="0.25">
      <c r="B1770" s="271" t="s">
        <v>279</v>
      </c>
      <c r="C1770" s="272" t="s">
        <v>280</v>
      </c>
      <c r="D1770" s="275" t="s">
        <v>216</v>
      </c>
      <c r="E1770" s="275">
        <v>41521.765682870369</v>
      </c>
      <c r="F1770" s="276">
        <v>1</v>
      </c>
      <c r="G1770" s="243">
        <f t="shared" si="28"/>
        <v>101</v>
      </c>
      <c r="H1770" s="244"/>
      <c r="I1770" s="71" t="e">
        <f>IF(COUNTIF((rName rData),H1770),"","Name Error!")</f>
        <v>#NAME?</v>
      </c>
    </row>
    <row r="1771" spans="2:9" s="126" customFormat="1" ht="15" customHeight="1" x14ac:dyDescent="0.25">
      <c r="B1771" s="271" t="s">
        <v>358</v>
      </c>
      <c r="C1771" s="272" t="s">
        <v>357</v>
      </c>
      <c r="D1771" s="275" t="s">
        <v>216</v>
      </c>
      <c r="E1771" s="275">
        <v>41521.861331018517</v>
      </c>
      <c r="F1771" s="276">
        <v>1</v>
      </c>
      <c r="G1771" s="243">
        <f t="shared" si="28"/>
        <v>101</v>
      </c>
      <c r="H1771" s="244"/>
      <c r="I1771" s="71" t="e">
        <f>IF(COUNTIF((rName rData),H1771),"","Name Error!")</f>
        <v>#NAME?</v>
      </c>
    </row>
    <row r="1772" spans="2:9" s="126" customFormat="1" ht="15" customHeight="1" x14ac:dyDescent="0.25">
      <c r="B1772" s="271" t="s">
        <v>339</v>
      </c>
      <c r="C1772" s="272" t="s">
        <v>338</v>
      </c>
      <c r="D1772" s="275" t="s">
        <v>216</v>
      </c>
      <c r="E1772" s="275">
        <v>41521.98201388889</v>
      </c>
      <c r="F1772" s="276">
        <v>1</v>
      </c>
      <c r="G1772" s="243">
        <f t="shared" si="28"/>
        <v>101</v>
      </c>
      <c r="H1772" s="244"/>
      <c r="I1772" s="71" t="e">
        <f>IF(COUNTIF((rName rData),H1772),"","Name Error!")</f>
        <v>#NAME?</v>
      </c>
    </row>
    <row r="1773" spans="2:9" s="126" customFormat="1" ht="15" customHeight="1" x14ac:dyDescent="0.25">
      <c r="B1773" s="271" t="s">
        <v>354</v>
      </c>
      <c r="C1773" s="272" t="s">
        <v>353</v>
      </c>
      <c r="D1773" s="275" t="s">
        <v>216</v>
      </c>
      <c r="E1773" s="275">
        <v>41522.268784722219</v>
      </c>
      <c r="F1773" s="276">
        <v>4</v>
      </c>
      <c r="G1773" s="243">
        <f t="shared" si="28"/>
        <v>101</v>
      </c>
      <c r="H1773" s="244"/>
      <c r="I1773" s="71" t="e">
        <f>IF(COUNTIF((rName rData),H1773),"","Name Error!")</f>
        <v>#NAME?</v>
      </c>
    </row>
    <row r="1774" spans="2:9" s="126" customFormat="1" ht="15" customHeight="1" x14ac:dyDescent="0.25">
      <c r="B1774" s="271" t="s">
        <v>267</v>
      </c>
      <c r="C1774" s="272" t="s">
        <v>268</v>
      </c>
      <c r="D1774" s="275" t="s">
        <v>216</v>
      </c>
      <c r="E1774" s="275">
        <v>41522.569965277777</v>
      </c>
      <c r="F1774" s="276">
        <v>3</v>
      </c>
      <c r="G1774" s="243">
        <f t="shared" si="28"/>
        <v>101</v>
      </c>
      <c r="H1774" s="244"/>
      <c r="I1774" s="71" t="e">
        <f>IF(COUNTIF((rName rData),H1774),"","Name Error!")</f>
        <v>#NAME?</v>
      </c>
    </row>
    <row r="1775" spans="2:9" s="126" customFormat="1" ht="15" customHeight="1" x14ac:dyDescent="0.25">
      <c r="B1775" s="271" t="s">
        <v>358</v>
      </c>
      <c r="C1775" s="272" t="s">
        <v>357</v>
      </c>
      <c r="D1775" s="275" t="s">
        <v>216</v>
      </c>
      <c r="E1775" s="275">
        <v>41522.667013888888</v>
      </c>
      <c r="F1775" s="276">
        <v>7</v>
      </c>
      <c r="G1775" s="243">
        <f t="shared" si="28"/>
        <v>101</v>
      </c>
      <c r="H1775" s="244"/>
      <c r="I1775" s="71" t="e">
        <f>IF(COUNTIF((rName rData),H1775),"","Name Error!")</f>
        <v>#NAME?</v>
      </c>
    </row>
    <row r="1776" spans="2:9" s="126" customFormat="1" ht="15" customHeight="1" x14ac:dyDescent="0.25">
      <c r="B1776" s="271" t="s">
        <v>352</v>
      </c>
      <c r="C1776" s="272" t="s">
        <v>351</v>
      </c>
      <c r="D1776" s="275" t="s">
        <v>216</v>
      </c>
      <c r="E1776" s="275">
        <v>41522.748402777775</v>
      </c>
      <c r="F1776" s="276">
        <v>1</v>
      </c>
      <c r="G1776" s="243">
        <f t="shared" si="28"/>
        <v>101</v>
      </c>
      <c r="H1776" s="244"/>
      <c r="I1776" s="71" t="e">
        <f>IF(COUNTIF((rName rData),H1776),"","Name Error!")</f>
        <v>#NAME?</v>
      </c>
    </row>
    <row r="1777" spans="2:9" s="126" customFormat="1" ht="15" customHeight="1" x14ac:dyDescent="0.25">
      <c r="B1777" s="271" t="s">
        <v>322</v>
      </c>
      <c r="C1777" s="272" t="s">
        <v>321</v>
      </c>
      <c r="D1777" s="275" t="s">
        <v>216</v>
      </c>
      <c r="E1777" s="275">
        <v>41522.825798611113</v>
      </c>
      <c r="F1777" s="276">
        <v>1</v>
      </c>
      <c r="G1777" s="243">
        <f t="shared" si="28"/>
        <v>101</v>
      </c>
      <c r="H1777" s="244"/>
      <c r="I1777" s="71" t="e">
        <f>IF(COUNTIF((rName rData),H1777),"","Name Error!")</f>
        <v>#NAME?</v>
      </c>
    </row>
    <row r="1778" spans="2:9" s="126" customFormat="1" ht="15" customHeight="1" x14ac:dyDescent="0.25">
      <c r="B1778" s="271" t="s">
        <v>358</v>
      </c>
      <c r="C1778" s="272" t="s">
        <v>357</v>
      </c>
      <c r="D1778" s="275" t="s">
        <v>216</v>
      </c>
      <c r="E1778" s="275">
        <v>41523.39984953704</v>
      </c>
      <c r="F1778" s="276">
        <v>5</v>
      </c>
      <c r="G1778" s="243">
        <f t="shared" si="28"/>
        <v>101</v>
      </c>
      <c r="H1778" s="244"/>
      <c r="I1778" s="71" t="e">
        <f>IF(COUNTIF((rName rData),H1778),"","Name Error!")</f>
        <v>#NAME?</v>
      </c>
    </row>
    <row r="1779" spans="2:9" s="126" customFormat="1" ht="15" customHeight="1" x14ac:dyDescent="0.25">
      <c r="B1779" s="271" t="s">
        <v>322</v>
      </c>
      <c r="C1779" s="272" t="s">
        <v>321</v>
      </c>
      <c r="D1779" s="275" t="s">
        <v>216</v>
      </c>
      <c r="E1779" s="275">
        <v>41523.807824074072</v>
      </c>
      <c r="F1779" s="276">
        <v>1</v>
      </c>
      <c r="G1779" s="243">
        <f t="shared" si="28"/>
        <v>101</v>
      </c>
      <c r="H1779" s="244"/>
      <c r="I1779" s="71" t="e">
        <f>IF(COUNTIF((rName rData),H1779),"","Name Error!")</f>
        <v>#NAME?</v>
      </c>
    </row>
    <row r="1780" spans="2:9" s="126" customFormat="1" ht="15" customHeight="1" x14ac:dyDescent="0.25">
      <c r="B1780" s="271" t="s">
        <v>356</v>
      </c>
      <c r="C1780" s="272" t="s">
        <v>355</v>
      </c>
      <c r="D1780" s="275" t="s">
        <v>216</v>
      </c>
      <c r="E1780" s="275">
        <v>41523.83390046296</v>
      </c>
      <c r="F1780" s="276">
        <v>2</v>
      </c>
      <c r="G1780" s="243">
        <f t="shared" si="28"/>
        <v>101</v>
      </c>
      <c r="H1780" s="244"/>
      <c r="I1780" s="71" t="e">
        <f>IF(COUNTIF((rName rData),H1780),"","Name Error!")</f>
        <v>#NAME?</v>
      </c>
    </row>
    <row r="1781" spans="2:9" s="126" customFormat="1" ht="15" customHeight="1" x14ac:dyDescent="0.25">
      <c r="B1781" s="271" t="s">
        <v>267</v>
      </c>
      <c r="C1781" s="272" t="s">
        <v>268</v>
      </c>
      <c r="D1781" s="275" t="s">
        <v>216</v>
      </c>
      <c r="E1781" s="275">
        <v>41523.856712962966</v>
      </c>
      <c r="F1781" s="276">
        <v>2</v>
      </c>
      <c r="G1781" s="243">
        <f t="shared" si="28"/>
        <v>101</v>
      </c>
      <c r="H1781" s="244"/>
      <c r="I1781" s="71" t="e">
        <f>IF(COUNTIF((rName rData),H1781),"","Name Error!")</f>
        <v>#NAME?</v>
      </c>
    </row>
    <row r="1782" spans="2:9" s="126" customFormat="1" ht="15" customHeight="1" x14ac:dyDescent="0.25">
      <c r="B1782" s="271" t="s">
        <v>324</v>
      </c>
      <c r="C1782" s="272" t="s">
        <v>323</v>
      </c>
      <c r="D1782" s="275" t="s">
        <v>216</v>
      </c>
      <c r="E1782" s="275">
        <v>41523.926249999997</v>
      </c>
      <c r="F1782" s="276">
        <v>1</v>
      </c>
      <c r="G1782" s="243">
        <f t="shared" si="28"/>
        <v>101</v>
      </c>
      <c r="H1782" s="244"/>
      <c r="I1782" s="71" t="e">
        <f>IF(COUNTIF((rName rData),H1782),"","Name Error!")</f>
        <v>#NAME?</v>
      </c>
    </row>
    <row r="1783" spans="2:9" s="126" customFormat="1" ht="15" customHeight="1" x14ac:dyDescent="0.25">
      <c r="B1783" s="271" t="s">
        <v>328</v>
      </c>
      <c r="C1783" s="272" t="s">
        <v>327</v>
      </c>
      <c r="D1783" s="275" t="s">
        <v>216</v>
      </c>
      <c r="E1783" s="275">
        <v>41524.083414351851</v>
      </c>
      <c r="F1783" s="276">
        <v>1</v>
      </c>
      <c r="G1783" s="243">
        <f t="shared" si="28"/>
        <v>102</v>
      </c>
      <c r="H1783" s="244"/>
      <c r="I1783" s="71" t="e">
        <f>IF(COUNTIF((rName rData),H1783),"","Name Error!")</f>
        <v>#NAME?</v>
      </c>
    </row>
    <row r="1784" spans="2:9" s="126" customFormat="1" ht="15" customHeight="1" x14ac:dyDescent="0.25">
      <c r="B1784" s="271" t="s">
        <v>358</v>
      </c>
      <c r="C1784" s="272" t="s">
        <v>357</v>
      </c>
      <c r="D1784" s="275" t="s">
        <v>216</v>
      </c>
      <c r="E1784" s="275">
        <v>41524.321909722225</v>
      </c>
      <c r="F1784" s="276">
        <v>4</v>
      </c>
      <c r="G1784" s="243">
        <f t="shared" si="28"/>
        <v>102</v>
      </c>
      <c r="H1784" s="244"/>
      <c r="I1784" s="71" t="e">
        <f>IF(COUNTIF((rName rData),H1784),"","Name Error!")</f>
        <v>#NAME?</v>
      </c>
    </row>
    <row r="1785" spans="2:9" s="126" customFormat="1" ht="15" customHeight="1" x14ac:dyDescent="0.25">
      <c r="B1785" s="271" t="s">
        <v>322</v>
      </c>
      <c r="C1785" s="272" t="s">
        <v>321</v>
      </c>
      <c r="D1785" s="275" t="s">
        <v>216</v>
      </c>
      <c r="E1785" s="275">
        <v>41524.354583333334</v>
      </c>
      <c r="F1785" s="276">
        <v>8</v>
      </c>
      <c r="G1785" s="243">
        <f t="shared" si="28"/>
        <v>102</v>
      </c>
      <c r="H1785" s="244"/>
      <c r="I1785" s="71" t="e">
        <f>IF(COUNTIF((rName rData),H1785),"","Name Error!")</f>
        <v>#NAME?</v>
      </c>
    </row>
    <row r="1786" spans="2:9" s="126" customFormat="1" ht="15" customHeight="1" x14ac:dyDescent="0.25">
      <c r="B1786" s="271" t="s">
        <v>267</v>
      </c>
      <c r="C1786" s="272" t="s">
        <v>268</v>
      </c>
      <c r="D1786" s="275" t="s">
        <v>216</v>
      </c>
      <c r="E1786" s="275">
        <v>41524.409560185188</v>
      </c>
      <c r="F1786" s="276">
        <v>4</v>
      </c>
      <c r="G1786" s="243">
        <f t="shared" si="28"/>
        <v>102</v>
      </c>
      <c r="H1786" s="244"/>
      <c r="I1786" s="71" t="e">
        <f>IF(COUNTIF((rName rData),H1786),"","Name Error!")</f>
        <v>#NAME?</v>
      </c>
    </row>
    <row r="1787" spans="2:9" s="126" customFormat="1" ht="15" customHeight="1" x14ac:dyDescent="0.25">
      <c r="B1787" s="271" t="s">
        <v>341</v>
      </c>
      <c r="C1787" s="272" t="s">
        <v>340</v>
      </c>
      <c r="D1787" s="275" t="s">
        <v>216</v>
      </c>
      <c r="E1787" s="275">
        <v>41524.482291666667</v>
      </c>
      <c r="F1787" s="276">
        <v>1</v>
      </c>
      <c r="G1787" s="243">
        <f t="shared" si="28"/>
        <v>102</v>
      </c>
      <c r="H1787" s="244"/>
      <c r="I1787" s="71" t="e">
        <f>IF(COUNTIF((rName rData),H1787),"","Name Error!")</f>
        <v>#NAME?</v>
      </c>
    </row>
    <row r="1788" spans="2:9" s="126" customFormat="1" ht="15" customHeight="1" x14ac:dyDescent="0.25">
      <c r="B1788" s="271" t="s">
        <v>356</v>
      </c>
      <c r="C1788" s="272" t="s">
        <v>355</v>
      </c>
      <c r="D1788" s="275" t="s">
        <v>216</v>
      </c>
      <c r="E1788" s="275">
        <v>41524.491782407407</v>
      </c>
      <c r="F1788" s="276">
        <v>6</v>
      </c>
      <c r="G1788" s="243">
        <f t="shared" si="28"/>
        <v>102</v>
      </c>
      <c r="H1788" s="244"/>
      <c r="I1788" s="71" t="e">
        <f>IF(COUNTIF((rName rData),H1788),"","Name Error!")</f>
        <v>#NAME?</v>
      </c>
    </row>
    <row r="1789" spans="2:9" s="126" customFormat="1" ht="15" customHeight="1" x14ac:dyDescent="0.25">
      <c r="B1789" s="271" t="s">
        <v>335</v>
      </c>
      <c r="C1789" s="272" t="s">
        <v>334</v>
      </c>
      <c r="D1789" s="275" t="s">
        <v>216</v>
      </c>
      <c r="E1789" s="275">
        <v>41524.51666666667</v>
      </c>
      <c r="F1789" s="276">
        <v>3</v>
      </c>
      <c r="G1789" s="243">
        <f t="shared" si="28"/>
        <v>102</v>
      </c>
      <c r="H1789" s="244"/>
      <c r="I1789" s="71" t="e">
        <f>IF(COUNTIF((rName rData),H1789),"","Name Error!")</f>
        <v>#NAME?</v>
      </c>
    </row>
    <row r="1790" spans="2:9" s="126" customFormat="1" ht="15" customHeight="1" x14ac:dyDescent="0.25">
      <c r="B1790" s="271" t="s">
        <v>331</v>
      </c>
      <c r="C1790" s="272" t="s">
        <v>330</v>
      </c>
      <c r="D1790" s="275" t="s">
        <v>216</v>
      </c>
      <c r="E1790" s="275">
        <v>41524.540405092594</v>
      </c>
      <c r="F1790" s="276">
        <v>1</v>
      </c>
      <c r="G1790" s="243">
        <f t="shared" si="28"/>
        <v>102</v>
      </c>
      <c r="H1790" s="244"/>
      <c r="I1790" s="71" t="e">
        <f>IF(COUNTIF((rName rData),H1790),"","Name Error!")</f>
        <v>#NAME?</v>
      </c>
    </row>
    <row r="1791" spans="2:9" s="126" customFormat="1" ht="15" customHeight="1" x14ac:dyDescent="0.25">
      <c r="B1791" s="271" t="s">
        <v>279</v>
      </c>
      <c r="C1791" s="272" t="s">
        <v>280</v>
      </c>
      <c r="D1791" s="275" t="s">
        <v>216</v>
      </c>
      <c r="E1791" s="275">
        <v>41524.550381944442</v>
      </c>
      <c r="F1791" s="276">
        <v>1</v>
      </c>
      <c r="G1791" s="243">
        <f t="shared" si="28"/>
        <v>102</v>
      </c>
      <c r="H1791" s="244"/>
      <c r="I1791" s="71" t="e">
        <f>IF(COUNTIF((rName rData),H1791),"","Name Error!")</f>
        <v>#NAME?</v>
      </c>
    </row>
    <row r="1792" spans="2:9" s="126" customFormat="1" ht="15" customHeight="1" x14ac:dyDescent="0.25">
      <c r="B1792" s="271" t="s">
        <v>337</v>
      </c>
      <c r="C1792" s="272" t="s">
        <v>336</v>
      </c>
      <c r="D1792" s="275" t="s">
        <v>216</v>
      </c>
      <c r="E1792" s="275">
        <v>41524.564247685186</v>
      </c>
      <c r="F1792" s="276">
        <v>2</v>
      </c>
      <c r="G1792" s="243">
        <f t="shared" si="28"/>
        <v>102</v>
      </c>
      <c r="H1792" s="244"/>
      <c r="I1792" s="71" t="e">
        <f>IF(COUNTIF((rName rData),H1792),"","Name Error!")</f>
        <v>#NAME?</v>
      </c>
    </row>
    <row r="1793" spans="2:9" s="126" customFormat="1" ht="15" customHeight="1" x14ac:dyDescent="0.25">
      <c r="B1793" s="271" t="s">
        <v>324</v>
      </c>
      <c r="C1793" s="272" t="s">
        <v>323</v>
      </c>
      <c r="D1793" s="275" t="s">
        <v>216</v>
      </c>
      <c r="E1793" s="275">
        <v>41524.591493055559</v>
      </c>
      <c r="F1793" s="276">
        <v>1</v>
      </c>
      <c r="G1793" s="243">
        <f t="shared" si="28"/>
        <v>102</v>
      </c>
      <c r="H1793" s="244"/>
      <c r="I1793" s="71" t="e">
        <f>IF(COUNTIF((rName rData),H1793),"","Name Error!")</f>
        <v>#NAME?</v>
      </c>
    </row>
    <row r="1794" spans="2:9" s="126" customFormat="1" ht="15" customHeight="1" x14ac:dyDescent="0.25">
      <c r="B1794" s="271" t="s">
        <v>362</v>
      </c>
      <c r="C1794" s="272" t="s">
        <v>361</v>
      </c>
      <c r="D1794" s="275" t="s">
        <v>216</v>
      </c>
      <c r="E1794" s="275">
        <v>41524.620775462965</v>
      </c>
      <c r="F1794" s="276">
        <v>1</v>
      </c>
      <c r="G1794" s="243">
        <f t="shared" si="28"/>
        <v>102</v>
      </c>
      <c r="H1794" s="244"/>
      <c r="I1794" s="71" t="e">
        <f>IF(COUNTIF((rName rData),H1794),"","Name Error!")</f>
        <v>#NAME?</v>
      </c>
    </row>
    <row r="1795" spans="2:9" s="126" customFormat="1" ht="15" customHeight="1" x14ac:dyDescent="0.25">
      <c r="B1795" s="271" t="s">
        <v>339</v>
      </c>
      <c r="C1795" s="272" t="s">
        <v>338</v>
      </c>
      <c r="D1795" s="275" t="s">
        <v>216</v>
      </c>
      <c r="E1795" s="275">
        <v>41524.663703703707</v>
      </c>
      <c r="F1795" s="276">
        <v>3</v>
      </c>
      <c r="G1795" s="243">
        <f t="shared" si="28"/>
        <v>102</v>
      </c>
      <c r="H1795" s="244"/>
      <c r="I1795" s="71" t="e">
        <f>IF(COUNTIF((rName rData),H1795),"","Name Error!")</f>
        <v>#NAME?</v>
      </c>
    </row>
    <row r="1796" spans="2:9" s="126" customFormat="1" ht="15" customHeight="1" x14ac:dyDescent="0.25">
      <c r="B1796" s="271" t="s">
        <v>367</v>
      </c>
      <c r="C1796" s="272" t="s">
        <v>366</v>
      </c>
      <c r="D1796" s="275" t="s">
        <v>216</v>
      </c>
      <c r="E1796" s="275">
        <v>41524.676296296297</v>
      </c>
      <c r="F1796" s="276">
        <v>3</v>
      </c>
      <c r="G1796" s="243">
        <f t="shared" si="28"/>
        <v>102</v>
      </c>
      <c r="H1796" s="244"/>
      <c r="I1796" s="71" t="e">
        <f>IF(COUNTIF((rName rData),H1796),"","Name Error!")</f>
        <v>#NAME?</v>
      </c>
    </row>
    <row r="1797" spans="2:9" s="126" customFormat="1" ht="15" customHeight="1" x14ac:dyDescent="0.25">
      <c r="B1797" s="271" t="s">
        <v>371</v>
      </c>
      <c r="C1797" s="272" t="s">
        <v>370</v>
      </c>
      <c r="D1797" s="275" t="s">
        <v>216</v>
      </c>
      <c r="E1797" s="275">
        <v>41524.679178240738</v>
      </c>
      <c r="F1797" s="276">
        <v>1</v>
      </c>
      <c r="G1797" s="243">
        <f t="shared" si="28"/>
        <v>102</v>
      </c>
      <c r="H1797" s="244"/>
      <c r="I1797" s="71" t="e">
        <f>IF(COUNTIF((rName rData),H1797),"","Name Error!")</f>
        <v>#NAME?</v>
      </c>
    </row>
    <row r="1798" spans="2:9" s="126" customFormat="1" ht="15" customHeight="1" x14ac:dyDescent="0.25">
      <c r="B1798" s="271" t="s">
        <v>320</v>
      </c>
      <c r="C1798" s="272" t="s">
        <v>319</v>
      </c>
      <c r="D1798" s="275" t="s">
        <v>216</v>
      </c>
      <c r="E1798" s="275">
        <v>41524.800532407404</v>
      </c>
      <c r="F1798" s="276">
        <v>1</v>
      </c>
      <c r="G1798" s="243">
        <f t="shared" si="28"/>
        <v>102</v>
      </c>
      <c r="H1798" s="244"/>
      <c r="I1798" s="71" t="e">
        <f>IF(COUNTIF((rName rData),H1798),"","Name Error!")</f>
        <v>#NAME?</v>
      </c>
    </row>
    <row r="1799" spans="2:9" s="126" customFormat="1" ht="15" customHeight="1" x14ac:dyDescent="0.25">
      <c r="B1799" s="271" t="s">
        <v>354</v>
      </c>
      <c r="C1799" s="272" t="s">
        <v>353</v>
      </c>
      <c r="D1799" s="275" t="s">
        <v>216</v>
      </c>
      <c r="E1799" s="275">
        <v>41524.834421296298</v>
      </c>
      <c r="F1799" s="276">
        <v>1</v>
      </c>
      <c r="G1799" s="243">
        <f t="shared" si="28"/>
        <v>102</v>
      </c>
      <c r="H1799" s="244"/>
      <c r="I1799" s="71" t="e">
        <f>IF(COUNTIF((rName rData),H1799),"","Name Error!")</f>
        <v>#NAME?</v>
      </c>
    </row>
    <row r="1800" spans="2:9" s="126" customFormat="1" ht="15" customHeight="1" x14ac:dyDescent="0.25">
      <c r="B1800" s="271" t="s">
        <v>352</v>
      </c>
      <c r="C1800" s="272" t="s">
        <v>351</v>
      </c>
      <c r="D1800" s="275" t="s">
        <v>216</v>
      </c>
      <c r="E1800" s="275">
        <v>41524.862696759257</v>
      </c>
      <c r="F1800" s="276">
        <v>2</v>
      </c>
      <c r="G1800" s="243">
        <f t="shared" si="28"/>
        <v>102</v>
      </c>
      <c r="H1800" s="244"/>
      <c r="I1800" s="71" t="e">
        <f>IF(COUNTIF((rName rData),H1800),"","Name Error!")</f>
        <v>#NAME?</v>
      </c>
    </row>
    <row r="1801" spans="2:9" s="126" customFormat="1" ht="15" customHeight="1" x14ac:dyDescent="0.25">
      <c r="B1801" s="271" t="s">
        <v>322</v>
      </c>
      <c r="C1801" s="272" t="s">
        <v>321</v>
      </c>
      <c r="D1801" s="275" t="s">
        <v>216</v>
      </c>
      <c r="E1801" s="275">
        <v>41525.046423611115</v>
      </c>
      <c r="F1801" s="276">
        <v>6</v>
      </c>
      <c r="G1801" s="243">
        <f t="shared" si="28"/>
        <v>102</v>
      </c>
      <c r="H1801" s="244"/>
      <c r="I1801" s="71" t="e">
        <f>IF(COUNTIF((rName rData),H1801),"","Name Error!")</f>
        <v>#NAME?</v>
      </c>
    </row>
    <row r="1802" spans="2:9" s="126" customFormat="1" ht="15" customHeight="1" x14ac:dyDescent="0.25">
      <c r="B1802" s="271" t="s">
        <v>367</v>
      </c>
      <c r="C1802" s="272" t="s">
        <v>366</v>
      </c>
      <c r="D1802" s="275" t="s">
        <v>216</v>
      </c>
      <c r="E1802" s="275">
        <v>41525.062106481484</v>
      </c>
      <c r="F1802" s="276">
        <v>3</v>
      </c>
      <c r="G1802" s="243">
        <f t="shared" ref="G1802:G1865" si="29">TRUNC((E1802-start)/7)+1</f>
        <v>102</v>
      </c>
      <c r="H1802" s="244"/>
      <c r="I1802" s="71" t="e">
        <f>IF(COUNTIF((rName rData),H1802),"","Name Error!")</f>
        <v>#NAME?</v>
      </c>
    </row>
    <row r="1803" spans="2:9" s="126" customFormat="1" ht="15" customHeight="1" x14ac:dyDescent="0.25">
      <c r="B1803" s="271" t="s">
        <v>339</v>
      </c>
      <c r="C1803" s="272" t="s">
        <v>338</v>
      </c>
      <c r="D1803" s="275" t="s">
        <v>216</v>
      </c>
      <c r="E1803" s="275">
        <v>41525.15420138889</v>
      </c>
      <c r="F1803" s="276">
        <v>1</v>
      </c>
      <c r="G1803" s="243">
        <f t="shared" si="29"/>
        <v>102</v>
      </c>
      <c r="H1803" s="244"/>
      <c r="I1803" s="71" t="e">
        <f>IF(COUNTIF((rName rData),H1803),"","Name Error!")</f>
        <v>#NAME?</v>
      </c>
    </row>
    <row r="1804" spans="2:9" s="126" customFormat="1" ht="15" customHeight="1" x14ac:dyDescent="0.25">
      <c r="B1804" s="271" t="s">
        <v>267</v>
      </c>
      <c r="C1804" s="272" t="s">
        <v>268</v>
      </c>
      <c r="D1804" s="275" t="s">
        <v>216</v>
      </c>
      <c r="E1804" s="275">
        <v>41525.379120370373</v>
      </c>
      <c r="F1804" s="276">
        <v>2</v>
      </c>
      <c r="G1804" s="243">
        <f t="shared" si="29"/>
        <v>102</v>
      </c>
      <c r="H1804" s="244"/>
      <c r="I1804" s="71" t="e">
        <f>IF(COUNTIF((rName rData),H1804),"","Name Error!")</f>
        <v>#NAME?</v>
      </c>
    </row>
    <row r="1805" spans="2:9" s="126" customFormat="1" ht="15" customHeight="1" x14ac:dyDescent="0.25">
      <c r="B1805" s="271" t="s">
        <v>354</v>
      </c>
      <c r="C1805" s="272" t="s">
        <v>353</v>
      </c>
      <c r="D1805" s="275" t="s">
        <v>216</v>
      </c>
      <c r="E1805" s="275">
        <v>41525.395231481481</v>
      </c>
      <c r="F1805" s="276">
        <v>5</v>
      </c>
      <c r="G1805" s="243">
        <f t="shared" si="29"/>
        <v>102</v>
      </c>
      <c r="H1805" s="244"/>
      <c r="I1805" s="71" t="e">
        <f>IF(COUNTIF((rName rData),H1805),"","Name Error!")</f>
        <v>#NAME?</v>
      </c>
    </row>
    <row r="1806" spans="2:9" s="126" customFormat="1" ht="15" customHeight="1" x14ac:dyDescent="0.25">
      <c r="B1806" s="271" t="s">
        <v>356</v>
      </c>
      <c r="C1806" s="272" t="s">
        <v>355</v>
      </c>
      <c r="D1806" s="275" t="s">
        <v>216</v>
      </c>
      <c r="E1806" s="275">
        <v>41525.459293981483</v>
      </c>
      <c r="F1806" s="276">
        <v>1</v>
      </c>
      <c r="G1806" s="243">
        <f t="shared" si="29"/>
        <v>102</v>
      </c>
      <c r="H1806" s="244"/>
      <c r="I1806" s="71" t="e">
        <f>IF(COUNTIF((rName rData),H1806),"","Name Error!")</f>
        <v>#NAME?</v>
      </c>
    </row>
    <row r="1807" spans="2:9" s="126" customFormat="1" ht="15" customHeight="1" x14ac:dyDescent="0.25">
      <c r="B1807" s="271" t="s">
        <v>333</v>
      </c>
      <c r="C1807" s="272" t="s">
        <v>332</v>
      </c>
      <c r="D1807" s="275" t="s">
        <v>216</v>
      </c>
      <c r="E1807" s="275">
        <v>41525.463125000002</v>
      </c>
      <c r="F1807" s="276">
        <v>1</v>
      </c>
      <c r="G1807" s="243">
        <f t="shared" si="29"/>
        <v>102</v>
      </c>
      <c r="H1807" s="244"/>
      <c r="I1807" s="71" t="e">
        <f>IF(COUNTIF((rName rData),H1807),"","Name Error!")</f>
        <v>#NAME?</v>
      </c>
    </row>
    <row r="1808" spans="2:9" s="126" customFormat="1" ht="15" customHeight="1" x14ac:dyDescent="0.25">
      <c r="B1808" s="271" t="s">
        <v>345</v>
      </c>
      <c r="C1808" s="272" t="s">
        <v>344</v>
      </c>
      <c r="D1808" s="275" t="s">
        <v>216</v>
      </c>
      <c r="E1808" s="275">
        <v>41525.471759259257</v>
      </c>
      <c r="F1808" s="276">
        <v>2</v>
      </c>
      <c r="G1808" s="243">
        <f t="shared" si="29"/>
        <v>102</v>
      </c>
      <c r="H1808" s="244"/>
      <c r="I1808" s="71" t="e">
        <f>IF(COUNTIF((rName rData),H1808),"","Name Error!")</f>
        <v>#NAME?</v>
      </c>
    </row>
    <row r="1809" spans="2:9" s="126" customFormat="1" ht="15" customHeight="1" x14ac:dyDescent="0.25">
      <c r="B1809" s="271" t="s">
        <v>358</v>
      </c>
      <c r="C1809" s="272" t="s">
        <v>357</v>
      </c>
      <c r="D1809" s="275" t="s">
        <v>216</v>
      </c>
      <c r="E1809" s="275">
        <v>41525.473541666666</v>
      </c>
      <c r="F1809" s="276">
        <v>4</v>
      </c>
      <c r="G1809" s="243">
        <f t="shared" si="29"/>
        <v>102</v>
      </c>
      <c r="H1809" s="244"/>
      <c r="I1809" s="71" t="e">
        <f>IF(COUNTIF((rName rData),H1809),"","Name Error!")</f>
        <v>#NAME?</v>
      </c>
    </row>
    <row r="1810" spans="2:9" s="126" customFormat="1" ht="15" customHeight="1" x14ac:dyDescent="0.25">
      <c r="B1810" s="271" t="s">
        <v>279</v>
      </c>
      <c r="C1810" s="272" t="s">
        <v>280</v>
      </c>
      <c r="D1810" s="275" t="s">
        <v>216</v>
      </c>
      <c r="E1810" s="275">
        <v>41525.500671296293</v>
      </c>
      <c r="F1810" s="276">
        <v>4</v>
      </c>
      <c r="G1810" s="243">
        <f t="shared" si="29"/>
        <v>102</v>
      </c>
      <c r="H1810" s="244"/>
      <c r="I1810" s="71" t="e">
        <f>IF(COUNTIF((rName rData),H1810),"","Name Error!")</f>
        <v>#NAME?</v>
      </c>
    </row>
    <row r="1811" spans="2:9" s="126" customFormat="1" ht="15" customHeight="1" x14ac:dyDescent="0.25">
      <c r="B1811" s="271" t="s">
        <v>320</v>
      </c>
      <c r="C1811" s="272" t="s">
        <v>319</v>
      </c>
      <c r="D1811" s="275" t="s">
        <v>216</v>
      </c>
      <c r="E1811" s="275">
        <v>41525.51898148148</v>
      </c>
      <c r="F1811" s="276">
        <v>4</v>
      </c>
      <c r="G1811" s="243">
        <f t="shared" si="29"/>
        <v>102</v>
      </c>
      <c r="H1811" s="244"/>
      <c r="I1811" s="71" t="e">
        <f>IF(COUNTIF((rName rData),H1811),"","Name Error!")</f>
        <v>#NAME?</v>
      </c>
    </row>
    <row r="1812" spans="2:9" s="126" customFormat="1" ht="15" customHeight="1" x14ac:dyDescent="0.25">
      <c r="B1812" s="271" t="s">
        <v>371</v>
      </c>
      <c r="C1812" s="272" t="s">
        <v>370</v>
      </c>
      <c r="D1812" s="275" t="s">
        <v>216</v>
      </c>
      <c r="E1812" s="275">
        <v>41525.520277777781</v>
      </c>
      <c r="F1812" s="276">
        <v>4</v>
      </c>
      <c r="G1812" s="243">
        <f t="shared" si="29"/>
        <v>102</v>
      </c>
      <c r="H1812" s="244"/>
      <c r="I1812" s="71" t="e">
        <f>IF(COUNTIF((rName rData),H1812),"","Name Error!")</f>
        <v>#NAME?</v>
      </c>
    </row>
    <row r="1813" spans="2:9" s="126" customFormat="1" ht="15" customHeight="1" x14ac:dyDescent="0.25">
      <c r="B1813" s="271" t="s">
        <v>350</v>
      </c>
      <c r="C1813" s="272" t="s">
        <v>349</v>
      </c>
      <c r="D1813" s="275" t="s">
        <v>216</v>
      </c>
      <c r="E1813" s="275">
        <v>41525.619537037041</v>
      </c>
      <c r="F1813" s="276">
        <v>1</v>
      </c>
      <c r="G1813" s="243">
        <f t="shared" si="29"/>
        <v>102</v>
      </c>
      <c r="H1813" s="244"/>
      <c r="I1813" s="71" t="e">
        <f>IF(COUNTIF((rName rData),H1813),"","Name Error!")</f>
        <v>#NAME?</v>
      </c>
    </row>
    <row r="1814" spans="2:9" s="126" customFormat="1" ht="15" customHeight="1" x14ac:dyDescent="0.25">
      <c r="B1814" s="271" t="s">
        <v>341</v>
      </c>
      <c r="C1814" s="272" t="s">
        <v>340</v>
      </c>
      <c r="D1814" s="275" t="s">
        <v>216</v>
      </c>
      <c r="E1814" s="275">
        <v>41525.687650462962</v>
      </c>
      <c r="F1814" s="276">
        <v>3</v>
      </c>
      <c r="G1814" s="243">
        <f t="shared" si="29"/>
        <v>102</v>
      </c>
      <c r="H1814" s="244"/>
      <c r="I1814" s="71" t="e">
        <f>IF(COUNTIF((rName rData),H1814),"","Name Error!")</f>
        <v>#NAME?</v>
      </c>
    </row>
    <row r="1815" spans="2:9" s="126" customFormat="1" ht="15" customHeight="1" x14ac:dyDescent="0.25">
      <c r="B1815" s="271" t="s">
        <v>324</v>
      </c>
      <c r="C1815" s="272" t="s">
        <v>323</v>
      </c>
      <c r="D1815" s="275" t="s">
        <v>216</v>
      </c>
      <c r="E1815" s="275">
        <v>41525.693298611113</v>
      </c>
      <c r="F1815" s="276">
        <v>1</v>
      </c>
      <c r="G1815" s="243">
        <f t="shared" si="29"/>
        <v>102</v>
      </c>
      <c r="H1815" s="244"/>
      <c r="I1815" s="71" t="e">
        <f>IF(COUNTIF((rName rData),H1815),"","Name Error!")</f>
        <v>#NAME?</v>
      </c>
    </row>
    <row r="1816" spans="2:9" s="126" customFormat="1" ht="15" customHeight="1" x14ac:dyDescent="0.25">
      <c r="B1816" s="271" t="s">
        <v>328</v>
      </c>
      <c r="C1816" s="272" t="s">
        <v>327</v>
      </c>
      <c r="D1816" s="275" t="s">
        <v>216</v>
      </c>
      <c r="E1816" s="275">
        <v>41525.713472222225</v>
      </c>
      <c r="F1816" s="276">
        <v>2</v>
      </c>
      <c r="G1816" s="243">
        <f t="shared" si="29"/>
        <v>102</v>
      </c>
      <c r="H1816" s="244"/>
      <c r="I1816" s="71" t="e">
        <f>IF(COUNTIF((rName rData),H1816),"","Name Error!")</f>
        <v>#NAME?</v>
      </c>
    </row>
    <row r="1817" spans="2:9" s="126" customFormat="1" ht="15" customHeight="1" x14ac:dyDescent="0.25">
      <c r="B1817" s="271" t="s">
        <v>352</v>
      </c>
      <c r="C1817" s="272" t="s">
        <v>351</v>
      </c>
      <c r="D1817" s="275" t="s">
        <v>216</v>
      </c>
      <c r="E1817" s="275">
        <v>41525.79246527778</v>
      </c>
      <c r="F1817" s="276">
        <v>2</v>
      </c>
      <c r="G1817" s="243">
        <f t="shared" si="29"/>
        <v>102</v>
      </c>
      <c r="H1817" s="244"/>
      <c r="I1817" s="71" t="e">
        <f>IF(COUNTIF((rName rData),H1817),"","Name Error!")</f>
        <v>#NAME?</v>
      </c>
    </row>
    <row r="1818" spans="2:9" s="126" customFormat="1" ht="15" customHeight="1" x14ac:dyDescent="0.25">
      <c r="B1818" s="271" t="s">
        <v>335</v>
      </c>
      <c r="C1818" s="272" t="s">
        <v>334</v>
      </c>
      <c r="D1818" s="275" t="s">
        <v>216</v>
      </c>
      <c r="E1818" s="275">
        <v>41525.838275462964</v>
      </c>
      <c r="F1818" s="276">
        <v>2</v>
      </c>
      <c r="G1818" s="243">
        <f t="shared" si="29"/>
        <v>102</v>
      </c>
      <c r="H1818" s="244"/>
      <c r="I1818" s="71" t="e">
        <f>IF(COUNTIF((rName rData),H1818),"","Name Error!")</f>
        <v>#NAME?</v>
      </c>
    </row>
    <row r="1819" spans="2:9" s="126" customFormat="1" ht="15" customHeight="1" x14ac:dyDescent="0.25">
      <c r="B1819" s="271" t="s">
        <v>365</v>
      </c>
      <c r="C1819" s="272" t="s">
        <v>364</v>
      </c>
      <c r="D1819" s="275" t="s">
        <v>216</v>
      </c>
      <c r="E1819" s="275">
        <v>41525.919085648151</v>
      </c>
      <c r="F1819" s="276">
        <v>2</v>
      </c>
      <c r="G1819" s="243">
        <f t="shared" si="29"/>
        <v>102</v>
      </c>
      <c r="H1819" s="244"/>
      <c r="I1819" s="71" t="e">
        <f>IF(COUNTIF((rName rData),H1819),"","Name Error!")</f>
        <v>#NAME?</v>
      </c>
    </row>
    <row r="1820" spans="2:9" s="126" customFormat="1" ht="15" customHeight="1" x14ac:dyDescent="0.25">
      <c r="B1820" s="271" t="s">
        <v>367</v>
      </c>
      <c r="C1820" s="272" t="s">
        <v>366</v>
      </c>
      <c r="D1820" s="275" t="s">
        <v>216</v>
      </c>
      <c r="E1820" s="275">
        <v>41526.093958333331</v>
      </c>
      <c r="F1820" s="276">
        <v>1</v>
      </c>
      <c r="G1820" s="243">
        <f t="shared" si="29"/>
        <v>102</v>
      </c>
      <c r="H1820" s="244"/>
      <c r="I1820" s="71" t="e">
        <f>IF(COUNTIF((rName rData),H1820),"","Name Error!")</f>
        <v>#NAME?</v>
      </c>
    </row>
    <row r="1821" spans="2:9" s="126" customFormat="1" ht="15" customHeight="1" x14ac:dyDescent="0.25">
      <c r="B1821" s="271" t="s">
        <v>267</v>
      </c>
      <c r="C1821" s="272" t="s">
        <v>268</v>
      </c>
      <c r="D1821" s="275" t="s">
        <v>216</v>
      </c>
      <c r="E1821" s="275">
        <v>41526.398425925923</v>
      </c>
      <c r="F1821" s="276">
        <v>1</v>
      </c>
      <c r="G1821" s="243">
        <f t="shared" si="29"/>
        <v>102</v>
      </c>
      <c r="H1821" s="244"/>
      <c r="I1821" s="71" t="e">
        <f>IF(COUNTIF((rName rData),H1821),"","Name Error!")</f>
        <v>#NAME?</v>
      </c>
    </row>
    <row r="1822" spans="2:9" s="126" customFormat="1" ht="15" customHeight="1" x14ac:dyDescent="0.25">
      <c r="B1822" s="271" t="s">
        <v>345</v>
      </c>
      <c r="C1822" s="272" t="s">
        <v>344</v>
      </c>
      <c r="D1822" s="275" t="s">
        <v>216</v>
      </c>
      <c r="E1822" s="275">
        <v>41526.480115740742</v>
      </c>
      <c r="F1822" s="276">
        <v>2</v>
      </c>
      <c r="G1822" s="243">
        <f t="shared" si="29"/>
        <v>102</v>
      </c>
      <c r="H1822" s="244"/>
      <c r="I1822" s="71" t="e">
        <f>IF(COUNTIF((rName rData),H1822),"","Name Error!")</f>
        <v>#NAME?</v>
      </c>
    </row>
    <row r="1823" spans="2:9" s="126" customFormat="1" ht="15" customHeight="1" x14ac:dyDescent="0.25">
      <c r="B1823" s="271" t="s">
        <v>356</v>
      </c>
      <c r="C1823" s="272" t="s">
        <v>355</v>
      </c>
      <c r="D1823" s="275" t="s">
        <v>216</v>
      </c>
      <c r="E1823" s="275">
        <v>41526.675451388888</v>
      </c>
      <c r="F1823" s="276">
        <v>1</v>
      </c>
      <c r="G1823" s="243">
        <f t="shared" si="29"/>
        <v>102</v>
      </c>
      <c r="H1823" s="244"/>
      <c r="I1823" s="71" t="e">
        <f>IF(COUNTIF((rName rData),H1823),"","Name Error!")</f>
        <v>#NAME?</v>
      </c>
    </row>
    <row r="1824" spans="2:9" s="126" customFormat="1" ht="15" customHeight="1" x14ac:dyDescent="0.25">
      <c r="B1824" s="271" t="s">
        <v>358</v>
      </c>
      <c r="C1824" s="272" t="s">
        <v>357</v>
      </c>
      <c r="D1824" s="275" t="s">
        <v>216</v>
      </c>
      <c r="E1824" s="275">
        <v>41526.725092592591</v>
      </c>
      <c r="F1824" s="276">
        <v>4</v>
      </c>
      <c r="G1824" s="243">
        <f t="shared" si="29"/>
        <v>102</v>
      </c>
      <c r="H1824" s="244"/>
      <c r="I1824" s="71" t="e">
        <f>IF(COUNTIF((rName rData),H1824),"","Name Error!")</f>
        <v>#NAME?</v>
      </c>
    </row>
    <row r="1825" spans="2:9" s="126" customFormat="1" ht="15" customHeight="1" x14ac:dyDescent="0.25">
      <c r="B1825" s="271" t="s">
        <v>322</v>
      </c>
      <c r="C1825" s="272" t="s">
        <v>321</v>
      </c>
      <c r="D1825" s="275" t="s">
        <v>216</v>
      </c>
      <c r="E1825" s="275">
        <v>41526.79896990741</v>
      </c>
      <c r="F1825" s="276">
        <v>4</v>
      </c>
      <c r="G1825" s="243">
        <f t="shared" si="29"/>
        <v>102</v>
      </c>
      <c r="H1825" s="244"/>
      <c r="I1825" s="71" t="e">
        <f>IF(COUNTIF((rName rData),H1825),"","Name Error!")</f>
        <v>#NAME?</v>
      </c>
    </row>
    <row r="1826" spans="2:9" s="126" customFormat="1" ht="15" customHeight="1" x14ac:dyDescent="0.25">
      <c r="B1826" s="271" t="s">
        <v>279</v>
      </c>
      <c r="C1826" s="272" t="s">
        <v>280</v>
      </c>
      <c r="D1826" s="275" t="s">
        <v>216</v>
      </c>
      <c r="E1826" s="275">
        <v>41526.801261574074</v>
      </c>
      <c r="F1826" s="276">
        <v>2</v>
      </c>
      <c r="G1826" s="243">
        <f t="shared" si="29"/>
        <v>102</v>
      </c>
      <c r="H1826" s="244"/>
      <c r="I1826" s="71" t="e">
        <f>IF(COUNTIF((rName rData),H1826),"","Name Error!")</f>
        <v>#NAME?</v>
      </c>
    </row>
    <row r="1827" spans="2:9" s="126" customFormat="1" ht="15" customHeight="1" x14ac:dyDescent="0.25">
      <c r="B1827" s="271" t="s">
        <v>341</v>
      </c>
      <c r="C1827" s="272" t="s">
        <v>340</v>
      </c>
      <c r="D1827" s="275" t="s">
        <v>216</v>
      </c>
      <c r="E1827" s="275">
        <v>41526.802256944444</v>
      </c>
      <c r="F1827" s="276">
        <v>1</v>
      </c>
      <c r="G1827" s="243">
        <f t="shared" si="29"/>
        <v>102</v>
      </c>
      <c r="H1827" s="244"/>
      <c r="I1827" s="71" t="e">
        <f>IF(COUNTIF((rName rData),H1827),"","Name Error!")</f>
        <v>#NAME?</v>
      </c>
    </row>
    <row r="1828" spans="2:9" s="126" customFormat="1" ht="15" customHeight="1" x14ac:dyDescent="0.25">
      <c r="B1828" s="271" t="s">
        <v>335</v>
      </c>
      <c r="C1828" s="272" t="s">
        <v>334</v>
      </c>
      <c r="D1828" s="275" t="s">
        <v>216</v>
      </c>
      <c r="E1828" s="275">
        <v>41526.972627314812</v>
      </c>
      <c r="F1828" s="276">
        <v>1</v>
      </c>
      <c r="G1828" s="243">
        <f t="shared" si="29"/>
        <v>102</v>
      </c>
      <c r="H1828" s="244"/>
      <c r="I1828" s="71" t="e">
        <f>IF(COUNTIF((rName rData),H1828),"","Name Error!")</f>
        <v>#NAME?</v>
      </c>
    </row>
    <row r="1829" spans="2:9" s="126" customFormat="1" ht="15" customHeight="1" x14ac:dyDescent="0.25">
      <c r="B1829" s="271" t="s">
        <v>267</v>
      </c>
      <c r="C1829" s="272" t="s">
        <v>268</v>
      </c>
      <c r="D1829" s="275" t="s">
        <v>216</v>
      </c>
      <c r="E1829" s="275">
        <v>41527.738310185188</v>
      </c>
      <c r="F1829" s="276">
        <v>2</v>
      </c>
      <c r="G1829" s="243">
        <f t="shared" si="29"/>
        <v>102</v>
      </c>
      <c r="H1829" s="244"/>
      <c r="I1829" s="71" t="e">
        <f>IF(COUNTIF((rName rData),H1829),"","Name Error!")</f>
        <v>#NAME?</v>
      </c>
    </row>
    <row r="1830" spans="2:9" s="126" customFormat="1" ht="15" customHeight="1" x14ac:dyDescent="0.25">
      <c r="B1830" s="271" t="s">
        <v>322</v>
      </c>
      <c r="C1830" s="272" t="s">
        <v>321</v>
      </c>
      <c r="D1830" s="275" t="s">
        <v>216</v>
      </c>
      <c r="E1830" s="275">
        <v>41527.79011574074</v>
      </c>
      <c r="F1830" s="276">
        <v>2</v>
      </c>
      <c r="G1830" s="243">
        <f t="shared" si="29"/>
        <v>102</v>
      </c>
      <c r="H1830" s="244"/>
      <c r="I1830" s="71" t="e">
        <f>IF(COUNTIF((rName rData),H1830),"","Name Error!")</f>
        <v>#NAME?</v>
      </c>
    </row>
    <row r="1831" spans="2:9" s="126" customFormat="1" ht="15" customHeight="1" x14ac:dyDescent="0.25">
      <c r="B1831" s="271" t="s">
        <v>354</v>
      </c>
      <c r="C1831" s="272" t="s">
        <v>353</v>
      </c>
      <c r="D1831" s="275" t="s">
        <v>216</v>
      </c>
      <c r="E1831" s="275">
        <v>41527.821817129632</v>
      </c>
      <c r="F1831" s="276">
        <v>3</v>
      </c>
      <c r="G1831" s="243">
        <f t="shared" si="29"/>
        <v>102</v>
      </c>
      <c r="H1831" s="244"/>
      <c r="I1831" s="71" t="e">
        <f>IF(COUNTIF((rName rData),H1831),"","Name Error!")</f>
        <v>#NAME?</v>
      </c>
    </row>
    <row r="1832" spans="2:9" s="126" customFormat="1" ht="15" customHeight="1" x14ac:dyDescent="0.25">
      <c r="B1832" s="271" t="s">
        <v>331</v>
      </c>
      <c r="C1832" s="272" t="s">
        <v>330</v>
      </c>
      <c r="D1832" s="275" t="s">
        <v>216</v>
      </c>
      <c r="E1832" s="275">
        <v>41528.0153587963</v>
      </c>
      <c r="F1832" s="276">
        <v>1</v>
      </c>
      <c r="G1832" s="243">
        <f t="shared" si="29"/>
        <v>102</v>
      </c>
      <c r="H1832" s="244"/>
      <c r="I1832" s="71" t="e">
        <f>IF(COUNTIF((rName rData),H1832),"","Name Error!")</f>
        <v>#NAME?</v>
      </c>
    </row>
    <row r="1833" spans="2:9" s="126" customFormat="1" ht="15" customHeight="1" x14ac:dyDescent="0.25">
      <c r="B1833" s="271" t="s">
        <v>354</v>
      </c>
      <c r="C1833" s="272" t="s">
        <v>353</v>
      </c>
      <c r="D1833" s="275" t="s">
        <v>216</v>
      </c>
      <c r="E1833" s="275">
        <v>41528.298472222225</v>
      </c>
      <c r="F1833" s="276">
        <v>2</v>
      </c>
      <c r="G1833" s="243">
        <f t="shared" si="29"/>
        <v>102</v>
      </c>
      <c r="H1833" s="244"/>
      <c r="I1833" s="71" t="e">
        <f>IF(COUNTIF((rName rData),H1833),"","Name Error!")</f>
        <v>#NAME?</v>
      </c>
    </row>
    <row r="1834" spans="2:9" s="126" customFormat="1" ht="15" customHeight="1" x14ac:dyDescent="0.25">
      <c r="B1834" s="271" t="s">
        <v>335</v>
      </c>
      <c r="C1834" s="272" t="s">
        <v>334</v>
      </c>
      <c r="D1834" s="275" t="s">
        <v>216</v>
      </c>
      <c r="E1834" s="275">
        <v>41528.354456018518</v>
      </c>
      <c r="F1834" s="276">
        <v>1</v>
      </c>
      <c r="G1834" s="243">
        <f t="shared" si="29"/>
        <v>102</v>
      </c>
      <c r="H1834" s="244"/>
      <c r="I1834" s="71" t="e">
        <f>IF(COUNTIF((rName rData),H1834),"","Name Error!")</f>
        <v>#NAME?</v>
      </c>
    </row>
    <row r="1835" spans="2:9" s="126" customFormat="1" ht="15" customHeight="1" x14ac:dyDescent="0.25">
      <c r="B1835" s="271" t="s">
        <v>345</v>
      </c>
      <c r="C1835" s="272" t="s">
        <v>344</v>
      </c>
      <c r="D1835" s="275" t="s">
        <v>216</v>
      </c>
      <c r="E1835" s="275">
        <v>41528.398182870369</v>
      </c>
      <c r="F1835" s="276">
        <v>3</v>
      </c>
      <c r="G1835" s="243">
        <f t="shared" si="29"/>
        <v>102</v>
      </c>
      <c r="H1835" s="244"/>
      <c r="I1835" s="71" t="e">
        <f>IF(COUNTIF((rName rData),H1835),"","Name Error!")</f>
        <v>#NAME?</v>
      </c>
    </row>
    <row r="1836" spans="2:9" s="126" customFormat="1" ht="15" customHeight="1" x14ac:dyDescent="0.25">
      <c r="B1836" s="271" t="s">
        <v>358</v>
      </c>
      <c r="C1836" s="272" t="s">
        <v>357</v>
      </c>
      <c r="D1836" s="275" t="s">
        <v>216</v>
      </c>
      <c r="E1836" s="275">
        <v>41528.585347222222</v>
      </c>
      <c r="F1836" s="276">
        <v>1</v>
      </c>
      <c r="G1836" s="243">
        <f t="shared" si="29"/>
        <v>102</v>
      </c>
      <c r="H1836" s="244"/>
      <c r="I1836" s="71" t="e">
        <f>IF(COUNTIF((rName rData),H1836),"","Name Error!")</f>
        <v>#NAME?</v>
      </c>
    </row>
    <row r="1837" spans="2:9" s="126" customFormat="1" ht="15" customHeight="1" x14ac:dyDescent="0.25">
      <c r="B1837" s="271" t="s">
        <v>337</v>
      </c>
      <c r="C1837" s="272" t="s">
        <v>336</v>
      </c>
      <c r="D1837" s="275" t="s">
        <v>216</v>
      </c>
      <c r="E1837" s="275">
        <v>41528.638958333337</v>
      </c>
      <c r="F1837" s="276">
        <v>1</v>
      </c>
      <c r="G1837" s="243">
        <f t="shared" si="29"/>
        <v>102</v>
      </c>
      <c r="H1837" s="244"/>
      <c r="I1837" s="71" t="e">
        <f>IF(COUNTIF((rName rData),H1837),"","Name Error!")</f>
        <v>#NAME?</v>
      </c>
    </row>
    <row r="1838" spans="2:9" s="126" customFormat="1" ht="15" customHeight="1" x14ac:dyDescent="0.25">
      <c r="B1838" s="271" t="s">
        <v>279</v>
      </c>
      <c r="C1838" s="272" t="s">
        <v>280</v>
      </c>
      <c r="D1838" s="275" t="s">
        <v>216</v>
      </c>
      <c r="E1838" s="275">
        <v>41528.793229166666</v>
      </c>
      <c r="F1838" s="276">
        <v>1</v>
      </c>
      <c r="G1838" s="243">
        <f t="shared" si="29"/>
        <v>102</v>
      </c>
      <c r="H1838" s="244"/>
      <c r="I1838" s="71" t="e">
        <f>IF(COUNTIF((rName rData),H1838),"","Name Error!")</f>
        <v>#NAME?</v>
      </c>
    </row>
    <row r="1839" spans="2:9" s="126" customFormat="1" ht="15" customHeight="1" x14ac:dyDescent="0.25">
      <c r="B1839" s="271" t="s">
        <v>322</v>
      </c>
      <c r="C1839" s="272" t="s">
        <v>321</v>
      </c>
      <c r="D1839" s="275" t="s">
        <v>216</v>
      </c>
      <c r="E1839" s="275">
        <v>41528.798715277779</v>
      </c>
      <c r="F1839" s="276">
        <v>1</v>
      </c>
      <c r="G1839" s="243">
        <f t="shared" si="29"/>
        <v>102</v>
      </c>
      <c r="H1839" s="244"/>
      <c r="I1839" s="71" t="e">
        <f>IF(COUNTIF((rName rData),H1839),"","Name Error!")</f>
        <v>#NAME?</v>
      </c>
    </row>
    <row r="1840" spans="2:9" s="126" customFormat="1" ht="15" customHeight="1" x14ac:dyDescent="0.25">
      <c r="B1840" s="271" t="s">
        <v>320</v>
      </c>
      <c r="C1840" s="272" t="s">
        <v>319</v>
      </c>
      <c r="D1840" s="275" t="s">
        <v>216</v>
      </c>
      <c r="E1840" s="275">
        <v>41528.813171296293</v>
      </c>
      <c r="F1840" s="276">
        <v>4</v>
      </c>
      <c r="G1840" s="243">
        <f t="shared" si="29"/>
        <v>102</v>
      </c>
      <c r="H1840" s="244"/>
      <c r="I1840" s="71" t="e">
        <f>IF(COUNTIF((rName rData),H1840),"","Name Error!")</f>
        <v>#NAME?</v>
      </c>
    </row>
    <row r="1841" spans="2:9" s="126" customFormat="1" ht="15" customHeight="1" x14ac:dyDescent="0.25">
      <c r="B1841" s="271" t="s">
        <v>267</v>
      </c>
      <c r="C1841" s="272" t="s">
        <v>268</v>
      </c>
      <c r="D1841" s="275" t="s">
        <v>216</v>
      </c>
      <c r="E1841" s="275">
        <v>41528.901932870373</v>
      </c>
      <c r="F1841" s="276">
        <v>2</v>
      </c>
      <c r="G1841" s="243">
        <f t="shared" si="29"/>
        <v>102</v>
      </c>
      <c r="H1841" s="244"/>
      <c r="I1841" s="71" t="e">
        <f>IF(COUNTIF((rName rData),H1841),"","Name Error!")</f>
        <v>#NAME?</v>
      </c>
    </row>
    <row r="1842" spans="2:9" s="126" customFormat="1" ht="15" customHeight="1" x14ac:dyDescent="0.25">
      <c r="B1842" s="271" t="s">
        <v>367</v>
      </c>
      <c r="C1842" s="272" t="s">
        <v>366</v>
      </c>
      <c r="D1842" s="275" t="s">
        <v>216</v>
      </c>
      <c r="E1842" s="275">
        <v>41529.010011574072</v>
      </c>
      <c r="F1842" s="276">
        <v>2</v>
      </c>
      <c r="G1842" s="243">
        <f t="shared" si="29"/>
        <v>102</v>
      </c>
      <c r="H1842" s="244"/>
      <c r="I1842" s="71" t="e">
        <f>IF(COUNTIF((rName rData),H1842),"","Name Error!")</f>
        <v>#NAME?</v>
      </c>
    </row>
    <row r="1843" spans="2:9" s="126" customFormat="1" ht="15" customHeight="1" x14ac:dyDescent="0.25">
      <c r="B1843" s="271" t="s">
        <v>331</v>
      </c>
      <c r="C1843" s="272" t="s">
        <v>330</v>
      </c>
      <c r="D1843" s="275" t="s">
        <v>216</v>
      </c>
      <c r="E1843" s="275">
        <v>41529.019814814812</v>
      </c>
      <c r="F1843" s="276">
        <v>1</v>
      </c>
      <c r="G1843" s="243">
        <f t="shared" si="29"/>
        <v>102</v>
      </c>
      <c r="H1843" s="244"/>
      <c r="I1843" s="71" t="e">
        <f>IF(COUNTIF((rName rData),H1843),"","Name Error!")</f>
        <v>#NAME?</v>
      </c>
    </row>
    <row r="1844" spans="2:9" s="126" customFormat="1" ht="15" customHeight="1" x14ac:dyDescent="0.25">
      <c r="B1844" s="271" t="s">
        <v>339</v>
      </c>
      <c r="C1844" s="272" t="s">
        <v>338</v>
      </c>
      <c r="D1844" s="275" t="s">
        <v>216</v>
      </c>
      <c r="E1844" s="275">
        <v>41529.131331018521</v>
      </c>
      <c r="F1844" s="276">
        <v>1</v>
      </c>
      <c r="G1844" s="243">
        <f t="shared" si="29"/>
        <v>102</v>
      </c>
      <c r="H1844" s="244"/>
      <c r="I1844" s="71" t="e">
        <f>IF(COUNTIF((rName rData),H1844),"","Name Error!")</f>
        <v>#NAME?</v>
      </c>
    </row>
    <row r="1845" spans="2:9" s="126" customFormat="1" ht="15" customHeight="1" x14ac:dyDescent="0.25">
      <c r="B1845" s="271" t="s">
        <v>322</v>
      </c>
      <c r="C1845" s="272" t="s">
        <v>321</v>
      </c>
      <c r="D1845" s="275" t="s">
        <v>216</v>
      </c>
      <c r="E1845" s="275">
        <v>41529.307511574072</v>
      </c>
      <c r="F1845" s="276">
        <v>4</v>
      </c>
      <c r="G1845" s="243">
        <f t="shared" si="29"/>
        <v>102</v>
      </c>
      <c r="H1845" s="244"/>
      <c r="I1845" s="71" t="e">
        <f>IF(COUNTIF((rName rData),H1845),"","Name Error!")</f>
        <v>#NAME?</v>
      </c>
    </row>
    <row r="1846" spans="2:9" s="126" customFormat="1" ht="15" customHeight="1" x14ac:dyDescent="0.25">
      <c r="B1846" s="271" t="s">
        <v>358</v>
      </c>
      <c r="C1846" s="272" t="s">
        <v>357</v>
      </c>
      <c r="D1846" s="275" t="s">
        <v>216</v>
      </c>
      <c r="E1846" s="275">
        <v>41529.358182870368</v>
      </c>
      <c r="F1846" s="276">
        <v>6</v>
      </c>
      <c r="G1846" s="243">
        <f t="shared" si="29"/>
        <v>102</v>
      </c>
      <c r="H1846" s="244"/>
      <c r="I1846" s="71" t="e">
        <f>IF(COUNTIF((rName rData),H1846),"","Name Error!")</f>
        <v>#NAME?</v>
      </c>
    </row>
    <row r="1847" spans="2:9" s="126" customFormat="1" ht="15" customHeight="1" x14ac:dyDescent="0.25">
      <c r="B1847" s="271" t="s">
        <v>267</v>
      </c>
      <c r="C1847" s="272" t="s">
        <v>268</v>
      </c>
      <c r="D1847" s="275" t="s">
        <v>216</v>
      </c>
      <c r="E1847" s="275">
        <v>41529.470543981479</v>
      </c>
      <c r="F1847" s="276">
        <v>1</v>
      </c>
      <c r="G1847" s="243">
        <f t="shared" si="29"/>
        <v>102</v>
      </c>
      <c r="H1847" s="244"/>
      <c r="I1847" s="71" t="e">
        <f>IF(COUNTIF((rName rData),H1847),"","Name Error!")</f>
        <v>#NAME?</v>
      </c>
    </row>
    <row r="1848" spans="2:9" s="126" customFormat="1" ht="15" customHeight="1" x14ac:dyDescent="0.25">
      <c r="B1848" s="271" t="s">
        <v>352</v>
      </c>
      <c r="C1848" s="272" t="s">
        <v>351</v>
      </c>
      <c r="D1848" s="275" t="s">
        <v>216</v>
      </c>
      <c r="E1848" s="275">
        <v>41529.729039351849</v>
      </c>
      <c r="F1848" s="276">
        <v>1</v>
      </c>
      <c r="G1848" s="243">
        <f t="shared" si="29"/>
        <v>102</v>
      </c>
      <c r="H1848" s="244"/>
      <c r="I1848" s="71" t="e">
        <f>IF(COUNTIF((rName rData),H1848),"","Name Error!")</f>
        <v>#NAME?</v>
      </c>
    </row>
    <row r="1849" spans="2:9" s="126" customFormat="1" ht="15" customHeight="1" x14ac:dyDescent="0.25">
      <c r="B1849" s="271" t="s">
        <v>350</v>
      </c>
      <c r="C1849" s="272" t="s">
        <v>349</v>
      </c>
      <c r="D1849" s="275" t="s">
        <v>216</v>
      </c>
      <c r="E1849" s="275">
        <v>41529.805960648147</v>
      </c>
      <c r="F1849" s="276">
        <v>2</v>
      </c>
      <c r="G1849" s="243">
        <f t="shared" si="29"/>
        <v>102</v>
      </c>
      <c r="H1849" s="244"/>
      <c r="I1849" s="71" t="e">
        <f>IF(COUNTIF((rName rData),H1849),"","Name Error!")</f>
        <v>#NAME?</v>
      </c>
    </row>
    <row r="1850" spans="2:9" s="126" customFormat="1" ht="15" customHeight="1" x14ac:dyDescent="0.25">
      <c r="B1850" s="271" t="s">
        <v>279</v>
      </c>
      <c r="C1850" s="272" t="s">
        <v>280</v>
      </c>
      <c r="D1850" s="275" t="s">
        <v>216</v>
      </c>
      <c r="E1850" s="275">
        <v>41529.839212962965</v>
      </c>
      <c r="F1850" s="276">
        <v>2</v>
      </c>
      <c r="G1850" s="243">
        <f t="shared" si="29"/>
        <v>102</v>
      </c>
      <c r="H1850" s="244"/>
      <c r="I1850" s="71" t="e">
        <f>IF(COUNTIF((rName rData),H1850),"","Name Error!")</f>
        <v>#NAME?</v>
      </c>
    </row>
    <row r="1851" spans="2:9" s="126" customFormat="1" ht="15" customHeight="1" x14ac:dyDescent="0.25">
      <c r="B1851" s="271" t="s">
        <v>320</v>
      </c>
      <c r="C1851" s="272" t="s">
        <v>319</v>
      </c>
      <c r="D1851" s="275" t="s">
        <v>216</v>
      </c>
      <c r="E1851" s="275">
        <v>41529.896562499998</v>
      </c>
      <c r="F1851" s="276">
        <v>1</v>
      </c>
      <c r="G1851" s="243">
        <f t="shared" si="29"/>
        <v>102</v>
      </c>
      <c r="H1851" s="244"/>
      <c r="I1851" s="71" t="e">
        <f>IF(COUNTIF((rName rData),H1851),"","Name Error!")</f>
        <v>#NAME?</v>
      </c>
    </row>
    <row r="1852" spans="2:9" s="126" customFormat="1" ht="15" customHeight="1" x14ac:dyDescent="0.25">
      <c r="B1852" s="271" t="s">
        <v>371</v>
      </c>
      <c r="C1852" s="272" t="s">
        <v>370</v>
      </c>
      <c r="D1852" s="275" t="s">
        <v>216</v>
      </c>
      <c r="E1852" s="275">
        <v>41529.932395833333</v>
      </c>
      <c r="F1852" s="276">
        <v>1</v>
      </c>
      <c r="G1852" s="243">
        <f t="shared" si="29"/>
        <v>102</v>
      </c>
      <c r="H1852" s="244"/>
      <c r="I1852" s="71" t="e">
        <f>IF(COUNTIF((rName rData),H1852),"","Name Error!")</f>
        <v>#NAME?</v>
      </c>
    </row>
    <row r="1853" spans="2:9" s="126" customFormat="1" ht="15" customHeight="1" x14ac:dyDescent="0.25">
      <c r="B1853" s="271" t="s">
        <v>365</v>
      </c>
      <c r="C1853" s="272" t="s">
        <v>364</v>
      </c>
      <c r="D1853" s="275" t="s">
        <v>216</v>
      </c>
      <c r="E1853" s="275">
        <v>41529.966886574075</v>
      </c>
      <c r="F1853" s="276">
        <v>1</v>
      </c>
      <c r="G1853" s="243">
        <f t="shared" si="29"/>
        <v>102</v>
      </c>
      <c r="H1853" s="244"/>
      <c r="I1853" s="71" t="e">
        <f>IF(COUNTIF((rName rData),H1853),"","Name Error!")</f>
        <v>#NAME?</v>
      </c>
    </row>
    <row r="1854" spans="2:9" s="126" customFormat="1" ht="15" customHeight="1" x14ac:dyDescent="0.25">
      <c r="B1854" s="271" t="s">
        <v>356</v>
      </c>
      <c r="C1854" s="272" t="s">
        <v>355</v>
      </c>
      <c r="D1854" s="275" t="s">
        <v>216</v>
      </c>
      <c r="E1854" s="275">
        <v>41529.972546296296</v>
      </c>
      <c r="F1854" s="276">
        <v>1</v>
      </c>
      <c r="G1854" s="243">
        <f t="shared" si="29"/>
        <v>102</v>
      </c>
      <c r="H1854" s="244"/>
      <c r="I1854" s="71" t="e">
        <f>IF(COUNTIF((rName rData),H1854),"","Name Error!")</f>
        <v>#NAME?</v>
      </c>
    </row>
    <row r="1855" spans="2:9" s="126" customFormat="1" ht="15" customHeight="1" x14ac:dyDescent="0.25">
      <c r="B1855" s="271" t="s">
        <v>367</v>
      </c>
      <c r="C1855" s="272" t="s">
        <v>366</v>
      </c>
      <c r="D1855" s="275" t="s">
        <v>216</v>
      </c>
      <c r="E1855" s="275">
        <v>41530.03570601852</v>
      </c>
      <c r="F1855" s="276">
        <v>5</v>
      </c>
      <c r="G1855" s="243">
        <f t="shared" si="29"/>
        <v>102</v>
      </c>
      <c r="H1855" s="244"/>
      <c r="I1855" s="71" t="e">
        <f>IF(COUNTIF((rName rData),H1855),"","Name Error!")</f>
        <v>#NAME?</v>
      </c>
    </row>
    <row r="1856" spans="2:9" s="126" customFormat="1" ht="15" customHeight="1" x14ac:dyDescent="0.25">
      <c r="B1856" s="271" t="s">
        <v>322</v>
      </c>
      <c r="C1856" s="272" t="s">
        <v>321</v>
      </c>
      <c r="D1856" s="275" t="s">
        <v>216</v>
      </c>
      <c r="E1856" s="275">
        <v>41530.307326388887</v>
      </c>
      <c r="F1856" s="276">
        <v>5</v>
      </c>
      <c r="G1856" s="243">
        <f t="shared" si="29"/>
        <v>102</v>
      </c>
      <c r="H1856" s="244"/>
      <c r="I1856" s="71" t="e">
        <f>IF(COUNTIF((rName rData),H1856),"","Name Error!")</f>
        <v>#NAME?</v>
      </c>
    </row>
    <row r="1857" spans="2:9" s="126" customFormat="1" ht="15" customHeight="1" x14ac:dyDescent="0.25">
      <c r="B1857" s="271" t="s">
        <v>354</v>
      </c>
      <c r="C1857" s="272" t="s">
        <v>353</v>
      </c>
      <c r="D1857" s="275" t="s">
        <v>216</v>
      </c>
      <c r="E1857" s="275">
        <v>41530.321585648147</v>
      </c>
      <c r="F1857" s="276">
        <v>3</v>
      </c>
      <c r="G1857" s="243">
        <f t="shared" si="29"/>
        <v>102</v>
      </c>
      <c r="H1857" s="244"/>
      <c r="I1857" s="71" t="e">
        <f>IF(COUNTIF((rName rData),H1857),"","Name Error!")</f>
        <v>#NAME?</v>
      </c>
    </row>
    <row r="1858" spans="2:9" s="126" customFormat="1" ht="15" customHeight="1" x14ac:dyDescent="0.25">
      <c r="B1858" s="271" t="s">
        <v>358</v>
      </c>
      <c r="C1858" s="272" t="s">
        <v>357</v>
      </c>
      <c r="D1858" s="275" t="s">
        <v>216</v>
      </c>
      <c r="E1858" s="275">
        <v>41530.348703703705</v>
      </c>
      <c r="F1858" s="276">
        <v>5</v>
      </c>
      <c r="G1858" s="243">
        <f t="shared" si="29"/>
        <v>102</v>
      </c>
      <c r="H1858" s="244"/>
      <c r="I1858" s="71" t="e">
        <f>IF(COUNTIF((rName rData),H1858),"","Name Error!")</f>
        <v>#NAME?</v>
      </c>
    </row>
    <row r="1859" spans="2:9" s="126" customFormat="1" ht="15" customHeight="1" x14ac:dyDescent="0.25">
      <c r="B1859" s="271" t="s">
        <v>350</v>
      </c>
      <c r="C1859" s="272" t="s">
        <v>349</v>
      </c>
      <c r="D1859" s="275" t="s">
        <v>216</v>
      </c>
      <c r="E1859" s="275">
        <v>41530.513645833336</v>
      </c>
      <c r="F1859" s="276">
        <v>4</v>
      </c>
      <c r="G1859" s="243">
        <f t="shared" si="29"/>
        <v>102</v>
      </c>
      <c r="H1859" s="244"/>
      <c r="I1859" s="71" t="e">
        <f>IF(COUNTIF((rName rData),H1859),"","Name Error!")</f>
        <v>#NAME?</v>
      </c>
    </row>
    <row r="1860" spans="2:9" s="126" customFormat="1" ht="15" customHeight="1" x14ac:dyDescent="0.25">
      <c r="B1860" s="271" t="s">
        <v>267</v>
      </c>
      <c r="C1860" s="272" t="s">
        <v>268</v>
      </c>
      <c r="D1860" s="275" t="s">
        <v>216</v>
      </c>
      <c r="E1860" s="275">
        <v>41530.519768518519</v>
      </c>
      <c r="F1860" s="276">
        <v>1</v>
      </c>
      <c r="G1860" s="243">
        <f t="shared" si="29"/>
        <v>102</v>
      </c>
      <c r="H1860" s="244"/>
      <c r="I1860" s="71" t="e">
        <f>IF(COUNTIF((rName rData),H1860),"","Name Error!")</f>
        <v>#NAME?</v>
      </c>
    </row>
    <row r="1861" spans="2:9" s="126" customFormat="1" ht="15" customHeight="1" x14ac:dyDescent="0.25">
      <c r="B1861" s="271" t="s">
        <v>356</v>
      </c>
      <c r="C1861" s="272" t="s">
        <v>355</v>
      </c>
      <c r="D1861" s="275" t="s">
        <v>216</v>
      </c>
      <c r="E1861" s="275">
        <v>41530.586145833331</v>
      </c>
      <c r="F1861" s="276">
        <v>4</v>
      </c>
      <c r="G1861" s="243">
        <f t="shared" si="29"/>
        <v>102</v>
      </c>
      <c r="H1861" s="244"/>
      <c r="I1861" s="71" t="e">
        <f>IF(COUNTIF((rName rData),H1861),"","Name Error!")</f>
        <v>#NAME?</v>
      </c>
    </row>
    <row r="1862" spans="2:9" s="126" customFormat="1" ht="15" customHeight="1" x14ac:dyDescent="0.25">
      <c r="B1862" s="271" t="s">
        <v>345</v>
      </c>
      <c r="C1862" s="272" t="s">
        <v>344</v>
      </c>
      <c r="D1862" s="275" t="s">
        <v>216</v>
      </c>
      <c r="E1862" s="275">
        <v>41530.60832175926</v>
      </c>
      <c r="F1862" s="276">
        <v>2</v>
      </c>
      <c r="G1862" s="243">
        <f t="shared" si="29"/>
        <v>102</v>
      </c>
      <c r="H1862" s="244"/>
      <c r="I1862" s="71" t="e">
        <f>IF(COUNTIF((rName rData),H1862),"","Name Error!")</f>
        <v>#NAME?</v>
      </c>
    </row>
    <row r="1863" spans="2:9" s="126" customFormat="1" ht="15" customHeight="1" x14ac:dyDescent="0.25">
      <c r="B1863" s="271" t="s">
        <v>320</v>
      </c>
      <c r="C1863" s="272" t="s">
        <v>319</v>
      </c>
      <c r="D1863" s="275" t="s">
        <v>216</v>
      </c>
      <c r="E1863" s="275">
        <v>41530.628981481481</v>
      </c>
      <c r="F1863" s="276">
        <v>2</v>
      </c>
      <c r="G1863" s="243">
        <f t="shared" si="29"/>
        <v>102</v>
      </c>
      <c r="H1863" s="244"/>
      <c r="I1863" s="71" t="e">
        <f>IF(COUNTIF((rName rData),H1863),"","Name Error!")</f>
        <v>#NAME?</v>
      </c>
    </row>
    <row r="1864" spans="2:9" s="126" customFormat="1" ht="15" customHeight="1" x14ac:dyDescent="0.25">
      <c r="B1864" s="271" t="s">
        <v>341</v>
      </c>
      <c r="C1864" s="272" t="s">
        <v>340</v>
      </c>
      <c r="D1864" s="275" t="s">
        <v>216</v>
      </c>
      <c r="E1864" s="275">
        <v>41530.672037037039</v>
      </c>
      <c r="F1864" s="276">
        <v>2</v>
      </c>
      <c r="G1864" s="243">
        <f t="shared" si="29"/>
        <v>102</v>
      </c>
      <c r="H1864" s="244"/>
      <c r="I1864" s="71" t="e">
        <f>IF(COUNTIF((rName rData),H1864),"","Name Error!")</f>
        <v>#NAME?</v>
      </c>
    </row>
    <row r="1865" spans="2:9" s="126" customFormat="1" ht="15" customHeight="1" x14ac:dyDescent="0.25">
      <c r="B1865" s="271" t="s">
        <v>365</v>
      </c>
      <c r="C1865" s="272" t="s">
        <v>364</v>
      </c>
      <c r="D1865" s="275" t="s">
        <v>216</v>
      </c>
      <c r="E1865" s="275">
        <v>41530.809178240743</v>
      </c>
      <c r="F1865" s="276">
        <v>1</v>
      </c>
      <c r="G1865" s="243">
        <f t="shared" si="29"/>
        <v>102</v>
      </c>
      <c r="H1865" s="244"/>
      <c r="I1865" s="71" t="e">
        <f>IF(COUNTIF((rName rData),H1865),"","Name Error!")</f>
        <v>#NAME?</v>
      </c>
    </row>
    <row r="1866" spans="2:9" s="126" customFormat="1" ht="15" customHeight="1" x14ac:dyDescent="0.25">
      <c r="B1866" s="271" t="s">
        <v>279</v>
      </c>
      <c r="C1866" s="272" t="s">
        <v>280</v>
      </c>
      <c r="D1866" s="275" t="s">
        <v>216</v>
      </c>
      <c r="E1866" s="275">
        <v>41530.834930555553</v>
      </c>
      <c r="F1866" s="276">
        <v>1</v>
      </c>
      <c r="G1866" s="243">
        <f t="shared" ref="G1866:G1929" si="30">TRUNC((E1866-start)/7)+1</f>
        <v>102</v>
      </c>
      <c r="H1866" s="244"/>
      <c r="I1866" s="71" t="e">
        <f>IF(COUNTIF((rName rData),H1866),"","Name Error!")</f>
        <v>#NAME?</v>
      </c>
    </row>
    <row r="1867" spans="2:9" s="126" customFormat="1" ht="15" customHeight="1" x14ac:dyDescent="0.25">
      <c r="B1867" s="271" t="s">
        <v>371</v>
      </c>
      <c r="C1867" s="272" t="s">
        <v>370</v>
      </c>
      <c r="D1867" s="275" t="s">
        <v>216</v>
      </c>
      <c r="E1867" s="275">
        <v>41530.957372685189</v>
      </c>
      <c r="F1867" s="276">
        <v>1</v>
      </c>
      <c r="G1867" s="243">
        <f t="shared" si="30"/>
        <v>102</v>
      </c>
      <c r="H1867" s="244"/>
      <c r="I1867" s="71" t="e">
        <f>IF(COUNTIF((rName rData),H1867),"","Name Error!")</f>
        <v>#NAME?</v>
      </c>
    </row>
    <row r="1868" spans="2:9" s="126" customFormat="1" ht="15" customHeight="1" x14ac:dyDescent="0.25">
      <c r="B1868" s="271" t="s">
        <v>339</v>
      </c>
      <c r="C1868" s="272" t="s">
        <v>338</v>
      </c>
      <c r="D1868" s="275" t="s">
        <v>216</v>
      </c>
      <c r="E1868" s="275">
        <v>41531.003240740742</v>
      </c>
      <c r="F1868" s="276">
        <v>1</v>
      </c>
      <c r="G1868" s="243">
        <f t="shared" si="30"/>
        <v>103</v>
      </c>
      <c r="H1868" s="244"/>
      <c r="I1868" s="71" t="e">
        <f>IF(COUNTIF((rName rData),H1868),"","Name Error!")</f>
        <v>#NAME?</v>
      </c>
    </row>
    <row r="1869" spans="2:9" s="126" customFormat="1" ht="15" customHeight="1" x14ac:dyDescent="0.25">
      <c r="B1869" s="271" t="s">
        <v>328</v>
      </c>
      <c r="C1869" s="272" t="s">
        <v>327</v>
      </c>
      <c r="D1869" s="275" t="s">
        <v>216</v>
      </c>
      <c r="E1869" s="275">
        <v>41531.014780092592</v>
      </c>
      <c r="F1869" s="276">
        <v>1</v>
      </c>
      <c r="G1869" s="243">
        <f t="shared" si="30"/>
        <v>103</v>
      </c>
      <c r="H1869" s="244"/>
      <c r="I1869" s="71" t="e">
        <f>IF(COUNTIF((rName rData),H1869),"","Name Error!")</f>
        <v>#NAME?</v>
      </c>
    </row>
    <row r="1870" spans="2:9" s="126" customFormat="1" ht="15" customHeight="1" x14ac:dyDescent="0.25">
      <c r="B1870" s="271" t="s">
        <v>324</v>
      </c>
      <c r="C1870" s="272" t="s">
        <v>323</v>
      </c>
      <c r="D1870" s="275" t="s">
        <v>216</v>
      </c>
      <c r="E1870" s="275">
        <v>41531.02820601852</v>
      </c>
      <c r="F1870" s="276">
        <v>1</v>
      </c>
      <c r="G1870" s="243">
        <f t="shared" si="30"/>
        <v>103</v>
      </c>
      <c r="H1870" s="244"/>
      <c r="I1870" s="71" t="e">
        <f>IF(COUNTIF((rName rData),H1870),"","Name Error!")</f>
        <v>#NAME?</v>
      </c>
    </row>
    <row r="1871" spans="2:9" s="126" customFormat="1" ht="15" customHeight="1" x14ac:dyDescent="0.25">
      <c r="B1871" s="271" t="s">
        <v>267</v>
      </c>
      <c r="C1871" s="272" t="s">
        <v>268</v>
      </c>
      <c r="D1871" s="275" t="s">
        <v>216</v>
      </c>
      <c r="E1871" s="275">
        <v>41531.044027777774</v>
      </c>
      <c r="F1871" s="276">
        <v>1</v>
      </c>
      <c r="G1871" s="243">
        <f t="shared" si="30"/>
        <v>103</v>
      </c>
      <c r="H1871" s="244"/>
      <c r="I1871" s="71" t="e">
        <f>IF(COUNTIF((rName rData),H1871),"","Name Error!")</f>
        <v>#NAME?</v>
      </c>
    </row>
    <row r="1872" spans="2:9" s="126" customFormat="1" ht="15" customHeight="1" x14ac:dyDescent="0.25">
      <c r="B1872" s="271" t="s">
        <v>367</v>
      </c>
      <c r="C1872" s="272" t="s">
        <v>366</v>
      </c>
      <c r="D1872" s="275" t="s">
        <v>216</v>
      </c>
      <c r="E1872" s="275">
        <v>41531.074363425927</v>
      </c>
      <c r="F1872" s="276">
        <v>1</v>
      </c>
      <c r="G1872" s="243">
        <f t="shared" si="30"/>
        <v>103</v>
      </c>
      <c r="H1872" s="244"/>
      <c r="I1872" s="71" t="e">
        <f>IF(COUNTIF((rName rData),H1872),"","Name Error!")</f>
        <v>#NAME?</v>
      </c>
    </row>
    <row r="1873" spans="2:9" s="126" customFormat="1" ht="15" customHeight="1" x14ac:dyDescent="0.25">
      <c r="B1873" s="271" t="s">
        <v>335</v>
      </c>
      <c r="C1873" s="272" t="s">
        <v>334</v>
      </c>
      <c r="D1873" s="275" t="s">
        <v>216</v>
      </c>
      <c r="E1873" s="275">
        <v>41531.081979166665</v>
      </c>
      <c r="F1873" s="276">
        <v>1</v>
      </c>
      <c r="G1873" s="243">
        <f t="shared" si="30"/>
        <v>103</v>
      </c>
      <c r="H1873" s="244"/>
      <c r="I1873" s="71" t="e">
        <f>IF(COUNTIF((rName rData),H1873),"","Name Error!")</f>
        <v>#NAME?</v>
      </c>
    </row>
    <row r="1874" spans="2:9" s="126" customFormat="1" ht="15" customHeight="1" x14ac:dyDescent="0.25">
      <c r="B1874" s="271" t="s">
        <v>331</v>
      </c>
      <c r="C1874" s="272" t="s">
        <v>330</v>
      </c>
      <c r="D1874" s="275" t="s">
        <v>216</v>
      </c>
      <c r="E1874" s="275">
        <v>41531.098958333336</v>
      </c>
      <c r="F1874" s="276">
        <v>2</v>
      </c>
      <c r="G1874" s="243">
        <f t="shared" si="30"/>
        <v>103</v>
      </c>
      <c r="H1874" s="244"/>
      <c r="I1874" s="71" t="e">
        <f>IF(COUNTIF((rName rData),H1874),"","Name Error!")</f>
        <v>#NAME?</v>
      </c>
    </row>
    <row r="1875" spans="2:9" s="126" customFormat="1" ht="15" customHeight="1" x14ac:dyDescent="0.25">
      <c r="B1875" s="271" t="s">
        <v>352</v>
      </c>
      <c r="C1875" s="272" t="s">
        <v>351</v>
      </c>
      <c r="D1875" s="275" t="s">
        <v>216</v>
      </c>
      <c r="E1875" s="275">
        <v>41531.285856481481</v>
      </c>
      <c r="F1875" s="276">
        <v>1</v>
      </c>
      <c r="G1875" s="243">
        <f t="shared" si="30"/>
        <v>103</v>
      </c>
      <c r="H1875" s="244"/>
      <c r="I1875" s="71" t="e">
        <f>IF(COUNTIF((rName rData),H1875),"","Name Error!")</f>
        <v>#NAME?</v>
      </c>
    </row>
    <row r="1876" spans="2:9" s="126" customFormat="1" ht="15" customHeight="1" x14ac:dyDescent="0.25">
      <c r="B1876" s="271" t="s">
        <v>345</v>
      </c>
      <c r="C1876" s="272" t="s">
        <v>344</v>
      </c>
      <c r="D1876" s="275" t="s">
        <v>216</v>
      </c>
      <c r="E1876" s="275">
        <v>41531.295914351853</v>
      </c>
      <c r="F1876" s="276">
        <v>1</v>
      </c>
      <c r="G1876" s="243">
        <f t="shared" si="30"/>
        <v>103</v>
      </c>
      <c r="H1876" s="244"/>
      <c r="I1876" s="71" t="e">
        <f>IF(COUNTIF((rName rData),H1876),"","Name Error!")</f>
        <v>#NAME?</v>
      </c>
    </row>
    <row r="1877" spans="2:9" s="126" customFormat="1" ht="15" customHeight="1" x14ac:dyDescent="0.25">
      <c r="B1877" s="271" t="s">
        <v>322</v>
      </c>
      <c r="C1877" s="272" t="s">
        <v>321</v>
      </c>
      <c r="D1877" s="275" t="s">
        <v>216</v>
      </c>
      <c r="E1877" s="275">
        <v>41531.319699074076</v>
      </c>
      <c r="F1877" s="276">
        <v>2</v>
      </c>
      <c r="G1877" s="243">
        <f t="shared" si="30"/>
        <v>103</v>
      </c>
      <c r="H1877" s="244"/>
      <c r="I1877" s="71" t="e">
        <f>IF(COUNTIF((rName rData),H1877),"","Name Error!")</f>
        <v>#NAME?</v>
      </c>
    </row>
    <row r="1878" spans="2:9" s="126" customFormat="1" ht="15" customHeight="1" x14ac:dyDescent="0.25">
      <c r="B1878" s="271" t="s">
        <v>354</v>
      </c>
      <c r="C1878" s="272" t="s">
        <v>353</v>
      </c>
      <c r="D1878" s="275" t="s">
        <v>216</v>
      </c>
      <c r="E1878" s="275">
        <v>41531.325798611113</v>
      </c>
      <c r="F1878" s="276">
        <v>1</v>
      </c>
      <c r="G1878" s="243">
        <f t="shared" si="30"/>
        <v>103</v>
      </c>
      <c r="H1878" s="244"/>
      <c r="I1878" s="71" t="e">
        <f>IF(COUNTIF((rName rData),H1878),"","Name Error!")</f>
        <v>#NAME?</v>
      </c>
    </row>
    <row r="1879" spans="2:9" s="126" customFormat="1" ht="15" customHeight="1" x14ac:dyDescent="0.25">
      <c r="B1879" s="271" t="s">
        <v>279</v>
      </c>
      <c r="C1879" s="272" t="s">
        <v>280</v>
      </c>
      <c r="D1879" s="275" t="s">
        <v>216</v>
      </c>
      <c r="E1879" s="275">
        <v>41531.336550925924</v>
      </c>
      <c r="F1879" s="276">
        <v>2</v>
      </c>
      <c r="G1879" s="243">
        <f t="shared" si="30"/>
        <v>103</v>
      </c>
      <c r="H1879" s="244"/>
      <c r="I1879" s="71" t="e">
        <f>IF(COUNTIF((rName rData),H1879),"","Name Error!")</f>
        <v>#NAME?</v>
      </c>
    </row>
    <row r="1880" spans="2:9" s="126" customFormat="1" ht="15" customHeight="1" x14ac:dyDescent="0.25">
      <c r="B1880" s="271" t="s">
        <v>371</v>
      </c>
      <c r="C1880" s="272" t="s">
        <v>370</v>
      </c>
      <c r="D1880" s="275" t="s">
        <v>216</v>
      </c>
      <c r="E1880" s="275">
        <v>41531.360497685186</v>
      </c>
      <c r="F1880" s="276">
        <v>1</v>
      </c>
      <c r="G1880" s="243">
        <f t="shared" si="30"/>
        <v>103</v>
      </c>
      <c r="H1880" s="244"/>
      <c r="I1880" s="71" t="e">
        <f>IF(COUNTIF((rName rData),H1880),"","Name Error!")</f>
        <v>#NAME?</v>
      </c>
    </row>
    <row r="1881" spans="2:9" s="126" customFormat="1" ht="15" customHeight="1" x14ac:dyDescent="0.25">
      <c r="B1881" s="271" t="s">
        <v>358</v>
      </c>
      <c r="C1881" s="272" t="s">
        <v>357</v>
      </c>
      <c r="D1881" s="275" t="s">
        <v>216</v>
      </c>
      <c r="E1881" s="275">
        <v>41531.365868055553</v>
      </c>
      <c r="F1881" s="276">
        <v>1</v>
      </c>
      <c r="G1881" s="243">
        <f t="shared" si="30"/>
        <v>103</v>
      </c>
      <c r="H1881" s="244"/>
      <c r="I1881" s="71" t="e">
        <f>IF(COUNTIF((rName rData),H1881),"","Name Error!")</f>
        <v>#NAME?</v>
      </c>
    </row>
    <row r="1882" spans="2:9" s="126" customFormat="1" ht="15" customHeight="1" x14ac:dyDescent="0.25">
      <c r="B1882" s="271" t="s">
        <v>333</v>
      </c>
      <c r="C1882" s="272" t="s">
        <v>332</v>
      </c>
      <c r="D1882" s="275" t="s">
        <v>216</v>
      </c>
      <c r="E1882" s="275">
        <v>41531.384456018517</v>
      </c>
      <c r="F1882" s="276">
        <v>1</v>
      </c>
      <c r="G1882" s="243">
        <f t="shared" si="30"/>
        <v>103</v>
      </c>
      <c r="H1882" s="244"/>
      <c r="I1882" s="71" t="e">
        <f>IF(COUNTIF((rName rData),H1882),"","Name Error!")</f>
        <v>#NAME?</v>
      </c>
    </row>
    <row r="1883" spans="2:9" s="126" customFormat="1" ht="15" customHeight="1" x14ac:dyDescent="0.25">
      <c r="B1883" s="271" t="s">
        <v>350</v>
      </c>
      <c r="C1883" s="272" t="s">
        <v>349</v>
      </c>
      <c r="D1883" s="275" t="s">
        <v>216</v>
      </c>
      <c r="E1883" s="275">
        <v>41531.416412037041</v>
      </c>
      <c r="F1883" s="276">
        <v>3</v>
      </c>
      <c r="G1883" s="243">
        <f t="shared" si="30"/>
        <v>103</v>
      </c>
      <c r="H1883" s="244"/>
      <c r="I1883" s="71" t="e">
        <f>IF(COUNTIF((rName rData),H1883),"","Name Error!")</f>
        <v>#NAME?</v>
      </c>
    </row>
    <row r="1884" spans="2:9" s="126" customFormat="1" ht="15" customHeight="1" x14ac:dyDescent="0.25">
      <c r="B1884" s="271" t="s">
        <v>362</v>
      </c>
      <c r="C1884" s="272" t="s">
        <v>361</v>
      </c>
      <c r="D1884" s="275" t="s">
        <v>216</v>
      </c>
      <c r="E1884" s="275">
        <v>41531.472233796296</v>
      </c>
      <c r="F1884" s="276">
        <v>3</v>
      </c>
      <c r="G1884" s="243">
        <f t="shared" si="30"/>
        <v>103</v>
      </c>
      <c r="H1884" s="244"/>
      <c r="I1884" s="71" t="e">
        <f>IF(COUNTIF((rName rData),H1884),"","Name Error!")</f>
        <v>#NAME?</v>
      </c>
    </row>
    <row r="1885" spans="2:9" s="126" customFormat="1" ht="15" customHeight="1" x14ac:dyDescent="0.25">
      <c r="B1885" s="271" t="s">
        <v>337</v>
      </c>
      <c r="C1885" s="272" t="s">
        <v>336</v>
      </c>
      <c r="D1885" s="275" t="s">
        <v>216</v>
      </c>
      <c r="E1885" s="275">
        <v>41531.472500000003</v>
      </c>
      <c r="F1885" s="276">
        <v>2</v>
      </c>
      <c r="G1885" s="243">
        <f t="shared" si="30"/>
        <v>103</v>
      </c>
      <c r="H1885" s="244"/>
      <c r="I1885" s="71" t="e">
        <f>IF(COUNTIF((rName rData),H1885),"","Name Error!")</f>
        <v>#NAME?</v>
      </c>
    </row>
    <row r="1886" spans="2:9" s="126" customFormat="1" ht="15" customHeight="1" x14ac:dyDescent="0.25">
      <c r="B1886" s="271" t="s">
        <v>356</v>
      </c>
      <c r="C1886" s="272" t="s">
        <v>355</v>
      </c>
      <c r="D1886" s="275" t="s">
        <v>216</v>
      </c>
      <c r="E1886" s="275">
        <v>41531.587731481479</v>
      </c>
      <c r="F1886" s="276">
        <v>1</v>
      </c>
      <c r="G1886" s="243">
        <f t="shared" si="30"/>
        <v>103</v>
      </c>
      <c r="H1886" s="244"/>
      <c r="I1886" s="71" t="e">
        <f>IF(COUNTIF((rName rData),H1886),"","Name Error!")</f>
        <v>#NAME?</v>
      </c>
    </row>
    <row r="1887" spans="2:9" s="126" customFormat="1" ht="15" customHeight="1" x14ac:dyDescent="0.25">
      <c r="B1887" s="271" t="s">
        <v>356</v>
      </c>
      <c r="C1887" s="272" t="s">
        <v>355</v>
      </c>
      <c r="D1887" s="275" t="s">
        <v>216</v>
      </c>
      <c r="E1887" s="275">
        <v>41532.437326388892</v>
      </c>
      <c r="F1887" s="276">
        <v>1</v>
      </c>
      <c r="G1887" s="243">
        <f t="shared" si="30"/>
        <v>103</v>
      </c>
      <c r="H1887" s="244"/>
      <c r="I1887" s="71" t="e">
        <f>IF(COUNTIF((rName rData),H1887),"","Name Error!")</f>
        <v>#NAME?</v>
      </c>
    </row>
    <row r="1888" spans="2:9" s="126" customFormat="1" ht="15" customHeight="1" x14ac:dyDescent="0.25">
      <c r="B1888" s="271" t="s">
        <v>322</v>
      </c>
      <c r="C1888" s="272" t="s">
        <v>321</v>
      </c>
      <c r="D1888" s="275" t="s">
        <v>216</v>
      </c>
      <c r="E1888" s="275">
        <v>41532.554884259262</v>
      </c>
      <c r="F1888" s="276">
        <v>3</v>
      </c>
      <c r="G1888" s="243">
        <f t="shared" si="30"/>
        <v>103</v>
      </c>
      <c r="H1888" s="244"/>
      <c r="I1888" s="71" t="e">
        <f>IF(COUNTIF((rName rData),H1888),"","Name Error!")</f>
        <v>#NAME?</v>
      </c>
    </row>
    <row r="1889" spans="2:9" s="126" customFormat="1" ht="15" customHeight="1" x14ac:dyDescent="0.25">
      <c r="B1889" s="271" t="s">
        <v>358</v>
      </c>
      <c r="C1889" s="272" t="s">
        <v>357</v>
      </c>
      <c r="D1889" s="275" t="s">
        <v>216</v>
      </c>
      <c r="E1889" s="275">
        <v>41532.708437499998</v>
      </c>
      <c r="F1889" s="276">
        <v>1</v>
      </c>
      <c r="G1889" s="243">
        <f t="shared" si="30"/>
        <v>103</v>
      </c>
      <c r="H1889" s="244"/>
      <c r="I1889" s="71" t="e">
        <f>IF(COUNTIF((rName rData),H1889),"","Name Error!")</f>
        <v>#NAME?</v>
      </c>
    </row>
    <row r="1890" spans="2:9" s="126" customFormat="1" ht="15" customHeight="1" x14ac:dyDescent="0.25">
      <c r="B1890" s="271" t="s">
        <v>350</v>
      </c>
      <c r="C1890" s="272" t="s">
        <v>349</v>
      </c>
      <c r="D1890" s="275" t="s">
        <v>216</v>
      </c>
      <c r="E1890" s="275">
        <v>41532.721250000002</v>
      </c>
      <c r="F1890" s="276">
        <v>1</v>
      </c>
      <c r="G1890" s="243">
        <f t="shared" si="30"/>
        <v>103</v>
      </c>
      <c r="H1890" s="244"/>
      <c r="I1890" s="71" t="e">
        <f>IF(COUNTIF((rName rData),H1890),"","Name Error!")</f>
        <v>#NAME?</v>
      </c>
    </row>
    <row r="1891" spans="2:9" s="126" customFormat="1" ht="15" customHeight="1" x14ac:dyDescent="0.25">
      <c r="B1891" s="271" t="s">
        <v>335</v>
      </c>
      <c r="C1891" s="272" t="s">
        <v>334</v>
      </c>
      <c r="D1891" s="275" t="s">
        <v>216</v>
      </c>
      <c r="E1891" s="275">
        <v>41532.745266203703</v>
      </c>
      <c r="F1891" s="276">
        <v>1</v>
      </c>
      <c r="G1891" s="243">
        <f t="shared" si="30"/>
        <v>103</v>
      </c>
      <c r="H1891" s="244"/>
      <c r="I1891" s="71" t="e">
        <f>IF(COUNTIF((rName rData),H1891),"","Name Error!")</f>
        <v>#NAME?</v>
      </c>
    </row>
    <row r="1892" spans="2:9" s="126" customFormat="1" ht="15" customHeight="1" x14ac:dyDescent="0.25">
      <c r="B1892" s="271" t="s">
        <v>365</v>
      </c>
      <c r="C1892" s="272" t="s">
        <v>364</v>
      </c>
      <c r="D1892" s="275" t="s">
        <v>216</v>
      </c>
      <c r="E1892" s="275">
        <v>41532.746180555558</v>
      </c>
      <c r="F1892" s="276">
        <v>1</v>
      </c>
      <c r="G1892" s="243">
        <f t="shared" si="30"/>
        <v>103</v>
      </c>
      <c r="H1892" s="244"/>
      <c r="I1892" s="71" t="e">
        <f>IF(COUNTIF((rName rData),H1892),"","Name Error!")</f>
        <v>#NAME?</v>
      </c>
    </row>
    <row r="1893" spans="2:9" s="126" customFormat="1" ht="15" customHeight="1" x14ac:dyDescent="0.25">
      <c r="B1893" s="271" t="s">
        <v>352</v>
      </c>
      <c r="C1893" s="272" t="s">
        <v>351</v>
      </c>
      <c r="D1893" s="275" t="s">
        <v>216</v>
      </c>
      <c r="E1893" s="275">
        <v>41532.761423611111</v>
      </c>
      <c r="F1893" s="276">
        <v>1</v>
      </c>
      <c r="G1893" s="243">
        <f t="shared" si="30"/>
        <v>103</v>
      </c>
      <c r="H1893" s="244"/>
      <c r="I1893" s="71" t="e">
        <f>IF(COUNTIF((rName rData),H1893),"","Name Error!")</f>
        <v>#NAME?</v>
      </c>
    </row>
    <row r="1894" spans="2:9" s="126" customFormat="1" ht="15" customHeight="1" x14ac:dyDescent="0.25">
      <c r="B1894" s="271" t="s">
        <v>324</v>
      </c>
      <c r="C1894" s="272" t="s">
        <v>323</v>
      </c>
      <c r="D1894" s="275" t="s">
        <v>216</v>
      </c>
      <c r="E1894" s="275">
        <v>41533.00172453704</v>
      </c>
      <c r="F1894" s="276">
        <v>1</v>
      </c>
      <c r="G1894" s="243">
        <f t="shared" si="30"/>
        <v>103</v>
      </c>
      <c r="H1894" s="244"/>
      <c r="I1894" s="71" t="e">
        <f>IF(COUNTIF((rName rData),H1894),"","Name Error!")</f>
        <v>#NAME?</v>
      </c>
    </row>
    <row r="1895" spans="2:9" s="126" customFormat="1" ht="15" customHeight="1" x14ac:dyDescent="0.25">
      <c r="B1895" s="271" t="s">
        <v>337</v>
      </c>
      <c r="C1895" s="272" t="s">
        <v>336</v>
      </c>
      <c r="D1895" s="275" t="s">
        <v>216</v>
      </c>
      <c r="E1895" s="275">
        <v>41533.007175925923</v>
      </c>
      <c r="F1895" s="276">
        <v>1</v>
      </c>
      <c r="G1895" s="243">
        <f t="shared" si="30"/>
        <v>103</v>
      </c>
      <c r="H1895" s="244"/>
      <c r="I1895" s="71" t="e">
        <f>IF(COUNTIF((rName rData),H1895),"","Name Error!")</f>
        <v>#NAME?</v>
      </c>
    </row>
    <row r="1896" spans="2:9" s="126" customFormat="1" ht="15" customHeight="1" x14ac:dyDescent="0.25">
      <c r="B1896" s="271" t="s">
        <v>267</v>
      </c>
      <c r="C1896" s="272" t="s">
        <v>268</v>
      </c>
      <c r="D1896" s="275" t="s">
        <v>216</v>
      </c>
      <c r="E1896" s="275">
        <v>41533.518055555556</v>
      </c>
      <c r="F1896" s="276">
        <v>3</v>
      </c>
      <c r="G1896" s="243">
        <f t="shared" si="30"/>
        <v>103</v>
      </c>
      <c r="H1896" s="244"/>
      <c r="I1896" s="71" t="e">
        <f>IF(COUNTIF((rName rData),H1896),"","Name Error!")</f>
        <v>#NAME?</v>
      </c>
    </row>
    <row r="1897" spans="2:9" s="126" customFormat="1" ht="15" customHeight="1" x14ac:dyDescent="0.25">
      <c r="B1897" s="271" t="s">
        <v>358</v>
      </c>
      <c r="C1897" s="272" t="s">
        <v>357</v>
      </c>
      <c r="D1897" s="275" t="s">
        <v>216</v>
      </c>
      <c r="E1897" s="275">
        <v>41533.77920138889</v>
      </c>
      <c r="F1897" s="276">
        <v>1</v>
      </c>
      <c r="G1897" s="243">
        <f t="shared" si="30"/>
        <v>103</v>
      </c>
      <c r="H1897" s="244"/>
      <c r="I1897" s="71" t="e">
        <f>IF(COUNTIF((rName rData),H1897),"","Name Error!")</f>
        <v>#NAME?</v>
      </c>
    </row>
    <row r="1898" spans="2:9" s="126" customFormat="1" ht="15" customHeight="1" x14ac:dyDescent="0.25">
      <c r="B1898" s="271" t="s">
        <v>337</v>
      </c>
      <c r="C1898" s="272" t="s">
        <v>336</v>
      </c>
      <c r="D1898" s="275" t="s">
        <v>216</v>
      </c>
      <c r="E1898" s="275">
        <v>41534.589849537035</v>
      </c>
      <c r="F1898" s="276">
        <v>1</v>
      </c>
      <c r="G1898" s="243">
        <f t="shared" si="30"/>
        <v>103</v>
      </c>
      <c r="H1898" s="244"/>
      <c r="I1898" s="71" t="e">
        <f>IF(COUNTIF((rName rData),H1898),"","Name Error!")</f>
        <v>#NAME?</v>
      </c>
    </row>
    <row r="1899" spans="2:9" s="126" customFormat="1" ht="15" customHeight="1" x14ac:dyDescent="0.25">
      <c r="B1899" s="271" t="s">
        <v>331</v>
      </c>
      <c r="C1899" s="272" t="s">
        <v>330</v>
      </c>
      <c r="D1899" s="275" t="s">
        <v>216</v>
      </c>
      <c r="E1899" s="275">
        <v>41534.769780092596</v>
      </c>
      <c r="F1899" s="276">
        <v>1</v>
      </c>
      <c r="G1899" s="243">
        <f t="shared" si="30"/>
        <v>103</v>
      </c>
      <c r="H1899" s="244"/>
      <c r="I1899" s="71" t="e">
        <f>IF(COUNTIF((rName rData),H1899),"","Name Error!")</f>
        <v>#NAME?</v>
      </c>
    </row>
    <row r="1900" spans="2:9" s="126" customFormat="1" ht="15" customHeight="1" x14ac:dyDescent="0.25">
      <c r="B1900" s="271" t="s">
        <v>356</v>
      </c>
      <c r="C1900" s="272" t="s">
        <v>355</v>
      </c>
      <c r="D1900" s="275" t="s">
        <v>216</v>
      </c>
      <c r="E1900" s="275">
        <v>41534.792743055557</v>
      </c>
      <c r="F1900" s="276">
        <v>1</v>
      </c>
      <c r="G1900" s="243">
        <f t="shared" si="30"/>
        <v>103</v>
      </c>
      <c r="H1900" s="244"/>
      <c r="I1900" s="71" t="e">
        <f>IF(COUNTIF((rName rData),H1900),"","Name Error!")</f>
        <v>#NAME?</v>
      </c>
    </row>
    <row r="1901" spans="2:9" s="126" customFormat="1" ht="15" customHeight="1" x14ac:dyDescent="0.25">
      <c r="B1901" s="271" t="s">
        <v>267</v>
      </c>
      <c r="C1901" s="272" t="s">
        <v>268</v>
      </c>
      <c r="D1901" s="275" t="s">
        <v>216</v>
      </c>
      <c r="E1901" s="275">
        <v>41534.81108796296</v>
      </c>
      <c r="F1901" s="276">
        <v>1</v>
      </c>
      <c r="G1901" s="243">
        <f t="shared" si="30"/>
        <v>103</v>
      </c>
      <c r="H1901" s="244"/>
      <c r="I1901" s="71" t="e">
        <f>IF(COUNTIF((rName rData),H1901),"","Name Error!")</f>
        <v>#NAME?</v>
      </c>
    </row>
    <row r="1902" spans="2:9" s="126" customFormat="1" ht="15" customHeight="1" x14ac:dyDescent="0.25">
      <c r="B1902" s="271" t="s">
        <v>354</v>
      </c>
      <c r="C1902" s="272" t="s">
        <v>353</v>
      </c>
      <c r="D1902" s="275" t="s">
        <v>216</v>
      </c>
      <c r="E1902" s="275">
        <v>41535.234270833331</v>
      </c>
      <c r="F1902" s="276">
        <v>2</v>
      </c>
      <c r="G1902" s="243">
        <f t="shared" si="30"/>
        <v>103</v>
      </c>
      <c r="H1902" s="244"/>
      <c r="I1902" s="71" t="e">
        <f>IF(COUNTIF((rName rData),H1902),"","Name Error!")</f>
        <v>#NAME?</v>
      </c>
    </row>
    <row r="1903" spans="2:9" s="126" customFormat="1" ht="15" customHeight="1" x14ac:dyDescent="0.25">
      <c r="B1903" s="271" t="s">
        <v>267</v>
      </c>
      <c r="C1903" s="272" t="s">
        <v>268</v>
      </c>
      <c r="D1903" s="275" t="s">
        <v>216</v>
      </c>
      <c r="E1903" s="275">
        <v>41535.308449074073</v>
      </c>
      <c r="F1903" s="276">
        <v>2</v>
      </c>
      <c r="G1903" s="243">
        <f t="shared" si="30"/>
        <v>103</v>
      </c>
      <c r="H1903" s="244"/>
      <c r="I1903" s="71" t="e">
        <f>IF(COUNTIF((rName rData),H1903),"","Name Error!")</f>
        <v>#NAME?</v>
      </c>
    </row>
    <row r="1904" spans="2:9" s="126" customFormat="1" ht="15" customHeight="1" x14ac:dyDescent="0.25">
      <c r="B1904" s="271" t="s">
        <v>371</v>
      </c>
      <c r="C1904" s="272" t="s">
        <v>370</v>
      </c>
      <c r="D1904" s="275" t="s">
        <v>216</v>
      </c>
      <c r="E1904" s="275">
        <v>41535.317523148151</v>
      </c>
      <c r="F1904" s="276">
        <v>1</v>
      </c>
      <c r="G1904" s="243">
        <f t="shared" si="30"/>
        <v>103</v>
      </c>
      <c r="H1904" s="244"/>
      <c r="I1904" s="71" t="e">
        <f>IF(COUNTIF((rName rData),H1904),"","Name Error!")</f>
        <v>#NAME?</v>
      </c>
    </row>
    <row r="1905" spans="2:9" s="126" customFormat="1" ht="15" customHeight="1" x14ac:dyDescent="0.25">
      <c r="B1905" s="271" t="s">
        <v>356</v>
      </c>
      <c r="C1905" s="272" t="s">
        <v>355</v>
      </c>
      <c r="D1905" s="275" t="s">
        <v>216</v>
      </c>
      <c r="E1905" s="275">
        <v>41535.717187499999</v>
      </c>
      <c r="F1905" s="276">
        <v>1</v>
      </c>
      <c r="G1905" s="243">
        <f t="shared" si="30"/>
        <v>103</v>
      </c>
      <c r="H1905" s="244"/>
      <c r="I1905" s="71" t="e">
        <f>IF(COUNTIF((rName rData),H1905),"","Name Error!")</f>
        <v>#NAME?</v>
      </c>
    </row>
    <row r="1906" spans="2:9" s="126" customFormat="1" ht="15" customHeight="1" x14ac:dyDescent="0.25">
      <c r="B1906" s="271" t="s">
        <v>279</v>
      </c>
      <c r="C1906" s="272" t="s">
        <v>280</v>
      </c>
      <c r="D1906" s="275" t="s">
        <v>216</v>
      </c>
      <c r="E1906" s="275">
        <v>41535.81622685185</v>
      </c>
      <c r="F1906" s="276">
        <v>1</v>
      </c>
      <c r="G1906" s="243">
        <f t="shared" si="30"/>
        <v>103</v>
      </c>
      <c r="H1906" s="244"/>
      <c r="I1906" s="71" t="e">
        <f>IF(COUNTIF((rName rData),H1906),"","Name Error!")</f>
        <v>#NAME?</v>
      </c>
    </row>
    <row r="1907" spans="2:9" s="126" customFormat="1" ht="15" customHeight="1" x14ac:dyDescent="0.25">
      <c r="B1907" s="271" t="s">
        <v>358</v>
      </c>
      <c r="C1907" s="272" t="s">
        <v>357</v>
      </c>
      <c r="D1907" s="275" t="s">
        <v>216</v>
      </c>
      <c r="E1907" s="275">
        <v>41535.891053240739</v>
      </c>
      <c r="F1907" s="276">
        <v>1</v>
      </c>
      <c r="G1907" s="243">
        <f t="shared" si="30"/>
        <v>103</v>
      </c>
      <c r="H1907" s="244"/>
      <c r="I1907" s="71" t="e">
        <f>IF(COUNTIF((rName rData),H1907),"","Name Error!")</f>
        <v>#NAME?</v>
      </c>
    </row>
    <row r="1908" spans="2:9" s="126" customFormat="1" ht="15" customHeight="1" x14ac:dyDescent="0.25">
      <c r="B1908" s="271" t="s">
        <v>345</v>
      </c>
      <c r="C1908" s="272" t="s">
        <v>344</v>
      </c>
      <c r="D1908" s="275" t="s">
        <v>216</v>
      </c>
      <c r="E1908" s="275">
        <v>41536.367951388886</v>
      </c>
      <c r="F1908" s="276">
        <v>1</v>
      </c>
      <c r="G1908" s="243">
        <f t="shared" si="30"/>
        <v>103</v>
      </c>
      <c r="H1908" s="244"/>
      <c r="I1908" s="71" t="e">
        <f>IF(COUNTIF((rName rData),H1908),"","Name Error!")</f>
        <v>#NAME?</v>
      </c>
    </row>
    <row r="1909" spans="2:9" s="126" customFormat="1" ht="15" customHeight="1" x14ac:dyDescent="0.25">
      <c r="B1909" s="271" t="s">
        <v>324</v>
      </c>
      <c r="C1909" s="272" t="s">
        <v>323</v>
      </c>
      <c r="D1909" s="275" t="s">
        <v>216</v>
      </c>
      <c r="E1909" s="275">
        <v>41536.959594907406</v>
      </c>
      <c r="F1909" s="276">
        <v>1</v>
      </c>
      <c r="G1909" s="243">
        <f t="shared" si="30"/>
        <v>103</v>
      </c>
      <c r="H1909" s="244"/>
      <c r="I1909" s="71" t="e">
        <f>IF(COUNTIF((rName rData),H1909),"","Name Error!")</f>
        <v>#NAME?</v>
      </c>
    </row>
    <row r="1910" spans="2:9" s="126" customFormat="1" ht="15" customHeight="1" x14ac:dyDescent="0.25">
      <c r="B1910" s="271" t="s">
        <v>362</v>
      </c>
      <c r="C1910" s="272" t="s">
        <v>361</v>
      </c>
      <c r="D1910" s="275" t="s">
        <v>216</v>
      </c>
      <c r="E1910" s="275">
        <v>41536.974768518521</v>
      </c>
      <c r="F1910" s="276">
        <v>1</v>
      </c>
      <c r="G1910" s="243">
        <f t="shared" si="30"/>
        <v>103</v>
      </c>
      <c r="H1910" s="244"/>
      <c r="I1910" s="71" t="e">
        <f>IF(COUNTIF((rName rData),H1910),"","Name Error!")</f>
        <v>#NAME?</v>
      </c>
    </row>
    <row r="1911" spans="2:9" s="126" customFormat="1" ht="15" customHeight="1" x14ac:dyDescent="0.25">
      <c r="B1911" s="271" t="s">
        <v>324</v>
      </c>
      <c r="C1911" s="272" t="s">
        <v>323</v>
      </c>
      <c r="D1911" s="275" t="s">
        <v>216</v>
      </c>
      <c r="E1911" s="275">
        <v>41537.01730324074</v>
      </c>
      <c r="F1911" s="276">
        <v>3</v>
      </c>
      <c r="G1911" s="243">
        <f t="shared" si="30"/>
        <v>103</v>
      </c>
      <c r="H1911" s="244"/>
      <c r="I1911" s="71" t="e">
        <f>IF(COUNTIF((rName rData),H1911),"","Name Error!")</f>
        <v>#NAME?</v>
      </c>
    </row>
    <row r="1912" spans="2:9" s="126" customFormat="1" ht="15" customHeight="1" x14ac:dyDescent="0.25">
      <c r="B1912" s="271" t="s">
        <v>333</v>
      </c>
      <c r="C1912" s="272" t="s">
        <v>332</v>
      </c>
      <c r="D1912" s="275" t="s">
        <v>216</v>
      </c>
      <c r="E1912" s="275">
        <v>41537.456377314818</v>
      </c>
      <c r="F1912" s="276">
        <v>1</v>
      </c>
      <c r="G1912" s="243">
        <f t="shared" si="30"/>
        <v>103</v>
      </c>
      <c r="H1912" s="244"/>
      <c r="I1912" s="71" t="e">
        <f>IF(COUNTIF((rName rData),H1912),"","Name Error!")</f>
        <v>#NAME?</v>
      </c>
    </row>
    <row r="1913" spans="2:9" s="126" customFormat="1" ht="15" customHeight="1" x14ac:dyDescent="0.25">
      <c r="B1913" s="271" t="s">
        <v>354</v>
      </c>
      <c r="C1913" s="272" t="s">
        <v>353</v>
      </c>
      <c r="D1913" s="275" t="s">
        <v>216</v>
      </c>
      <c r="E1913" s="275">
        <v>41537.616388888891</v>
      </c>
      <c r="F1913" s="276">
        <v>1</v>
      </c>
      <c r="G1913" s="243">
        <f t="shared" si="30"/>
        <v>103</v>
      </c>
      <c r="H1913" s="244"/>
      <c r="I1913" s="71" t="e">
        <f>IF(COUNTIF((rName rData),H1913),"","Name Error!")</f>
        <v>#NAME?</v>
      </c>
    </row>
    <row r="1914" spans="2:9" s="126" customFormat="1" ht="15" customHeight="1" x14ac:dyDescent="0.25">
      <c r="B1914" s="271" t="s">
        <v>267</v>
      </c>
      <c r="C1914" s="272" t="s">
        <v>268</v>
      </c>
      <c r="D1914" s="275" t="s">
        <v>216</v>
      </c>
      <c r="E1914" s="275">
        <v>41537.685231481482</v>
      </c>
      <c r="F1914" s="276">
        <v>2</v>
      </c>
      <c r="G1914" s="243">
        <f t="shared" si="30"/>
        <v>103</v>
      </c>
      <c r="H1914" s="244"/>
      <c r="I1914" s="71" t="e">
        <f>IF(COUNTIF((rName rData),H1914),"","Name Error!")</f>
        <v>#NAME?</v>
      </c>
    </row>
    <row r="1915" spans="2:9" s="126" customFormat="1" ht="15" customHeight="1" x14ac:dyDescent="0.25">
      <c r="B1915" s="271" t="s">
        <v>322</v>
      </c>
      <c r="C1915" s="272" t="s">
        <v>321</v>
      </c>
      <c r="D1915" s="275" t="s">
        <v>216</v>
      </c>
      <c r="E1915" s="275">
        <v>41537.812430555554</v>
      </c>
      <c r="F1915" s="276">
        <v>1</v>
      </c>
      <c r="G1915" s="243">
        <f t="shared" si="30"/>
        <v>103</v>
      </c>
      <c r="H1915" s="244"/>
      <c r="I1915" s="71" t="e">
        <f>IF(COUNTIF((rName rData),H1915),"","Name Error!")</f>
        <v>#NAME?</v>
      </c>
    </row>
    <row r="1916" spans="2:9" s="126" customFormat="1" ht="15" customHeight="1" x14ac:dyDescent="0.25">
      <c r="B1916" s="271" t="s">
        <v>350</v>
      </c>
      <c r="C1916" s="272" t="s">
        <v>349</v>
      </c>
      <c r="D1916" s="275" t="s">
        <v>216</v>
      </c>
      <c r="E1916" s="275">
        <v>41537.815509259257</v>
      </c>
      <c r="F1916" s="276">
        <v>1</v>
      </c>
      <c r="G1916" s="243">
        <f t="shared" si="30"/>
        <v>103</v>
      </c>
      <c r="H1916" s="244"/>
      <c r="I1916" s="71" t="e">
        <f>IF(COUNTIF((rName rData),H1916),"","Name Error!")</f>
        <v>#NAME?</v>
      </c>
    </row>
    <row r="1917" spans="2:9" s="126" customFormat="1" ht="15" customHeight="1" x14ac:dyDescent="0.25">
      <c r="B1917" s="271" t="s">
        <v>356</v>
      </c>
      <c r="C1917" s="272" t="s">
        <v>355</v>
      </c>
      <c r="D1917" s="275" t="s">
        <v>216</v>
      </c>
      <c r="E1917" s="275">
        <v>41537.926238425927</v>
      </c>
      <c r="F1917" s="276">
        <v>1</v>
      </c>
      <c r="G1917" s="243">
        <f t="shared" si="30"/>
        <v>103</v>
      </c>
      <c r="H1917" s="244"/>
      <c r="I1917" s="71" t="e">
        <f>IF(COUNTIF((rName rData),H1917),"","Name Error!")</f>
        <v>#NAME?</v>
      </c>
    </row>
    <row r="1918" spans="2:9" s="126" customFormat="1" ht="15" customHeight="1" x14ac:dyDescent="0.25">
      <c r="B1918" s="271" t="s">
        <v>341</v>
      </c>
      <c r="C1918" s="272" t="s">
        <v>340</v>
      </c>
      <c r="D1918" s="275" t="s">
        <v>216</v>
      </c>
      <c r="E1918" s="275">
        <v>41537.928240740737</v>
      </c>
      <c r="F1918" s="276">
        <v>1</v>
      </c>
      <c r="G1918" s="243">
        <f t="shared" si="30"/>
        <v>103</v>
      </c>
      <c r="H1918" s="244"/>
      <c r="I1918" s="71" t="e">
        <f>IF(COUNTIF((rName rData),H1918),"","Name Error!")</f>
        <v>#NAME?</v>
      </c>
    </row>
    <row r="1919" spans="2:9" s="126" customFormat="1" ht="15" customHeight="1" x14ac:dyDescent="0.25">
      <c r="B1919" s="271" t="s">
        <v>331</v>
      </c>
      <c r="C1919" s="272" t="s">
        <v>330</v>
      </c>
      <c r="D1919" s="275" t="s">
        <v>216</v>
      </c>
      <c r="E1919" s="275">
        <v>41537.989305555559</v>
      </c>
      <c r="F1919" s="276">
        <v>1</v>
      </c>
      <c r="G1919" s="243">
        <f t="shared" si="30"/>
        <v>103</v>
      </c>
      <c r="H1919" s="244"/>
      <c r="I1919" s="71" t="e">
        <f>IF(COUNTIF((rName rData),H1919),"","Name Error!")</f>
        <v>#NAME?</v>
      </c>
    </row>
    <row r="1920" spans="2:9" s="126" customFormat="1" ht="15" customHeight="1" x14ac:dyDescent="0.25">
      <c r="B1920" s="271" t="s">
        <v>324</v>
      </c>
      <c r="C1920" s="272" t="s">
        <v>323</v>
      </c>
      <c r="D1920" s="275" t="s">
        <v>216</v>
      </c>
      <c r="E1920" s="275">
        <v>41538.048159722224</v>
      </c>
      <c r="F1920" s="276">
        <v>1</v>
      </c>
      <c r="G1920" s="243">
        <f t="shared" si="30"/>
        <v>104</v>
      </c>
      <c r="H1920" s="244"/>
      <c r="I1920" s="71" t="e">
        <f>IF(COUNTIF((rName rData),H1920),"","Name Error!")</f>
        <v>#NAME?</v>
      </c>
    </row>
    <row r="1921" spans="2:9" s="126" customFormat="1" ht="15" customHeight="1" x14ac:dyDescent="0.25">
      <c r="B1921" s="271" t="s">
        <v>354</v>
      </c>
      <c r="C1921" s="272" t="s">
        <v>353</v>
      </c>
      <c r="D1921" s="275" t="s">
        <v>216</v>
      </c>
      <c r="E1921" s="275">
        <v>41538.213541666664</v>
      </c>
      <c r="F1921" s="276">
        <v>2</v>
      </c>
      <c r="G1921" s="243">
        <f t="shared" si="30"/>
        <v>104</v>
      </c>
      <c r="H1921" s="244"/>
      <c r="I1921" s="71" t="e">
        <f>IF(COUNTIF((rName rData),H1921),"","Name Error!")</f>
        <v>#NAME?</v>
      </c>
    </row>
    <row r="1922" spans="2:9" s="126" customFormat="1" ht="15" customHeight="1" x14ac:dyDescent="0.25">
      <c r="B1922" s="271" t="s">
        <v>356</v>
      </c>
      <c r="C1922" s="272" t="s">
        <v>355</v>
      </c>
      <c r="D1922" s="275" t="s">
        <v>216</v>
      </c>
      <c r="E1922" s="275">
        <v>41538.413946759261</v>
      </c>
      <c r="F1922" s="276">
        <v>2</v>
      </c>
      <c r="G1922" s="243">
        <f t="shared" si="30"/>
        <v>104</v>
      </c>
      <c r="H1922" s="244"/>
      <c r="I1922" s="71" t="e">
        <f>IF(COUNTIF((rName rData),H1922),"","Name Error!")</f>
        <v>#NAME?</v>
      </c>
    </row>
    <row r="1923" spans="2:9" s="126" customFormat="1" ht="15" customHeight="1" x14ac:dyDescent="0.25">
      <c r="B1923" s="271" t="s">
        <v>267</v>
      </c>
      <c r="C1923" s="272" t="s">
        <v>268</v>
      </c>
      <c r="D1923" s="275" t="s">
        <v>216</v>
      </c>
      <c r="E1923" s="275">
        <v>41538.576377314814</v>
      </c>
      <c r="F1923" s="276">
        <v>1</v>
      </c>
      <c r="G1923" s="243">
        <f t="shared" si="30"/>
        <v>104</v>
      </c>
      <c r="H1923" s="244"/>
      <c r="I1923" s="71" t="e">
        <f>IF(COUNTIF((rName rData),H1923),"","Name Error!")</f>
        <v>#NAME?</v>
      </c>
    </row>
    <row r="1924" spans="2:9" s="126" customFormat="1" ht="15" customHeight="1" x14ac:dyDescent="0.25">
      <c r="B1924" s="271" t="s">
        <v>362</v>
      </c>
      <c r="C1924" s="272" t="s">
        <v>361</v>
      </c>
      <c r="D1924" s="275" t="s">
        <v>216</v>
      </c>
      <c r="E1924" s="275">
        <v>41538.637627314813</v>
      </c>
      <c r="F1924" s="276">
        <v>4</v>
      </c>
      <c r="G1924" s="243">
        <f t="shared" si="30"/>
        <v>104</v>
      </c>
      <c r="H1924" s="244"/>
      <c r="I1924" s="71" t="e">
        <f>IF(COUNTIF((rName rData),H1924),"","Name Error!")</f>
        <v>#NAME?</v>
      </c>
    </row>
    <row r="1925" spans="2:9" s="126" customFormat="1" ht="15" customHeight="1" x14ac:dyDescent="0.25">
      <c r="B1925" s="271" t="s">
        <v>331</v>
      </c>
      <c r="C1925" s="272" t="s">
        <v>330</v>
      </c>
      <c r="D1925" s="275" t="s">
        <v>216</v>
      </c>
      <c r="E1925" s="275">
        <v>41538.768125000002</v>
      </c>
      <c r="F1925" s="276">
        <v>1</v>
      </c>
      <c r="G1925" s="243">
        <f t="shared" si="30"/>
        <v>104</v>
      </c>
      <c r="H1925" s="244"/>
      <c r="I1925" s="71" t="e">
        <f>IF(COUNTIF((rName rData),H1925),"","Name Error!")</f>
        <v>#NAME?</v>
      </c>
    </row>
    <row r="1926" spans="2:9" s="126" customFormat="1" ht="15" customHeight="1" x14ac:dyDescent="0.25">
      <c r="B1926" s="271" t="s">
        <v>335</v>
      </c>
      <c r="C1926" s="272" t="s">
        <v>334</v>
      </c>
      <c r="D1926" s="275" t="s">
        <v>216</v>
      </c>
      <c r="E1926" s="275">
        <v>41538.777025462965</v>
      </c>
      <c r="F1926" s="276">
        <v>1</v>
      </c>
      <c r="G1926" s="243">
        <f t="shared" si="30"/>
        <v>104</v>
      </c>
      <c r="H1926" s="244"/>
      <c r="I1926" s="71" t="e">
        <f>IF(COUNTIF((rName rData),H1926),"","Name Error!")</f>
        <v>#NAME?</v>
      </c>
    </row>
    <row r="1927" spans="2:9" s="126" customFormat="1" ht="15" customHeight="1" x14ac:dyDescent="0.25">
      <c r="B1927" s="271" t="s">
        <v>337</v>
      </c>
      <c r="C1927" s="272" t="s">
        <v>336</v>
      </c>
      <c r="D1927" s="275" t="s">
        <v>216</v>
      </c>
      <c r="E1927" s="275">
        <v>41538.795347222222</v>
      </c>
      <c r="F1927" s="276">
        <v>5</v>
      </c>
      <c r="G1927" s="243">
        <f t="shared" si="30"/>
        <v>104</v>
      </c>
      <c r="H1927" s="244"/>
      <c r="I1927" s="71" t="e">
        <f>IF(COUNTIF((rName rData),H1927),"","Name Error!")</f>
        <v>#NAME?</v>
      </c>
    </row>
    <row r="1928" spans="2:9" s="126" customFormat="1" ht="15" customHeight="1" x14ac:dyDescent="0.25">
      <c r="B1928" s="271" t="s">
        <v>367</v>
      </c>
      <c r="C1928" s="272" t="s">
        <v>366</v>
      </c>
      <c r="D1928" s="275" t="s">
        <v>216</v>
      </c>
      <c r="E1928" s="275">
        <v>41538.878680555557</v>
      </c>
      <c r="F1928" s="276">
        <v>1</v>
      </c>
      <c r="G1928" s="243">
        <f t="shared" si="30"/>
        <v>104</v>
      </c>
      <c r="H1928" s="244"/>
      <c r="I1928" s="71" t="e">
        <f>IF(COUNTIF((rName rData),H1928),"","Name Error!")</f>
        <v>#NAME?</v>
      </c>
    </row>
    <row r="1929" spans="2:9" s="126" customFormat="1" ht="15" customHeight="1" x14ac:dyDescent="0.25">
      <c r="B1929" s="271" t="s">
        <v>320</v>
      </c>
      <c r="C1929" s="272" t="s">
        <v>319</v>
      </c>
      <c r="D1929" s="275" t="s">
        <v>216</v>
      </c>
      <c r="E1929" s="275">
        <v>41538.923032407409</v>
      </c>
      <c r="F1929" s="276">
        <v>1</v>
      </c>
      <c r="G1929" s="243">
        <f t="shared" si="30"/>
        <v>104</v>
      </c>
      <c r="H1929" s="244"/>
      <c r="I1929" s="71" t="e">
        <f>IF(COUNTIF((rName rData),H1929),"","Name Error!")</f>
        <v>#NAME?</v>
      </c>
    </row>
    <row r="1930" spans="2:9" s="126" customFormat="1" ht="15" customHeight="1" x14ac:dyDescent="0.25">
      <c r="B1930" s="271" t="s">
        <v>328</v>
      </c>
      <c r="C1930" s="272" t="s">
        <v>327</v>
      </c>
      <c r="D1930" s="275" t="s">
        <v>216</v>
      </c>
      <c r="E1930" s="275">
        <v>41538.977094907408</v>
      </c>
      <c r="F1930" s="276">
        <v>1</v>
      </c>
      <c r="G1930" s="243">
        <f t="shared" ref="G1930:G1993" si="31">TRUNC((E1930-start)/7)+1</f>
        <v>104</v>
      </c>
      <c r="H1930" s="244"/>
      <c r="I1930" s="71" t="e">
        <f>IF(COUNTIF((rName rData),H1930),"","Name Error!")</f>
        <v>#NAME?</v>
      </c>
    </row>
    <row r="1931" spans="2:9" s="126" customFormat="1" ht="15" customHeight="1" x14ac:dyDescent="0.25">
      <c r="B1931" s="271" t="s">
        <v>322</v>
      </c>
      <c r="C1931" s="272" t="s">
        <v>321</v>
      </c>
      <c r="D1931" s="275" t="s">
        <v>216</v>
      </c>
      <c r="E1931" s="275">
        <v>41539.036759259259</v>
      </c>
      <c r="F1931" s="276">
        <v>2</v>
      </c>
      <c r="G1931" s="243">
        <f t="shared" si="31"/>
        <v>104</v>
      </c>
      <c r="H1931" s="244"/>
      <c r="I1931" s="71" t="e">
        <f>IF(COUNTIF((rName rData),H1931),"","Name Error!")</f>
        <v>#NAME?</v>
      </c>
    </row>
    <row r="1932" spans="2:9" s="126" customFormat="1" ht="15" customHeight="1" x14ac:dyDescent="0.25">
      <c r="B1932" s="271" t="s">
        <v>362</v>
      </c>
      <c r="C1932" s="272" t="s">
        <v>361</v>
      </c>
      <c r="D1932" s="275" t="s">
        <v>216</v>
      </c>
      <c r="E1932" s="275">
        <v>41539.073217592595</v>
      </c>
      <c r="F1932" s="276">
        <v>1</v>
      </c>
      <c r="G1932" s="243">
        <f t="shared" si="31"/>
        <v>104</v>
      </c>
      <c r="H1932" s="244"/>
      <c r="I1932" s="71" t="e">
        <f>IF(COUNTIF((rName rData),H1932),"","Name Error!")</f>
        <v>#NAME?</v>
      </c>
    </row>
    <row r="1933" spans="2:9" s="126" customFormat="1" ht="15" customHeight="1" x14ac:dyDescent="0.25">
      <c r="B1933" s="271" t="s">
        <v>354</v>
      </c>
      <c r="C1933" s="272" t="s">
        <v>353</v>
      </c>
      <c r="D1933" s="275" t="s">
        <v>216</v>
      </c>
      <c r="E1933" s="275">
        <v>41539.369039351855</v>
      </c>
      <c r="F1933" s="276">
        <v>1</v>
      </c>
      <c r="G1933" s="243">
        <f t="shared" si="31"/>
        <v>104</v>
      </c>
      <c r="H1933" s="244"/>
      <c r="I1933" s="71" t="e">
        <f>IF(COUNTIF((rName rData),H1933),"","Name Error!")</f>
        <v>#NAME?</v>
      </c>
    </row>
    <row r="1934" spans="2:9" s="126" customFormat="1" ht="15" customHeight="1" x14ac:dyDescent="0.25">
      <c r="B1934" s="271" t="s">
        <v>356</v>
      </c>
      <c r="C1934" s="272" t="s">
        <v>355</v>
      </c>
      <c r="D1934" s="275" t="s">
        <v>216</v>
      </c>
      <c r="E1934" s="275">
        <v>41539.428356481483</v>
      </c>
      <c r="F1934" s="276">
        <v>4</v>
      </c>
      <c r="G1934" s="243">
        <f t="shared" si="31"/>
        <v>104</v>
      </c>
      <c r="H1934" s="244"/>
      <c r="I1934" s="71" t="e">
        <f>IF(COUNTIF((rName rData),H1934),"","Name Error!")</f>
        <v>#NAME?</v>
      </c>
    </row>
    <row r="1935" spans="2:9" s="126" customFormat="1" ht="15" customHeight="1" x14ac:dyDescent="0.25">
      <c r="B1935" s="271" t="s">
        <v>324</v>
      </c>
      <c r="C1935" s="272" t="s">
        <v>323</v>
      </c>
      <c r="D1935" s="275" t="s">
        <v>216</v>
      </c>
      <c r="E1935" s="275">
        <v>41539.481180555558</v>
      </c>
      <c r="F1935" s="276">
        <v>1</v>
      </c>
      <c r="G1935" s="243">
        <f t="shared" si="31"/>
        <v>104</v>
      </c>
      <c r="H1935" s="244"/>
      <c r="I1935" s="71" t="e">
        <f>IF(COUNTIF((rName rData),H1935),"","Name Error!")</f>
        <v>#NAME?</v>
      </c>
    </row>
    <row r="1936" spans="2:9" s="126" customFormat="1" ht="15" customHeight="1" x14ac:dyDescent="0.25">
      <c r="B1936" s="271" t="s">
        <v>320</v>
      </c>
      <c r="C1936" s="272" t="s">
        <v>319</v>
      </c>
      <c r="D1936" s="275" t="s">
        <v>216</v>
      </c>
      <c r="E1936" s="275">
        <v>41539.644305555557</v>
      </c>
      <c r="F1936" s="276">
        <v>1</v>
      </c>
      <c r="G1936" s="243">
        <f t="shared" si="31"/>
        <v>104</v>
      </c>
      <c r="H1936" s="244"/>
      <c r="I1936" s="71" t="e">
        <f>IF(COUNTIF((rName rData),H1936),"","Name Error!")</f>
        <v>#NAME?</v>
      </c>
    </row>
    <row r="1937" spans="2:9" s="126" customFormat="1" ht="15" customHeight="1" x14ac:dyDescent="0.25">
      <c r="B1937" s="271" t="s">
        <v>350</v>
      </c>
      <c r="C1937" s="272" t="s">
        <v>349</v>
      </c>
      <c r="D1937" s="275" t="s">
        <v>216</v>
      </c>
      <c r="E1937" s="275">
        <v>41539.725289351853</v>
      </c>
      <c r="F1937" s="276">
        <v>1</v>
      </c>
      <c r="G1937" s="243">
        <f t="shared" si="31"/>
        <v>104</v>
      </c>
      <c r="H1937" s="244"/>
      <c r="I1937" s="71" t="e">
        <f>IF(COUNTIF((rName rData),H1937),"","Name Error!")</f>
        <v>#NAME?</v>
      </c>
    </row>
    <row r="1938" spans="2:9" s="126" customFormat="1" ht="15" customHeight="1" x14ac:dyDescent="0.25">
      <c r="B1938" s="271" t="s">
        <v>267</v>
      </c>
      <c r="C1938" s="272" t="s">
        <v>268</v>
      </c>
      <c r="D1938" s="275" t="s">
        <v>216</v>
      </c>
      <c r="E1938" s="275">
        <v>41539.727939814817</v>
      </c>
      <c r="F1938" s="276">
        <v>1</v>
      </c>
      <c r="G1938" s="243">
        <f t="shared" si="31"/>
        <v>104</v>
      </c>
      <c r="H1938" s="244"/>
      <c r="I1938" s="71" t="e">
        <f>IF(COUNTIF((rName rData),H1938),"","Name Error!")</f>
        <v>#NAME?</v>
      </c>
    </row>
    <row r="1939" spans="2:9" s="126" customFormat="1" ht="15" customHeight="1" x14ac:dyDescent="0.25">
      <c r="B1939" s="271" t="s">
        <v>358</v>
      </c>
      <c r="C1939" s="272" t="s">
        <v>357</v>
      </c>
      <c r="D1939" s="275" t="s">
        <v>216</v>
      </c>
      <c r="E1939" s="275">
        <v>41539.771678240744</v>
      </c>
      <c r="F1939" s="276">
        <v>1</v>
      </c>
      <c r="G1939" s="243">
        <f t="shared" si="31"/>
        <v>104</v>
      </c>
      <c r="H1939" s="244"/>
      <c r="I1939" s="71" t="e">
        <f>IF(COUNTIF((rName rData),H1939),"","Name Error!")</f>
        <v>#NAME?</v>
      </c>
    </row>
    <row r="1940" spans="2:9" s="126" customFormat="1" ht="15" customHeight="1" x14ac:dyDescent="0.25">
      <c r="B1940" s="271" t="s">
        <v>331</v>
      </c>
      <c r="C1940" s="272" t="s">
        <v>330</v>
      </c>
      <c r="D1940" s="275" t="s">
        <v>216</v>
      </c>
      <c r="E1940" s="275">
        <v>41539.791400462964</v>
      </c>
      <c r="F1940" s="276">
        <v>2</v>
      </c>
      <c r="G1940" s="243">
        <f t="shared" si="31"/>
        <v>104</v>
      </c>
      <c r="H1940" s="244"/>
      <c r="I1940" s="71" t="e">
        <f>IF(COUNTIF((rName rData),H1940),"","Name Error!")</f>
        <v>#NAME?</v>
      </c>
    </row>
    <row r="1941" spans="2:9" s="126" customFormat="1" ht="15" customHeight="1" x14ac:dyDescent="0.25">
      <c r="B1941" s="271" t="s">
        <v>365</v>
      </c>
      <c r="C1941" s="272" t="s">
        <v>364</v>
      </c>
      <c r="D1941" s="275" t="s">
        <v>216</v>
      </c>
      <c r="E1941" s="275">
        <v>41539.830914351849</v>
      </c>
      <c r="F1941" s="276">
        <v>2</v>
      </c>
      <c r="G1941" s="243">
        <f t="shared" si="31"/>
        <v>104</v>
      </c>
      <c r="H1941" s="244"/>
      <c r="I1941" s="71" t="e">
        <f>IF(COUNTIF((rName rData),H1941),"","Name Error!")</f>
        <v>#NAME?</v>
      </c>
    </row>
    <row r="1942" spans="2:9" s="126" customFormat="1" ht="15" customHeight="1" x14ac:dyDescent="0.25">
      <c r="B1942" s="271" t="s">
        <v>367</v>
      </c>
      <c r="C1942" s="272" t="s">
        <v>366</v>
      </c>
      <c r="D1942" s="275" t="s">
        <v>216</v>
      </c>
      <c r="E1942" s="275">
        <v>41539.848460648151</v>
      </c>
      <c r="F1942" s="276">
        <v>1</v>
      </c>
      <c r="G1942" s="243">
        <f t="shared" si="31"/>
        <v>104</v>
      </c>
      <c r="H1942" s="244"/>
      <c r="I1942" s="71" t="e">
        <f>IF(COUNTIF((rName rData),H1942),"","Name Error!")</f>
        <v>#NAME?</v>
      </c>
    </row>
    <row r="1943" spans="2:9" s="126" customFormat="1" ht="15" customHeight="1" x14ac:dyDescent="0.25">
      <c r="B1943" s="271" t="s">
        <v>367</v>
      </c>
      <c r="C1943" s="272" t="s">
        <v>366</v>
      </c>
      <c r="D1943" s="275" t="s">
        <v>216</v>
      </c>
      <c r="E1943" s="275">
        <v>41540.016296296293</v>
      </c>
      <c r="F1943" s="276">
        <v>1</v>
      </c>
      <c r="G1943" s="243">
        <f t="shared" si="31"/>
        <v>104</v>
      </c>
      <c r="H1943" s="244"/>
      <c r="I1943" s="71" t="e">
        <f>IF(COUNTIF((rName rData),H1943),"","Name Error!")</f>
        <v>#NAME?</v>
      </c>
    </row>
    <row r="1944" spans="2:9" s="126" customFormat="1" ht="15" customHeight="1" x14ac:dyDescent="0.25">
      <c r="B1944" s="271" t="s">
        <v>362</v>
      </c>
      <c r="C1944" s="272" t="s">
        <v>361</v>
      </c>
      <c r="D1944" s="275" t="s">
        <v>216</v>
      </c>
      <c r="E1944" s="275">
        <v>41540.028831018521</v>
      </c>
      <c r="F1944" s="276">
        <v>1</v>
      </c>
      <c r="G1944" s="243">
        <f t="shared" si="31"/>
        <v>104</v>
      </c>
      <c r="H1944" s="244"/>
      <c r="I1944" s="71" t="e">
        <f>IF(COUNTIF((rName rData),H1944),"","Name Error!")</f>
        <v>#NAME?</v>
      </c>
    </row>
    <row r="1945" spans="2:9" s="126" customFormat="1" ht="15" customHeight="1" x14ac:dyDescent="0.25">
      <c r="B1945" s="271" t="s">
        <v>337</v>
      </c>
      <c r="C1945" s="272" t="s">
        <v>336</v>
      </c>
      <c r="D1945" s="275" t="s">
        <v>216</v>
      </c>
      <c r="E1945" s="275">
        <v>41540.569224537037</v>
      </c>
      <c r="F1945" s="276">
        <v>1</v>
      </c>
      <c r="G1945" s="243">
        <f t="shared" si="31"/>
        <v>104</v>
      </c>
      <c r="H1945" s="244"/>
      <c r="I1945" s="71" t="e">
        <f>IF(COUNTIF((rName rData),H1945),"","Name Error!")</f>
        <v>#NAME?</v>
      </c>
    </row>
    <row r="1946" spans="2:9" s="126" customFormat="1" ht="15" customHeight="1" x14ac:dyDescent="0.25">
      <c r="B1946" s="271" t="s">
        <v>267</v>
      </c>
      <c r="C1946" s="272" t="s">
        <v>268</v>
      </c>
      <c r="D1946" s="275" t="s">
        <v>216</v>
      </c>
      <c r="E1946" s="275">
        <v>41540.742418981485</v>
      </c>
      <c r="F1946" s="276">
        <v>2</v>
      </c>
      <c r="G1946" s="243">
        <f t="shared" si="31"/>
        <v>104</v>
      </c>
      <c r="H1946" s="244"/>
      <c r="I1946" s="71" t="e">
        <f>IF(COUNTIF((rName rData),H1946),"","Name Error!")</f>
        <v>#NAME?</v>
      </c>
    </row>
    <row r="1947" spans="2:9" s="126" customFormat="1" ht="15" customHeight="1" x14ac:dyDescent="0.25">
      <c r="B1947" s="271" t="s">
        <v>358</v>
      </c>
      <c r="C1947" s="272" t="s">
        <v>357</v>
      </c>
      <c r="D1947" s="275" t="s">
        <v>216</v>
      </c>
      <c r="E1947" s="275">
        <v>41540.835057870368</v>
      </c>
      <c r="F1947" s="276">
        <v>1</v>
      </c>
      <c r="G1947" s="243">
        <f t="shared" si="31"/>
        <v>104</v>
      </c>
      <c r="H1947" s="244"/>
      <c r="I1947" s="71" t="e">
        <f>IF(COUNTIF((rName rData),H1947),"","Name Error!")</f>
        <v>#NAME?</v>
      </c>
    </row>
    <row r="1948" spans="2:9" s="126" customFormat="1" ht="15" customHeight="1" x14ac:dyDescent="0.25">
      <c r="B1948" s="271" t="s">
        <v>267</v>
      </c>
      <c r="C1948" s="272" t="s">
        <v>268</v>
      </c>
      <c r="D1948" s="275" t="s">
        <v>216</v>
      </c>
      <c r="E1948" s="275">
        <v>41541.686030092591</v>
      </c>
      <c r="F1948" s="276">
        <v>1</v>
      </c>
      <c r="G1948" s="243">
        <f t="shared" si="31"/>
        <v>104</v>
      </c>
      <c r="H1948" s="244"/>
      <c r="I1948" s="71" t="e">
        <f>IF(COUNTIF((rName rData),H1948),"","Name Error!")</f>
        <v>#NAME?</v>
      </c>
    </row>
    <row r="1949" spans="2:9" s="126" customFormat="1" ht="15" customHeight="1" x14ac:dyDescent="0.25">
      <c r="B1949" s="271" t="s">
        <v>341</v>
      </c>
      <c r="C1949" s="272" t="s">
        <v>340</v>
      </c>
      <c r="D1949" s="275" t="s">
        <v>216</v>
      </c>
      <c r="E1949" s="275">
        <v>41541.751898148148</v>
      </c>
      <c r="F1949" s="276">
        <v>1</v>
      </c>
      <c r="G1949" s="243">
        <f t="shared" si="31"/>
        <v>104</v>
      </c>
      <c r="H1949" s="244"/>
      <c r="I1949" s="71" t="e">
        <f>IF(COUNTIF((rName rData),H1949),"","Name Error!")</f>
        <v>#NAME?</v>
      </c>
    </row>
    <row r="1950" spans="2:9" s="126" customFormat="1" ht="15" customHeight="1" x14ac:dyDescent="0.25">
      <c r="B1950" s="271" t="s">
        <v>279</v>
      </c>
      <c r="C1950" s="272" t="s">
        <v>280</v>
      </c>
      <c r="D1950" s="275" t="s">
        <v>216</v>
      </c>
      <c r="E1950" s="275">
        <v>41541.836273148147</v>
      </c>
      <c r="F1950" s="276">
        <v>2</v>
      </c>
      <c r="G1950" s="243">
        <f t="shared" si="31"/>
        <v>104</v>
      </c>
      <c r="H1950" s="244"/>
      <c r="I1950" s="71" t="e">
        <f>IF(COUNTIF((rName rData),H1950),"","Name Error!")</f>
        <v>#NAME?</v>
      </c>
    </row>
    <row r="1951" spans="2:9" s="126" customFormat="1" ht="15" customHeight="1" x14ac:dyDescent="0.25">
      <c r="B1951" s="271" t="s">
        <v>358</v>
      </c>
      <c r="C1951" s="272" t="s">
        <v>357</v>
      </c>
      <c r="D1951" s="275" t="s">
        <v>216</v>
      </c>
      <c r="E1951" s="275">
        <v>41542.511990740742</v>
      </c>
      <c r="F1951" s="276">
        <v>1</v>
      </c>
      <c r="G1951" s="243">
        <f t="shared" si="31"/>
        <v>104</v>
      </c>
      <c r="H1951" s="244"/>
      <c r="I1951" s="71" t="e">
        <f>IF(COUNTIF((rName rData),H1951),"","Name Error!")</f>
        <v>#NAME?</v>
      </c>
    </row>
    <row r="1952" spans="2:9" s="126" customFormat="1" ht="15" customHeight="1" x14ac:dyDescent="0.25">
      <c r="B1952" s="271" t="s">
        <v>341</v>
      </c>
      <c r="C1952" s="272" t="s">
        <v>340</v>
      </c>
      <c r="D1952" s="275" t="s">
        <v>216</v>
      </c>
      <c r="E1952" s="275">
        <v>41542.579895833333</v>
      </c>
      <c r="F1952" s="276">
        <v>1</v>
      </c>
      <c r="G1952" s="243">
        <f t="shared" si="31"/>
        <v>104</v>
      </c>
      <c r="H1952" s="244"/>
      <c r="I1952" s="71" t="e">
        <f>IF(COUNTIF((rName rData),H1952),"","Name Error!")</f>
        <v>#NAME?</v>
      </c>
    </row>
    <row r="1953" spans="2:9" s="126" customFormat="1" ht="15" customHeight="1" x14ac:dyDescent="0.25">
      <c r="B1953" s="271" t="s">
        <v>267</v>
      </c>
      <c r="C1953" s="272" t="s">
        <v>268</v>
      </c>
      <c r="D1953" s="275" t="s">
        <v>216</v>
      </c>
      <c r="E1953" s="275">
        <v>41542.853576388887</v>
      </c>
      <c r="F1953" s="276">
        <v>1</v>
      </c>
      <c r="G1953" s="243">
        <f t="shared" si="31"/>
        <v>104</v>
      </c>
      <c r="H1953" s="244"/>
      <c r="I1953" s="71" t="e">
        <f>IF(COUNTIF((rName rData),H1953),"","Name Error!")</f>
        <v>#NAME?</v>
      </c>
    </row>
    <row r="1954" spans="2:9" s="126" customFormat="1" ht="15" customHeight="1" x14ac:dyDescent="0.25">
      <c r="B1954" s="271" t="s">
        <v>371</v>
      </c>
      <c r="C1954" s="272" t="s">
        <v>370</v>
      </c>
      <c r="D1954" s="275" t="s">
        <v>216</v>
      </c>
      <c r="E1954" s="275">
        <v>41542.893287037034</v>
      </c>
      <c r="F1954" s="276">
        <v>1</v>
      </c>
      <c r="G1954" s="243">
        <f t="shared" si="31"/>
        <v>104</v>
      </c>
      <c r="H1954" s="244"/>
      <c r="I1954" s="71" t="e">
        <f>IF(COUNTIF((rName rData),H1954),"","Name Error!")</f>
        <v>#NAME?</v>
      </c>
    </row>
    <row r="1955" spans="2:9" s="126" customFormat="1" ht="15" customHeight="1" x14ac:dyDescent="0.25">
      <c r="B1955" s="271" t="s">
        <v>267</v>
      </c>
      <c r="C1955" s="272" t="s">
        <v>268</v>
      </c>
      <c r="D1955" s="275" t="s">
        <v>216</v>
      </c>
      <c r="E1955" s="275">
        <v>41543.377962962964</v>
      </c>
      <c r="F1955" s="276">
        <v>2</v>
      </c>
      <c r="G1955" s="243">
        <f t="shared" si="31"/>
        <v>104</v>
      </c>
      <c r="H1955" s="244"/>
      <c r="I1955" s="71" t="e">
        <f>IF(COUNTIF((rName rData),H1955),"","Name Error!")</f>
        <v>#NAME?</v>
      </c>
    </row>
    <row r="1956" spans="2:9" s="126" customFormat="1" ht="15" customHeight="1" x14ac:dyDescent="0.25">
      <c r="B1956" s="271" t="s">
        <v>358</v>
      </c>
      <c r="C1956" s="272" t="s">
        <v>357</v>
      </c>
      <c r="D1956" s="275" t="s">
        <v>216</v>
      </c>
      <c r="E1956" s="275">
        <v>41543.491168981483</v>
      </c>
      <c r="F1956" s="276">
        <v>1</v>
      </c>
      <c r="G1956" s="243">
        <f t="shared" si="31"/>
        <v>104</v>
      </c>
      <c r="H1956" s="244"/>
      <c r="I1956" s="71" t="e">
        <f>IF(COUNTIF((rName rData),H1956),"","Name Error!")</f>
        <v>#NAME?</v>
      </c>
    </row>
    <row r="1957" spans="2:9" s="126" customFormat="1" ht="15" customHeight="1" x14ac:dyDescent="0.25">
      <c r="B1957" s="271" t="s">
        <v>331</v>
      </c>
      <c r="C1957" s="272" t="s">
        <v>330</v>
      </c>
      <c r="D1957" s="275" t="s">
        <v>216</v>
      </c>
      <c r="E1957" s="275">
        <v>41544.009826388887</v>
      </c>
      <c r="F1957" s="276">
        <v>1</v>
      </c>
      <c r="G1957" s="243">
        <f t="shared" si="31"/>
        <v>104</v>
      </c>
      <c r="H1957" s="244"/>
      <c r="I1957" s="71" t="e">
        <f>IF(COUNTIF((rName rData),H1957),"","Name Error!")</f>
        <v>#NAME?</v>
      </c>
    </row>
    <row r="1958" spans="2:9" s="126" customFormat="1" ht="15" customHeight="1" x14ac:dyDescent="0.25">
      <c r="B1958" s="271" t="s">
        <v>267</v>
      </c>
      <c r="C1958" s="272" t="s">
        <v>268</v>
      </c>
      <c r="D1958" s="275" t="s">
        <v>216</v>
      </c>
      <c r="E1958" s="275">
        <v>41544.35659722222</v>
      </c>
      <c r="F1958" s="276">
        <v>1</v>
      </c>
      <c r="G1958" s="243">
        <f t="shared" si="31"/>
        <v>104</v>
      </c>
      <c r="H1958" s="244"/>
      <c r="I1958" s="71" t="e">
        <f>IF(COUNTIF((rName rData),H1958),"","Name Error!")</f>
        <v>#NAME?</v>
      </c>
    </row>
    <row r="1959" spans="2:9" s="126" customFormat="1" ht="15" customHeight="1" x14ac:dyDescent="0.25">
      <c r="B1959" s="271" t="s">
        <v>356</v>
      </c>
      <c r="C1959" s="272" t="s">
        <v>355</v>
      </c>
      <c r="D1959" s="275" t="s">
        <v>216</v>
      </c>
      <c r="E1959" s="275">
        <v>41544.777777777781</v>
      </c>
      <c r="F1959" s="276">
        <v>4</v>
      </c>
      <c r="G1959" s="243">
        <f t="shared" si="31"/>
        <v>104</v>
      </c>
      <c r="H1959" s="244"/>
      <c r="I1959" s="71" t="e">
        <f>IF(COUNTIF((rName rData),H1959),"","Name Error!")</f>
        <v>#NAME?</v>
      </c>
    </row>
    <row r="1960" spans="2:9" s="126" customFormat="1" ht="15" customHeight="1" x14ac:dyDescent="0.25">
      <c r="B1960" s="271" t="s">
        <v>358</v>
      </c>
      <c r="C1960" s="272" t="s">
        <v>357</v>
      </c>
      <c r="D1960" s="275" t="s">
        <v>216</v>
      </c>
      <c r="E1960" s="275">
        <v>41544.851585648146</v>
      </c>
      <c r="F1960" s="276">
        <v>1</v>
      </c>
      <c r="G1960" s="243">
        <f t="shared" si="31"/>
        <v>104</v>
      </c>
      <c r="H1960" s="244"/>
      <c r="I1960" s="71" t="e">
        <f>IF(COUNTIF((rName rData),H1960),"","Name Error!")</f>
        <v>#NAME?</v>
      </c>
    </row>
    <row r="1961" spans="2:9" s="126" customFormat="1" ht="15" customHeight="1" x14ac:dyDescent="0.25">
      <c r="B1961" s="271" t="s">
        <v>324</v>
      </c>
      <c r="C1961" s="272" t="s">
        <v>323</v>
      </c>
      <c r="D1961" s="275" t="s">
        <v>216</v>
      </c>
      <c r="E1961" s="275">
        <v>41544.955300925925</v>
      </c>
      <c r="F1961" s="276">
        <v>1</v>
      </c>
      <c r="G1961" s="243">
        <f t="shared" si="31"/>
        <v>104</v>
      </c>
      <c r="H1961" s="244"/>
      <c r="I1961" s="71" t="e">
        <f>IF(COUNTIF((rName rData),H1961),"","Name Error!")</f>
        <v>#NAME?</v>
      </c>
    </row>
    <row r="1962" spans="2:9" s="126" customFormat="1" ht="15" customHeight="1" x14ac:dyDescent="0.25">
      <c r="B1962" s="271" t="s">
        <v>267</v>
      </c>
      <c r="C1962" s="272" t="s">
        <v>268</v>
      </c>
      <c r="D1962" s="275" t="s">
        <v>216</v>
      </c>
      <c r="E1962" s="275">
        <v>41545.005972222221</v>
      </c>
      <c r="F1962" s="276">
        <v>2</v>
      </c>
      <c r="G1962" s="243">
        <f t="shared" si="31"/>
        <v>105</v>
      </c>
      <c r="H1962" s="244"/>
      <c r="I1962" s="71" t="e">
        <f>IF(COUNTIF((rName rData),H1962),"","Name Error!")</f>
        <v>#NAME?</v>
      </c>
    </row>
    <row r="1963" spans="2:9" s="126" customFormat="1" ht="15" customHeight="1" x14ac:dyDescent="0.25">
      <c r="B1963" s="271" t="s">
        <v>356</v>
      </c>
      <c r="C1963" s="272" t="s">
        <v>355</v>
      </c>
      <c r="D1963" s="275" t="s">
        <v>216</v>
      </c>
      <c r="E1963" s="275">
        <v>41545.36515046296</v>
      </c>
      <c r="F1963" s="276">
        <v>1</v>
      </c>
      <c r="G1963" s="243">
        <f t="shared" si="31"/>
        <v>105</v>
      </c>
      <c r="H1963" s="244"/>
      <c r="I1963" s="71" t="e">
        <f>IF(COUNTIF((rName rData),H1963),"","Name Error!")</f>
        <v>#NAME?</v>
      </c>
    </row>
    <row r="1964" spans="2:9" s="126" customFormat="1" ht="15" customHeight="1" x14ac:dyDescent="0.25">
      <c r="B1964" s="271" t="s">
        <v>362</v>
      </c>
      <c r="C1964" s="272" t="s">
        <v>361</v>
      </c>
      <c r="D1964" s="275" t="s">
        <v>216</v>
      </c>
      <c r="E1964" s="275">
        <v>41545.479641203703</v>
      </c>
      <c r="F1964" s="276">
        <v>1</v>
      </c>
      <c r="G1964" s="243">
        <f t="shared" si="31"/>
        <v>105</v>
      </c>
      <c r="H1964" s="244"/>
      <c r="I1964" s="71" t="e">
        <f>IF(COUNTIF((rName rData),H1964),"","Name Error!")</f>
        <v>#NAME?</v>
      </c>
    </row>
    <row r="1965" spans="2:9" s="126" customFormat="1" ht="15" customHeight="1" x14ac:dyDescent="0.25">
      <c r="B1965" s="271" t="s">
        <v>337</v>
      </c>
      <c r="C1965" s="272" t="s">
        <v>336</v>
      </c>
      <c r="D1965" s="275" t="s">
        <v>216</v>
      </c>
      <c r="E1965" s="275">
        <v>41545.598449074074</v>
      </c>
      <c r="F1965" s="276">
        <v>3</v>
      </c>
      <c r="G1965" s="243">
        <f t="shared" si="31"/>
        <v>105</v>
      </c>
      <c r="H1965" s="244"/>
      <c r="I1965" s="71" t="e">
        <f>IF(COUNTIF((rName rData),H1965),"","Name Error!")</f>
        <v>#NAME?</v>
      </c>
    </row>
    <row r="1966" spans="2:9" s="126" customFormat="1" ht="15" customHeight="1" x14ac:dyDescent="0.25">
      <c r="B1966" s="271" t="s">
        <v>324</v>
      </c>
      <c r="C1966" s="272" t="s">
        <v>323</v>
      </c>
      <c r="D1966" s="275" t="s">
        <v>216</v>
      </c>
      <c r="E1966" s="275">
        <v>41545.704942129632</v>
      </c>
      <c r="F1966" s="276">
        <v>1</v>
      </c>
      <c r="G1966" s="243">
        <f t="shared" si="31"/>
        <v>105</v>
      </c>
      <c r="H1966" s="244"/>
      <c r="I1966" s="71" t="e">
        <f>IF(COUNTIF((rName rData),H1966),"","Name Error!")</f>
        <v>#NAME?</v>
      </c>
    </row>
    <row r="1967" spans="2:9" s="126" customFormat="1" ht="15" customHeight="1" x14ac:dyDescent="0.25">
      <c r="B1967" s="271" t="s">
        <v>367</v>
      </c>
      <c r="C1967" s="272" t="s">
        <v>366</v>
      </c>
      <c r="D1967" s="275" t="s">
        <v>216</v>
      </c>
      <c r="E1967" s="275">
        <v>41545.828888888886</v>
      </c>
      <c r="F1967" s="276">
        <v>2</v>
      </c>
      <c r="G1967" s="243">
        <f t="shared" si="31"/>
        <v>105</v>
      </c>
      <c r="H1967" s="244"/>
      <c r="I1967" s="71" t="e">
        <f>IF(COUNTIF((rName rData),H1967),"","Name Error!")</f>
        <v>#NAME?</v>
      </c>
    </row>
    <row r="1968" spans="2:9" s="126" customFormat="1" ht="15" customHeight="1" x14ac:dyDescent="0.25">
      <c r="B1968" s="271" t="s">
        <v>322</v>
      </c>
      <c r="C1968" s="272" t="s">
        <v>321</v>
      </c>
      <c r="D1968" s="275" t="s">
        <v>216</v>
      </c>
      <c r="E1968" s="275">
        <v>41545.864907407406</v>
      </c>
      <c r="F1968" s="276">
        <v>1</v>
      </c>
      <c r="G1968" s="243">
        <f t="shared" si="31"/>
        <v>105</v>
      </c>
      <c r="H1968" s="244"/>
      <c r="I1968" s="71" t="e">
        <f>IF(COUNTIF((rName rData),H1968),"","Name Error!")</f>
        <v>#NAME?</v>
      </c>
    </row>
    <row r="1969" spans="2:9" s="126" customFormat="1" ht="15" customHeight="1" x14ac:dyDescent="0.25">
      <c r="B1969" s="271" t="s">
        <v>352</v>
      </c>
      <c r="C1969" s="272" t="s">
        <v>351</v>
      </c>
      <c r="D1969" s="275" t="s">
        <v>216</v>
      </c>
      <c r="E1969" s="275">
        <v>41545.865451388891</v>
      </c>
      <c r="F1969" s="276">
        <v>1</v>
      </c>
      <c r="G1969" s="243">
        <f t="shared" si="31"/>
        <v>105</v>
      </c>
      <c r="H1969" s="244"/>
      <c r="I1969" s="71" t="e">
        <f>IF(COUNTIF((rName rData),H1969),"","Name Error!")</f>
        <v>#NAME?</v>
      </c>
    </row>
    <row r="1970" spans="2:9" s="126" customFormat="1" ht="15" customHeight="1" x14ac:dyDescent="0.25">
      <c r="B1970" s="271" t="s">
        <v>322</v>
      </c>
      <c r="C1970" s="272" t="s">
        <v>321</v>
      </c>
      <c r="D1970" s="275" t="s">
        <v>216</v>
      </c>
      <c r="E1970" s="275">
        <v>41546.042280092595</v>
      </c>
      <c r="F1970" s="276">
        <v>3</v>
      </c>
      <c r="G1970" s="243">
        <f t="shared" si="31"/>
        <v>105</v>
      </c>
      <c r="H1970" s="244"/>
      <c r="I1970" s="71" t="e">
        <f>IF(COUNTIF((rName rData),H1970),"","Name Error!")</f>
        <v>#NAME?</v>
      </c>
    </row>
    <row r="1971" spans="2:9" s="126" customFormat="1" ht="15" customHeight="1" x14ac:dyDescent="0.25">
      <c r="B1971" s="271" t="s">
        <v>367</v>
      </c>
      <c r="C1971" s="272" t="s">
        <v>366</v>
      </c>
      <c r="D1971" s="275" t="s">
        <v>216</v>
      </c>
      <c r="E1971" s="275">
        <v>41546.108425925922</v>
      </c>
      <c r="F1971" s="276">
        <v>12</v>
      </c>
      <c r="G1971" s="243">
        <f t="shared" si="31"/>
        <v>105</v>
      </c>
      <c r="H1971" s="244"/>
      <c r="I1971" s="71" t="e">
        <f>IF(COUNTIF((rName rData),H1971),"","Name Error!")</f>
        <v>#NAME?</v>
      </c>
    </row>
    <row r="1972" spans="2:9" s="126" customFormat="1" ht="15" customHeight="1" x14ac:dyDescent="0.25">
      <c r="B1972" s="271" t="s">
        <v>267</v>
      </c>
      <c r="C1972" s="272" t="s">
        <v>268</v>
      </c>
      <c r="D1972" s="275" t="s">
        <v>216</v>
      </c>
      <c r="E1972" s="275">
        <v>41546.431793981479</v>
      </c>
      <c r="F1972" s="276">
        <v>4</v>
      </c>
      <c r="G1972" s="243">
        <f t="shared" si="31"/>
        <v>105</v>
      </c>
      <c r="H1972" s="244"/>
      <c r="I1972" s="71" t="e">
        <f>IF(COUNTIF((rName rData),H1972),"","Name Error!")</f>
        <v>#NAME?</v>
      </c>
    </row>
    <row r="1973" spans="2:9" s="126" customFormat="1" ht="15" customHeight="1" x14ac:dyDescent="0.25">
      <c r="B1973" s="271" t="s">
        <v>337</v>
      </c>
      <c r="C1973" s="272" t="s">
        <v>336</v>
      </c>
      <c r="D1973" s="275" t="s">
        <v>216</v>
      </c>
      <c r="E1973" s="275">
        <v>41546.46607638889</v>
      </c>
      <c r="F1973" s="276">
        <v>8</v>
      </c>
      <c r="G1973" s="243">
        <f t="shared" si="31"/>
        <v>105</v>
      </c>
      <c r="H1973" s="244"/>
      <c r="I1973" s="71" t="e">
        <f>IF(COUNTIF((rName rData),H1973),"","Name Error!")</f>
        <v>#NAME?</v>
      </c>
    </row>
    <row r="1974" spans="2:9" s="126" customFormat="1" ht="15" customHeight="1" x14ac:dyDescent="0.25">
      <c r="B1974" s="271" t="s">
        <v>356</v>
      </c>
      <c r="C1974" s="272" t="s">
        <v>355</v>
      </c>
      <c r="D1974" s="275" t="s">
        <v>216</v>
      </c>
      <c r="E1974" s="275">
        <v>41546.47934027778</v>
      </c>
      <c r="F1974" s="276">
        <v>4</v>
      </c>
      <c r="G1974" s="243">
        <f t="shared" si="31"/>
        <v>105</v>
      </c>
      <c r="H1974" s="244"/>
      <c r="I1974" s="71" t="e">
        <f>IF(COUNTIF((rName rData),H1974),"","Name Error!")</f>
        <v>#NAME?</v>
      </c>
    </row>
    <row r="1975" spans="2:9" s="126" customFormat="1" ht="15" customHeight="1" x14ac:dyDescent="0.25">
      <c r="B1975" s="271" t="s">
        <v>362</v>
      </c>
      <c r="C1975" s="272" t="s">
        <v>361</v>
      </c>
      <c r="D1975" s="275" t="s">
        <v>216</v>
      </c>
      <c r="E1975" s="275">
        <v>41546.600046296298</v>
      </c>
      <c r="F1975" s="276">
        <v>6</v>
      </c>
      <c r="G1975" s="243">
        <f t="shared" si="31"/>
        <v>105</v>
      </c>
      <c r="H1975" s="244"/>
      <c r="I1975" s="71" t="e">
        <f>IF(COUNTIF((rName rData),H1975),"","Name Error!")</f>
        <v>#NAME?</v>
      </c>
    </row>
    <row r="1976" spans="2:9" s="126" customFormat="1" ht="15" customHeight="1" x14ac:dyDescent="0.25">
      <c r="B1976" s="271" t="s">
        <v>324</v>
      </c>
      <c r="C1976" s="272" t="s">
        <v>323</v>
      </c>
      <c r="D1976" s="275" t="s">
        <v>216</v>
      </c>
      <c r="E1976" s="275">
        <v>41546.601736111108</v>
      </c>
      <c r="F1976" s="276">
        <v>3</v>
      </c>
      <c r="G1976" s="243">
        <f t="shared" si="31"/>
        <v>105</v>
      </c>
      <c r="H1976" s="244"/>
      <c r="I1976" s="71" t="e">
        <f>IF(COUNTIF((rName rData),H1976),"","Name Error!")</f>
        <v>#NAME?</v>
      </c>
    </row>
    <row r="1977" spans="2:9" s="126" customFormat="1" ht="15" customHeight="1" x14ac:dyDescent="0.25">
      <c r="B1977" s="271" t="s">
        <v>365</v>
      </c>
      <c r="C1977" s="272" t="s">
        <v>364</v>
      </c>
      <c r="D1977" s="275" t="s">
        <v>216</v>
      </c>
      <c r="E1977" s="275">
        <v>41546.603263888886</v>
      </c>
      <c r="F1977" s="276">
        <v>2</v>
      </c>
      <c r="G1977" s="243">
        <f t="shared" si="31"/>
        <v>105</v>
      </c>
      <c r="H1977" s="244"/>
      <c r="I1977" s="71" t="e">
        <f>IF(COUNTIF((rName rData),H1977),"","Name Error!")</f>
        <v>#NAME?</v>
      </c>
    </row>
    <row r="1978" spans="2:9" s="126" customFormat="1" ht="15" customHeight="1" x14ac:dyDescent="0.25">
      <c r="B1978" s="271" t="s">
        <v>320</v>
      </c>
      <c r="C1978" s="272" t="s">
        <v>319</v>
      </c>
      <c r="D1978" s="275" t="s">
        <v>216</v>
      </c>
      <c r="E1978" s="275">
        <v>41546.605555555558</v>
      </c>
      <c r="F1978" s="276">
        <v>2</v>
      </c>
      <c r="G1978" s="243">
        <f t="shared" si="31"/>
        <v>105</v>
      </c>
      <c r="H1978" s="244"/>
      <c r="I1978" s="71" t="e">
        <f>IF(COUNTIF((rName rData),H1978),"","Name Error!")</f>
        <v>#NAME?</v>
      </c>
    </row>
    <row r="1979" spans="2:9" s="126" customFormat="1" ht="15" customHeight="1" x14ac:dyDescent="0.25">
      <c r="B1979" s="271" t="s">
        <v>350</v>
      </c>
      <c r="C1979" s="272" t="s">
        <v>349</v>
      </c>
      <c r="D1979" s="275" t="s">
        <v>216</v>
      </c>
      <c r="E1979" s="275">
        <v>41546.827476851853</v>
      </c>
      <c r="F1979" s="276">
        <v>1</v>
      </c>
      <c r="G1979" s="243">
        <f t="shared" si="31"/>
        <v>105</v>
      </c>
      <c r="H1979" s="244"/>
      <c r="I1979" s="71" t="e">
        <f>IF(COUNTIF((rName rData),H1979),"","Name Error!")</f>
        <v>#NAME?</v>
      </c>
    </row>
    <row r="1980" spans="2:9" s="126" customFormat="1" ht="15" customHeight="1" x14ac:dyDescent="0.25">
      <c r="B1980" s="271" t="s">
        <v>354</v>
      </c>
      <c r="C1980" s="272" t="s">
        <v>353</v>
      </c>
      <c r="D1980" s="275" t="s">
        <v>216</v>
      </c>
      <c r="E1980" s="275">
        <v>41546.84652777778</v>
      </c>
      <c r="F1980" s="276">
        <v>2</v>
      </c>
      <c r="G1980" s="243">
        <f t="shared" si="31"/>
        <v>105</v>
      </c>
      <c r="H1980" s="244"/>
      <c r="I1980" s="71" t="e">
        <f>IF(COUNTIF((rName rData),H1980),"","Name Error!")</f>
        <v>#NAME?</v>
      </c>
    </row>
    <row r="1981" spans="2:9" s="126" customFormat="1" ht="15" customHeight="1" x14ac:dyDescent="0.25">
      <c r="B1981" s="271" t="s">
        <v>358</v>
      </c>
      <c r="C1981" s="272" t="s">
        <v>357</v>
      </c>
      <c r="D1981" s="275" t="s">
        <v>216</v>
      </c>
      <c r="E1981" s="275">
        <v>41546.901875000003</v>
      </c>
      <c r="F1981" s="276">
        <v>1</v>
      </c>
      <c r="G1981" s="243">
        <f t="shared" si="31"/>
        <v>105</v>
      </c>
      <c r="H1981" s="244"/>
      <c r="I1981" s="71" t="e">
        <f>IF(COUNTIF((rName rData),H1981),"","Name Error!")</f>
        <v>#NAME?</v>
      </c>
    </row>
    <row r="1982" spans="2:9" s="126" customFormat="1" ht="15" customHeight="1" x14ac:dyDescent="0.25">
      <c r="B1982" s="271" t="s">
        <v>331</v>
      </c>
      <c r="C1982" s="272" t="s">
        <v>330</v>
      </c>
      <c r="D1982" s="275" t="s">
        <v>216</v>
      </c>
      <c r="E1982" s="275">
        <v>41546.944571759261</v>
      </c>
      <c r="F1982" s="276">
        <v>1</v>
      </c>
      <c r="G1982" s="243">
        <f t="shared" si="31"/>
        <v>105</v>
      </c>
      <c r="H1982" s="244"/>
      <c r="I1982" s="71" t="e">
        <f>IF(COUNTIF((rName rData),H1982),"","Name Error!")</f>
        <v>#NAME?</v>
      </c>
    </row>
    <row r="1983" spans="2:9" s="126" customFormat="1" ht="15" customHeight="1" x14ac:dyDescent="0.25">
      <c r="B1983" s="271" t="s">
        <v>328</v>
      </c>
      <c r="C1983" s="272" t="s">
        <v>327</v>
      </c>
      <c r="D1983" s="275" t="s">
        <v>216</v>
      </c>
      <c r="E1983" s="275">
        <v>41546.984618055554</v>
      </c>
      <c r="F1983" s="276">
        <v>1</v>
      </c>
      <c r="G1983" s="243">
        <f t="shared" si="31"/>
        <v>105</v>
      </c>
      <c r="H1983" s="244"/>
      <c r="I1983" s="71" t="e">
        <f>IF(COUNTIF((rName rData),H1983),"","Name Error!")</f>
        <v>#NAME?</v>
      </c>
    </row>
    <row r="1984" spans="2:9" s="126" customFormat="1" ht="15" customHeight="1" x14ac:dyDescent="0.25">
      <c r="B1984" s="271" t="s">
        <v>333</v>
      </c>
      <c r="C1984" s="272" t="s">
        <v>332</v>
      </c>
      <c r="D1984" s="275" t="s">
        <v>216</v>
      </c>
      <c r="E1984" s="275">
        <v>41547.150150462963</v>
      </c>
      <c r="F1984" s="276">
        <v>4</v>
      </c>
      <c r="G1984" s="243">
        <f t="shared" si="31"/>
        <v>105</v>
      </c>
      <c r="H1984" s="244"/>
      <c r="I1984" s="71" t="e">
        <f>IF(COUNTIF((rName rData),H1984),"","Name Error!")</f>
        <v>#NAME?</v>
      </c>
    </row>
    <row r="1985" spans="2:9" s="126" customFormat="1" ht="15" customHeight="1" x14ac:dyDescent="0.25">
      <c r="B1985" s="271" t="s">
        <v>367</v>
      </c>
      <c r="C1985" s="272" t="s">
        <v>366</v>
      </c>
      <c r="D1985" s="275" t="s">
        <v>216</v>
      </c>
      <c r="E1985" s="275">
        <v>41547.5546412037</v>
      </c>
      <c r="F1985" s="276">
        <v>1</v>
      </c>
      <c r="G1985" s="243">
        <f t="shared" si="31"/>
        <v>105</v>
      </c>
      <c r="H1985" s="244"/>
      <c r="I1985" s="71" t="e">
        <f>IF(COUNTIF((rName rData),H1985),"","Name Error!")</f>
        <v>#NAME?</v>
      </c>
    </row>
    <row r="1986" spans="2:9" s="126" customFormat="1" ht="15" customHeight="1" x14ac:dyDescent="0.25">
      <c r="B1986" s="271" t="s">
        <v>331</v>
      </c>
      <c r="C1986" s="272" t="s">
        <v>330</v>
      </c>
      <c r="D1986" s="275" t="s">
        <v>216</v>
      </c>
      <c r="E1986" s="275">
        <v>41547.555092592593</v>
      </c>
      <c r="F1986" s="276">
        <v>2</v>
      </c>
      <c r="G1986" s="243">
        <f t="shared" si="31"/>
        <v>105</v>
      </c>
      <c r="H1986" s="244"/>
      <c r="I1986" s="71" t="e">
        <f>IF(COUNTIF((rName rData),H1986),"","Name Error!")</f>
        <v>#NAME?</v>
      </c>
    </row>
    <row r="1987" spans="2:9" s="126" customFormat="1" ht="15" customHeight="1" x14ac:dyDescent="0.25">
      <c r="B1987" s="271" t="s">
        <v>365</v>
      </c>
      <c r="C1987" s="272" t="s">
        <v>364</v>
      </c>
      <c r="D1987" s="275" t="s">
        <v>216</v>
      </c>
      <c r="E1987" s="275">
        <v>41547.559270833335</v>
      </c>
      <c r="F1987" s="276">
        <v>1</v>
      </c>
      <c r="G1987" s="243">
        <f t="shared" si="31"/>
        <v>105</v>
      </c>
      <c r="H1987" s="244"/>
      <c r="I1987" s="71" t="e">
        <f>IF(COUNTIF((rName rData),H1987),"","Name Error!")</f>
        <v>#NAME?</v>
      </c>
    </row>
    <row r="1988" spans="2:9" s="126" customFormat="1" ht="15" customHeight="1" x14ac:dyDescent="0.25">
      <c r="B1988" s="271" t="s">
        <v>320</v>
      </c>
      <c r="C1988" s="272" t="s">
        <v>319</v>
      </c>
      <c r="D1988" s="275" t="s">
        <v>216</v>
      </c>
      <c r="E1988" s="275">
        <v>41547.572592592594</v>
      </c>
      <c r="F1988" s="276">
        <v>2</v>
      </c>
      <c r="G1988" s="243">
        <f t="shared" si="31"/>
        <v>105</v>
      </c>
      <c r="H1988" s="244"/>
      <c r="I1988" s="71" t="e">
        <f>IF(COUNTIF((rName rData),H1988),"","Name Error!")</f>
        <v>#NAME?</v>
      </c>
    </row>
    <row r="1989" spans="2:9" s="126" customFormat="1" ht="15" customHeight="1" x14ac:dyDescent="0.25">
      <c r="B1989" s="271" t="s">
        <v>337</v>
      </c>
      <c r="C1989" s="272" t="s">
        <v>336</v>
      </c>
      <c r="D1989" s="275" t="s">
        <v>216</v>
      </c>
      <c r="E1989" s="275">
        <v>41547.745358796295</v>
      </c>
      <c r="F1989" s="276">
        <v>1</v>
      </c>
      <c r="G1989" s="243">
        <f t="shared" si="31"/>
        <v>105</v>
      </c>
      <c r="H1989" s="244"/>
      <c r="I1989" s="71" t="e">
        <f>IF(COUNTIF((rName rData),H1989),"","Name Error!")</f>
        <v>#NAME?</v>
      </c>
    </row>
    <row r="1990" spans="2:9" s="126" customFormat="1" ht="15" customHeight="1" x14ac:dyDescent="0.25">
      <c r="B1990" s="271" t="s">
        <v>322</v>
      </c>
      <c r="C1990" s="272" t="s">
        <v>321</v>
      </c>
      <c r="D1990" s="275" t="s">
        <v>216</v>
      </c>
      <c r="E1990" s="275">
        <v>41547.763518518521</v>
      </c>
      <c r="F1990" s="276">
        <v>2</v>
      </c>
      <c r="G1990" s="243">
        <f t="shared" si="31"/>
        <v>105</v>
      </c>
      <c r="H1990" s="244"/>
      <c r="I1990" s="71" t="e">
        <f>IF(COUNTIF((rName rData),H1990),"","Name Error!")</f>
        <v>#NAME?</v>
      </c>
    </row>
    <row r="1991" spans="2:9" s="126" customFormat="1" ht="15" customHeight="1" x14ac:dyDescent="0.25">
      <c r="B1991" s="271" t="s">
        <v>279</v>
      </c>
      <c r="C1991" s="272" t="s">
        <v>280</v>
      </c>
      <c r="D1991" s="275" t="s">
        <v>216</v>
      </c>
      <c r="E1991" s="275">
        <v>41547.785925925928</v>
      </c>
      <c r="F1991" s="276">
        <v>3</v>
      </c>
      <c r="G1991" s="243">
        <f t="shared" si="31"/>
        <v>105</v>
      </c>
      <c r="H1991" s="244"/>
      <c r="I1991" s="71" t="e">
        <f>IF(COUNTIF((rName rData),H1991),"","Name Error!")</f>
        <v>#NAME?</v>
      </c>
    </row>
    <row r="1992" spans="2:9" s="126" customFormat="1" ht="15" customHeight="1" x14ac:dyDescent="0.25">
      <c r="B1992" s="271" t="s">
        <v>358</v>
      </c>
      <c r="C1992" s="272" t="s">
        <v>357</v>
      </c>
      <c r="D1992" s="275" t="s">
        <v>216</v>
      </c>
      <c r="E1992" s="275">
        <v>41547.785960648151</v>
      </c>
      <c r="F1992" s="276">
        <v>2</v>
      </c>
      <c r="G1992" s="243">
        <f t="shared" si="31"/>
        <v>105</v>
      </c>
      <c r="H1992" s="244"/>
      <c r="I1992" s="71" t="e">
        <f>IF(COUNTIF((rName rData),H1992),"","Name Error!")</f>
        <v>#NAME?</v>
      </c>
    </row>
    <row r="1993" spans="2:9" s="126" customFormat="1" ht="15" customHeight="1" x14ac:dyDescent="0.25">
      <c r="B1993" s="271" t="s">
        <v>267</v>
      </c>
      <c r="C1993" s="272" t="s">
        <v>268</v>
      </c>
      <c r="D1993" s="275" t="s">
        <v>216</v>
      </c>
      <c r="E1993" s="275">
        <v>41547.800578703704</v>
      </c>
      <c r="F1993" s="276">
        <v>1</v>
      </c>
      <c r="G1993" s="243">
        <f t="shared" si="31"/>
        <v>105</v>
      </c>
      <c r="H1993" s="244"/>
      <c r="I1993" s="71" t="e">
        <f>IF(COUNTIF((rName rData),H1993),"","Name Error!")</f>
        <v>#NAME?</v>
      </c>
    </row>
    <row r="1994" spans="2:9" s="126" customFormat="1" ht="15" customHeight="1" x14ac:dyDescent="0.25">
      <c r="B1994" s="271" t="s">
        <v>356</v>
      </c>
      <c r="C1994" s="272" t="s">
        <v>355</v>
      </c>
      <c r="D1994" s="275" t="s">
        <v>216</v>
      </c>
      <c r="E1994" s="275">
        <v>41547.924074074072</v>
      </c>
      <c r="F1994" s="276">
        <v>1</v>
      </c>
      <c r="G1994" s="243">
        <f t="shared" ref="G1994:G2057" si="32">TRUNC((E1994-start)/7)+1</f>
        <v>105</v>
      </c>
      <c r="H1994" s="244"/>
      <c r="I1994" s="71" t="e">
        <f>IF(COUNTIF((rName rData),H1994),"","Name Error!")</f>
        <v>#NAME?</v>
      </c>
    </row>
    <row r="1995" spans="2:9" s="126" customFormat="1" ht="15" customHeight="1" x14ac:dyDescent="0.25">
      <c r="B1995" s="271" t="s">
        <v>324</v>
      </c>
      <c r="C1995" s="272" t="s">
        <v>323</v>
      </c>
      <c r="D1995" s="275" t="s">
        <v>216</v>
      </c>
      <c r="E1995" s="275">
        <v>41547.951990740738</v>
      </c>
      <c r="F1995" s="276">
        <v>1</v>
      </c>
      <c r="G1995" s="243">
        <f t="shared" si="32"/>
        <v>105</v>
      </c>
      <c r="H1995" s="244"/>
      <c r="I1995" s="71" t="e">
        <f>IF(COUNTIF((rName rData),H1995),"","Name Error!")</f>
        <v>#NAME?</v>
      </c>
    </row>
    <row r="1996" spans="2:9" s="126" customFormat="1" ht="15" customHeight="1" x14ac:dyDescent="0.25">
      <c r="B1996" s="271" t="s">
        <v>333</v>
      </c>
      <c r="C1996" s="272" t="s">
        <v>332</v>
      </c>
      <c r="D1996" s="275" t="s">
        <v>216</v>
      </c>
      <c r="E1996" s="275">
        <v>41548.084166666667</v>
      </c>
      <c r="F1996" s="276">
        <v>1</v>
      </c>
      <c r="G1996" s="243">
        <f t="shared" si="32"/>
        <v>105</v>
      </c>
      <c r="H1996" s="244"/>
      <c r="I1996" s="71" t="e">
        <f>IF(COUNTIF((rName rData),H1996),"","Name Error!")</f>
        <v>#NAME?</v>
      </c>
    </row>
    <row r="1997" spans="2:9" s="126" customFormat="1" ht="15" customHeight="1" x14ac:dyDescent="0.25">
      <c r="B1997" s="271" t="s">
        <v>267</v>
      </c>
      <c r="C1997" s="272" t="s">
        <v>268</v>
      </c>
      <c r="D1997" s="275" t="s">
        <v>216</v>
      </c>
      <c r="E1997" s="275">
        <v>41548.302523148152</v>
      </c>
      <c r="F1997" s="276">
        <v>2</v>
      </c>
      <c r="G1997" s="243">
        <f t="shared" si="32"/>
        <v>105</v>
      </c>
      <c r="H1997" s="244"/>
      <c r="I1997" s="71" t="e">
        <f>IF(COUNTIF((rName rData),H1997),"","Name Error!")</f>
        <v>#NAME?</v>
      </c>
    </row>
    <row r="1998" spans="2:9" s="126" customFormat="1" ht="15" customHeight="1" x14ac:dyDescent="0.25">
      <c r="B1998" s="271" t="s">
        <v>331</v>
      </c>
      <c r="C1998" s="272" t="s">
        <v>330</v>
      </c>
      <c r="D1998" s="275" t="s">
        <v>216</v>
      </c>
      <c r="E1998" s="275">
        <v>41548.439259259256</v>
      </c>
      <c r="F1998" s="276">
        <v>3</v>
      </c>
      <c r="G1998" s="243">
        <f t="shared" si="32"/>
        <v>105</v>
      </c>
      <c r="H1998" s="244"/>
      <c r="I1998" s="71" t="e">
        <f>IF(COUNTIF((rName rData),H1998),"","Name Error!")</f>
        <v>#NAME?</v>
      </c>
    </row>
    <row r="1999" spans="2:9" s="126" customFormat="1" ht="15" customHeight="1" x14ac:dyDescent="0.25">
      <c r="B1999" s="271" t="s">
        <v>354</v>
      </c>
      <c r="C1999" s="272" t="s">
        <v>353</v>
      </c>
      <c r="D1999" s="275" t="s">
        <v>216</v>
      </c>
      <c r="E1999" s="275">
        <v>41548.583252314813</v>
      </c>
      <c r="F1999" s="276">
        <v>2</v>
      </c>
      <c r="G1999" s="243">
        <f t="shared" si="32"/>
        <v>105</v>
      </c>
      <c r="H1999" s="244"/>
      <c r="I1999" s="71" t="e">
        <f>IF(COUNTIF((rName rData),H1999),"","Name Error!")</f>
        <v>#NAME?</v>
      </c>
    </row>
    <row r="2000" spans="2:9" s="126" customFormat="1" ht="15" customHeight="1" x14ac:dyDescent="0.25">
      <c r="B2000" s="271" t="s">
        <v>358</v>
      </c>
      <c r="C2000" s="272" t="s">
        <v>357</v>
      </c>
      <c r="D2000" s="275" t="s">
        <v>216</v>
      </c>
      <c r="E2000" s="275">
        <v>41548.624374999999</v>
      </c>
      <c r="F2000" s="276">
        <v>1</v>
      </c>
      <c r="G2000" s="243">
        <f t="shared" si="32"/>
        <v>105</v>
      </c>
      <c r="H2000" s="244"/>
      <c r="I2000" s="71" t="e">
        <f>IF(COUNTIF((rName rData),H2000),"","Name Error!")</f>
        <v>#NAME?</v>
      </c>
    </row>
    <row r="2001" spans="2:9" s="126" customFormat="1" ht="15" customHeight="1" x14ac:dyDescent="0.25">
      <c r="B2001" s="271" t="s">
        <v>320</v>
      </c>
      <c r="C2001" s="272" t="s">
        <v>319</v>
      </c>
      <c r="D2001" s="275" t="s">
        <v>216</v>
      </c>
      <c r="E2001" s="275">
        <v>41548.770312499997</v>
      </c>
      <c r="F2001" s="276">
        <v>1</v>
      </c>
      <c r="G2001" s="243">
        <f t="shared" si="32"/>
        <v>105</v>
      </c>
      <c r="H2001" s="244"/>
      <c r="I2001" s="71" t="e">
        <f>IF(COUNTIF((rName rData),H2001),"","Name Error!")</f>
        <v>#NAME?</v>
      </c>
    </row>
    <row r="2002" spans="2:9" s="126" customFormat="1" ht="15" customHeight="1" x14ac:dyDescent="0.25">
      <c r="B2002" s="271" t="s">
        <v>279</v>
      </c>
      <c r="C2002" s="272" t="s">
        <v>280</v>
      </c>
      <c r="D2002" s="275" t="s">
        <v>216</v>
      </c>
      <c r="E2002" s="275">
        <v>41548.826874999999</v>
      </c>
      <c r="F2002" s="276">
        <v>1</v>
      </c>
      <c r="G2002" s="243">
        <f t="shared" si="32"/>
        <v>105</v>
      </c>
      <c r="H2002" s="244"/>
      <c r="I2002" s="71" t="e">
        <f>IF(COUNTIF((rName rData),H2002),"","Name Error!")</f>
        <v>#NAME?</v>
      </c>
    </row>
    <row r="2003" spans="2:9" s="126" customFormat="1" ht="15" customHeight="1" x14ac:dyDescent="0.25">
      <c r="B2003" s="271" t="s">
        <v>365</v>
      </c>
      <c r="C2003" s="272" t="s">
        <v>364</v>
      </c>
      <c r="D2003" s="275" t="s">
        <v>216</v>
      </c>
      <c r="E2003" s="275">
        <v>41548.843611111108</v>
      </c>
      <c r="F2003" s="276">
        <v>1</v>
      </c>
      <c r="G2003" s="243">
        <f t="shared" si="32"/>
        <v>105</v>
      </c>
      <c r="H2003" s="244"/>
      <c r="I2003" s="71" t="e">
        <f>IF(COUNTIF((rName rData),H2003),"","Name Error!")</f>
        <v>#NAME?</v>
      </c>
    </row>
    <row r="2004" spans="2:9" s="126" customFormat="1" ht="15" customHeight="1" x14ac:dyDescent="0.25">
      <c r="B2004" s="271" t="s">
        <v>356</v>
      </c>
      <c r="C2004" s="272" t="s">
        <v>355</v>
      </c>
      <c r="D2004" s="275" t="s">
        <v>216</v>
      </c>
      <c r="E2004" s="275">
        <v>41548.859120370369</v>
      </c>
      <c r="F2004" s="276">
        <v>1</v>
      </c>
      <c r="G2004" s="243">
        <f t="shared" si="32"/>
        <v>105</v>
      </c>
      <c r="H2004" s="244"/>
      <c r="I2004" s="71" t="e">
        <f>IF(COUNTIF((rName rData),H2004),"","Name Error!")</f>
        <v>#NAME?</v>
      </c>
    </row>
    <row r="2005" spans="2:9" s="126" customFormat="1" ht="15" customHeight="1" x14ac:dyDescent="0.25">
      <c r="B2005" s="271" t="s">
        <v>339</v>
      </c>
      <c r="C2005" s="272" t="s">
        <v>338</v>
      </c>
      <c r="D2005" s="275" t="s">
        <v>216</v>
      </c>
      <c r="E2005" s="275">
        <v>41549.034803240742</v>
      </c>
      <c r="F2005" s="276">
        <v>1</v>
      </c>
      <c r="G2005" s="243">
        <f t="shared" si="32"/>
        <v>105</v>
      </c>
      <c r="H2005" s="244"/>
      <c r="I2005" s="71" t="e">
        <f>IF(COUNTIF((rName rData),H2005),"","Name Error!")</f>
        <v>#NAME?</v>
      </c>
    </row>
    <row r="2006" spans="2:9" s="126" customFormat="1" ht="15" customHeight="1" x14ac:dyDescent="0.25">
      <c r="B2006" s="271" t="s">
        <v>267</v>
      </c>
      <c r="C2006" s="272" t="s">
        <v>268</v>
      </c>
      <c r="D2006" s="275" t="s">
        <v>216</v>
      </c>
      <c r="E2006" s="275">
        <v>41549.460601851853</v>
      </c>
      <c r="F2006" s="276">
        <v>4</v>
      </c>
      <c r="G2006" s="243">
        <f t="shared" si="32"/>
        <v>105</v>
      </c>
      <c r="H2006" s="244"/>
      <c r="I2006" s="71" t="e">
        <f>IF(COUNTIF((rName rData),H2006),"","Name Error!")</f>
        <v>#NAME?</v>
      </c>
    </row>
    <row r="2007" spans="2:9" s="126" customFormat="1" ht="15" customHeight="1" x14ac:dyDescent="0.25">
      <c r="B2007" s="271" t="s">
        <v>331</v>
      </c>
      <c r="C2007" s="272" t="s">
        <v>330</v>
      </c>
      <c r="D2007" s="275" t="s">
        <v>216</v>
      </c>
      <c r="E2007" s="275">
        <v>41549.46570601852</v>
      </c>
      <c r="F2007" s="276">
        <v>2</v>
      </c>
      <c r="G2007" s="243">
        <f t="shared" si="32"/>
        <v>105</v>
      </c>
      <c r="H2007" s="244"/>
      <c r="I2007" s="71" t="e">
        <f>IF(COUNTIF((rName rData),H2007),"","Name Error!")</f>
        <v>#NAME?</v>
      </c>
    </row>
    <row r="2008" spans="2:9" s="126" customFormat="1" ht="15" customHeight="1" x14ac:dyDescent="0.25">
      <c r="B2008" s="271" t="s">
        <v>345</v>
      </c>
      <c r="C2008" s="272" t="s">
        <v>344</v>
      </c>
      <c r="D2008" s="275" t="s">
        <v>216</v>
      </c>
      <c r="E2008" s="275">
        <v>41549.499305555553</v>
      </c>
      <c r="F2008" s="276">
        <v>1</v>
      </c>
      <c r="G2008" s="243">
        <f t="shared" si="32"/>
        <v>105</v>
      </c>
      <c r="H2008" s="244"/>
      <c r="I2008" s="71" t="e">
        <f>IF(COUNTIF((rName rData),H2008),"","Name Error!")</f>
        <v>#NAME?</v>
      </c>
    </row>
    <row r="2009" spans="2:9" s="126" customFormat="1" ht="15" customHeight="1" x14ac:dyDescent="0.25">
      <c r="B2009" s="271" t="s">
        <v>337</v>
      </c>
      <c r="C2009" s="272" t="s">
        <v>336</v>
      </c>
      <c r="D2009" s="275" t="s">
        <v>216</v>
      </c>
      <c r="E2009" s="275">
        <v>41549.52103009259</v>
      </c>
      <c r="F2009" s="276">
        <v>1</v>
      </c>
      <c r="G2009" s="243">
        <f t="shared" si="32"/>
        <v>105</v>
      </c>
      <c r="H2009" s="244"/>
      <c r="I2009" s="71" t="e">
        <f>IF(COUNTIF((rName rData),H2009),"","Name Error!")</f>
        <v>#NAME?</v>
      </c>
    </row>
    <row r="2010" spans="2:9" s="126" customFormat="1" ht="15" customHeight="1" x14ac:dyDescent="0.25">
      <c r="B2010" s="271" t="s">
        <v>367</v>
      </c>
      <c r="C2010" s="272" t="s">
        <v>366</v>
      </c>
      <c r="D2010" s="275" t="s">
        <v>216</v>
      </c>
      <c r="E2010" s="275">
        <v>41549.767083333332</v>
      </c>
      <c r="F2010" s="276">
        <v>1</v>
      </c>
      <c r="G2010" s="243">
        <f t="shared" si="32"/>
        <v>105</v>
      </c>
      <c r="H2010" s="244"/>
      <c r="I2010" s="71" t="e">
        <f>IF(COUNTIF((rName rData),H2010),"","Name Error!")</f>
        <v>#NAME?</v>
      </c>
    </row>
    <row r="2011" spans="2:9" s="126" customFormat="1" ht="15" customHeight="1" x14ac:dyDescent="0.25">
      <c r="B2011" s="271" t="s">
        <v>322</v>
      </c>
      <c r="C2011" s="272" t="s">
        <v>321</v>
      </c>
      <c r="D2011" s="275" t="s">
        <v>216</v>
      </c>
      <c r="E2011" s="275">
        <v>41549.883344907408</v>
      </c>
      <c r="F2011" s="276">
        <v>1</v>
      </c>
      <c r="G2011" s="243">
        <f t="shared" si="32"/>
        <v>105</v>
      </c>
      <c r="H2011" s="244"/>
      <c r="I2011" s="71" t="e">
        <f>IF(COUNTIF((rName rData),H2011),"","Name Error!")</f>
        <v>#NAME?</v>
      </c>
    </row>
    <row r="2012" spans="2:9" s="126" customFormat="1" ht="15" customHeight="1" x14ac:dyDescent="0.25">
      <c r="B2012" s="271" t="s">
        <v>358</v>
      </c>
      <c r="C2012" s="272" t="s">
        <v>357</v>
      </c>
      <c r="D2012" s="275" t="s">
        <v>216</v>
      </c>
      <c r="E2012" s="275">
        <v>41549.897858796299</v>
      </c>
      <c r="F2012" s="276">
        <v>1</v>
      </c>
      <c r="G2012" s="243">
        <f t="shared" si="32"/>
        <v>105</v>
      </c>
      <c r="H2012" s="244"/>
      <c r="I2012" s="71" t="e">
        <f>IF(COUNTIF((rName rData),H2012),"","Name Error!")</f>
        <v>#NAME?</v>
      </c>
    </row>
    <row r="2013" spans="2:9" s="126" customFormat="1" ht="15" customHeight="1" x14ac:dyDescent="0.25">
      <c r="B2013" s="271" t="s">
        <v>331</v>
      </c>
      <c r="C2013" s="272" t="s">
        <v>330</v>
      </c>
      <c r="D2013" s="275" t="s">
        <v>216</v>
      </c>
      <c r="E2013" s="275">
        <v>41550.036805555559</v>
      </c>
      <c r="F2013" s="276">
        <v>2</v>
      </c>
      <c r="G2013" s="243">
        <f t="shared" si="32"/>
        <v>105</v>
      </c>
      <c r="H2013" s="244"/>
      <c r="I2013" s="71" t="e">
        <f>IF(COUNTIF((rName rData),H2013),"","Name Error!")</f>
        <v>#NAME?</v>
      </c>
    </row>
    <row r="2014" spans="2:9" s="126" customFormat="1" ht="15" customHeight="1" x14ac:dyDescent="0.25">
      <c r="B2014" s="271" t="s">
        <v>333</v>
      </c>
      <c r="C2014" s="272" t="s">
        <v>332</v>
      </c>
      <c r="D2014" s="275" t="s">
        <v>216</v>
      </c>
      <c r="E2014" s="275">
        <v>41550.11215277778</v>
      </c>
      <c r="F2014" s="276">
        <v>1</v>
      </c>
      <c r="G2014" s="243">
        <f t="shared" si="32"/>
        <v>105</v>
      </c>
      <c r="H2014" s="244"/>
      <c r="I2014" s="71" t="e">
        <f>IF(COUNTIF((rName rData),H2014),"","Name Error!")</f>
        <v>#NAME?</v>
      </c>
    </row>
    <row r="2015" spans="2:9" s="126" customFormat="1" ht="15" customHeight="1" x14ac:dyDescent="0.25">
      <c r="B2015" s="271" t="s">
        <v>339</v>
      </c>
      <c r="C2015" s="272" t="s">
        <v>338</v>
      </c>
      <c r="D2015" s="275" t="s">
        <v>216</v>
      </c>
      <c r="E2015" s="275">
        <v>41550.256423611114</v>
      </c>
      <c r="F2015" s="276">
        <v>2</v>
      </c>
      <c r="G2015" s="243">
        <f t="shared" si="32"/>
        <v>105</v>
      </c>
      <c r="H2015" s="244"/>
      <c r="I2015" s="71" t="e">
        <f>IF(COUNTIF((rName rData),H2015),"","Name Error!")</f>
        <v>#NAME?</v>
      </c>
    </row>
    <row r="2016" spans="2:9" s="126" customFormat="1" ht="15" customHeight="1" x14ac:dyDescent="0.25">
      <c r="B2016" s="271" t="s">
        <v>371</v>
      </c>
      <c r="C2016" s="272" t="s">
        <v>370</v>
      </c>
      <c r="D2016" s="275" t="s">
        <v>216</v>
      </c>
      <c r="E2016" s="275">
        <v>41550.300763888888</v>
      </c>
      <c r="F2016" s="276">
        <v>1</v>
      </c>
      <c r="G2016" s="243">
        <f t="shared" si="32"/>
        <v>105</v>
      </c>
      <c r="H2016" s="244"/>
      <c r="I2016" s="71" t="e">
        <f>IF(COUNTIF((rName rData),H2016),"","Name Error!")</f>
        <v>#NAME?</v>
      </c>
    </row>
    <row r="2017" spans="2:9" s="126" customFormat="1" ht="15" customHeight="1" x14ac:dyDescent="0.25">
      <c r="B2017" s="271" t="s">
        <v>358</v>
      </c>
      <c r="C2017" s="272" t="s">
        <v>357</v>
      </c>
      <c r="D2017" s="275" t="s">
        <v>216</v>
      </c>
      <c r="E2017" s="275">
        <v>41550.407673611109</v>
      </c>
      <c r="F2017" s="276">
        <v>1</v>
      </c>
      <c r="G2017" s="243">
        <f t="shared" si="32"/>
        <v>105</v>
      </c>
      <c r="H2017" s="244"/>
      <c r="I2017" s="71" t="e">
        <f>IF(COUNTIF((rName rData),H2017),"","Name Error!")</f>
        <v>#NAME?</v>
      </c>
    </row>
    <row r="2018" spans="2:9" s="126" customFormat="1" ht="15" customHeight="1" x14ac:dyDescent="0.25">
      <c r="B2018" s="271" t="s">
        <v>365</v>
      </c>
      <c r="C2018" s="272" t="s">
        <v>364</v>
      </c>
      <c r="D2018" s="275" t="s">
        <v>216</v>
      </c>
      <c r="E2018" s="275">
        <v>41550.645127314812</v>
      </c>
      <c r="F2018" s="276">
        <v>1</v>
      </c>
      <c r="G2018" s="243">
        <f t="shared" si="32"/>
        <v>105</v>
      </c>
      <c r="H2018" s="244"/>
      <c r="I2018" s="71" t="e">
        <f>IF(COUNTIF((rName rData),H2018),"","Name Error!")</f>
        <v>#NAME?</v>
      </c>
    </row>
    <row r="2019" spans="2:9" s="126" customFormat="1" ht="15" customHeight="1" x14ac:dyDescent="0.25">
      <c r="B2019" s="271" t="s">
        <v>322</v>
      </c>
      <c r="C2019" s="272" t="s">
        <v>321</v>
      </c>
      <c r="D2019" s="275" t="s">
        <v>216</v>
      </c>
      <c r="E2019" s="275">
        <v>41550.876643518517</v>
      </c>
      <c r="F2019" s="276">
        <v>2</v>
      </c>
      <c r="G2019" s="243">
        <f t="shared" si="32"/>
        <v>105</v>
      </c>
      <c r="H2019" s="244"/>
      <c r="I2019" s="71" t="e">
        <f>IF(COUNTIF((rName rData),H2019),"","Name Error!")</f>
        <v>#NAME?</v>
      </c>
    </row>
    <row r="2020" spans="2:9" s="126" customFormat="1" ht="15" customHeight="1" x14ac:dyDescent="0.25">
      <c r="B2020" s="271" t="s">
        <v>354</v>
      </c>
      <c r="C2020" s="272" t="s">
        <v>353</v>
      </c>
      <c r="D2020" s="275" t="s">
        <v>216</v>
      </c>
      <c r="E2020" s="275">
        <v>41550.924814814818</v>
      </c>
      <c r="F2020" s="276">
        <v>1</v>
      </c>
      <c r="G2020" s="243">
        <f t="shared" si="32"/>
        <v>105</v>
      </c>
      <c r="H2020" s="244"/>
      <c r="I2020" s="71" t="e">
        <f>IF(COUNTIF((rName rData),H2020),"","Name Error!")</f>
        <v>#NAME?</v>
      </c>
    </row>
    <row r="2021" spans="2:9" s="126" customFormat="1" ht="15" customHeight="1" x14ac:dyDescent="0.25">
      <c r="B2021" s="271" t="s">
        <v>333</v>
      </c>
      <c r="C2021" s="272" t="s">
        <v>332</v>
      </c>
      <c r="D2021" s="275" t="s">
        <v>216</v>
      </c>
      <c r="E2021" s="275">
        <v>41551.083703703705</v>
      </c>
      <c r="F2021" s="276">
        <v>1</v>
      </c>
      <c r="G2021" s="243">
        <f t="shared" si="32"/>
        <v>105</v>
      </c>
      <c r="H2021" s="244"/>
      <c r="I2021" s="71" t="e">
        <f>IF(COUNTIF((rName rData),H2021),"","Name Error!")</f>
        <v>#NAME?</v>
      </c>
    </row>
    <row r="2022" spans="2:9" s="126" customFormat="1" ht="15" customHeight="1" x14ac:dyDescent="0.25">
      <c r="B2022" s="271" t="s">
        <v>371</v>
      </c>
      <c r="C2022" s="272" t="s">
        <v>370</v>
      </c>
      <c r="D2022" s="275" t="s">
        <v>216</v>
      </c>
      <c r="E2022" s="275">
        <v>41551.315335648149</v>
      </c>
      <c r="F2022" s="276">
        <v>1</v>
      </c>
      <c r="G2022" s="243">
        <f t="shared" si="32"/>
        <v>105</v>
      </c>
      <c r="H2022" s="244"/>
      <c r="I2022" s="71" t="e">
        <f>IF(COUNTIF((rName rData),H2022),"","Name Error!")</f>
        <v>#NAME?</v>
      </c>
    </row>
    <row r="2023" spans="2:9" s="126" customFormat="1" ht="15" customHeight="1" x14ac:dyDescent="0.25">
      <c r="B2023" s="271" t="s">
        <v>267</v>
      </c>
      <c r="C2023" s="272" t="s">
        <v>268</v>
      </c>
      <c r="D2023" s="275" t="s">
        <v>216</v>
      </c>
      <c r="E2023" s="275">
        <v>41551.374374999999</v>
      </c>
      <c r="F2023" s="276">
        <v>3</v>
      </c>
      <c r="G2023" s="243">
        <f t="shared" si="32"/>
        <v>105</v>
      </c>
      <c r="H2023" s="244"/>
      <c r="I2023" s="71" t="e">
        <f>IF(COUNTIF((rName rData),H2023),"","Name Error!")</f>
        <v>#NAME?</v>
      </c>
    </row>
    <row r="2024" spans="2:9" s="126" customFormat="1" ht="15" customHeight="1" x14ac:dyDescent="0.25">
      <c r="B2024" s="271" t="s">
        <v>331</v>
      </c>
      <c r="C2024" s="272" t="s">
        <v>330</v>
      </c>
      <c r="D2024" s="275" t="s">
        <v>216</v>
      </c>
      <c r="E2024" s="275">
        <v>41551.499988425923</v>
      </c>
      <c r="F2024" s="276">
        <v>2</v>
      </c>
      <c r="G2024" s="243">
        <f t="shared" si="32"/>
        <v>105</v>
      </c>
      <c r="H2024" s="244"/>
      <c r="I2024" s="71" t="e">
        <f>IF(COUNTIF((rName rData),H2024),"","Name Error!")</f>
        <v>#NAME?</v>
      </c>
    </row>
    <row r="2025" spans="2:9" s="126" customFormat="1" ht="15" customHeight="1" x14ac:dyDescent="0.25">
      <c r="B2025" s="271" t="s">
        <v>341</v>
      </c>
      <c r="C2025" s="272" t="s">
        <v>340</v>
      </c>
      <c r="D2025" s="275" t="s">
        <v>216</v>
      </c>
      <c r="E2025" s="275">
        <v>41551.583032407405</v>
      </c>
      <c r="F2025" s="276">
        <v>1</v>
      </c>
      <c r="G2025" s="243">
        <f t="shared" si="32"/>
        <v>105</v>
      </c>
      <c r="H2025" s="244"/>
      <c r="I2025" s="71" t="e">
        <f>IF(COUNTIF((rName rData),H2025),"","Name Error!")</f>
        <v>#NAME?</v>
      </c>
    </row>
    <row r="2026" spans="2:9" s="126" customFormat="1" ht="15" customHeight="1" x14ac:dyDescent="0.25">
      <c r="B2026" s="271" t="s">
        <v>339</v>
      </c>
      <c r="C2026" s="272" t="s">
        <v>338</v>
      </c>
      <c r="D2026" s="275" t="s">
        <v>216</v>
      </c>
      <c r="E2026" s="275">
        <v>41551.680219907408</v>
      </c>
      <c r="F2026" s="276">
        <v>1</v>
      </c>
      <c r="G2026" s="243">
        <f t="shared" si="32"/>
        <v>105</v>
      </c>
      <c r="H2026" s="244"/>
      <c r="I2026" s="71" t="e">
        <f>IF(COUNTIF((rName rData),H2026),"","Name Error!")</f>
        <v>#NAME?</v>
      </c>
    </row>
    <row r="2027" spans="2:9" s="126" customFormat="1" ht="15" customHeight="1" x14ac:dyDescent="0.25">
      <c r="B2027" s="271" t="s">
        <v>358</v>
      </c>
      <c r="C2027" s="272" t="s">
        <v>357</v>
      </c>
      <c r="D2027" s="275" t="s">
        <v>216</v>
      </c>
      <c r="E2027" s="275">
        <v>41551.689722222225</v>
      </c>
      <c r="F2027" s="276">
        <v>1</v>
      </c>
      <c r="G2027" s="243">
        <f t="shared" si="32"/>
        <v>105</v>
      </c>
      <c r="H2027" s="244"/>
      <c r="I2027" s="71" t="e">
        <f>IF(COUNTIF((rName rData),H2027),"","Name Error!")</f>
        <v>#NAME?</v>
      </c>
    </row>
    <row r="2028" spans="2:9" s="126" customFormat="1" ht="15" customHeight="1" x14ac:dyDescent="0.25">
      <c r="B2028" s="271" t="s">
        <v>279</v>
      </c>
      <c r="C2028" s="272" t="s">
        <v>280</v>
      </c>
      <c r="D2028" s="275" t="s">
        <v>216</v>
      </c>
      <c r="E2028" s="275">
        <v>41551.720972222225</v>
      </c>
      <c r="F2028" s="276">
        <v>2</v>
      </c>
      <c r="G2028" s="243">
        <f t="shared" si="32"/>
        <v>105</v>
      </c>
      <c r="H2028" s="244"/>
      <c r="I2028" s="71" t="e">
        <f>IF(COUNTIF((rName rData),H2028),"","Name Error!")</f>
        <v>#NAME?</v>
      </c>
    </row>
    <row r="2029" spans="2:9" s="126" customFormat="1" ht="15" customHeight="1" x14ac:dyDescent="0.25">
      <c r="B2029" s="271" t="s">
        <v>354</v>
      </c>
      <c r="C2029" s="272" t="s">
        <v>353</v>
      </c>
      <c r="D2029" s="275" t="s">
        <v>216</v>
      </c>
      <c r="E2029" s="275">
        <v>41551.793449074074</v>
      </c>
      <c r="F2029" s="276">
        <v>1</v>
      </c>
      <c r="G2029" s="243">
        <f t="shared" si="32"/>
        <v>105</v>
      </c>
      <c r="H2029" s="244"/>
      <c r="I2029" s="71" t="e">
        <f>IF(COUNTIF((rName rData),H2029),"","Name Error!")</f>
        <v>#NAME?</v>
      </c>
    </row>
    <row r="2030" spans="2:9" s="126" customFormat="1" ht="15" customHeight="1" x14ac:dyDescent="0.25">
      <c r="B2030" s="271" t="s">
        <v>328</v>
      </c>
      <c r="C2030" s="272" t="s">
        <v>327</v>
      </c>
      <c r="D2030" s="275" t="s">
        <v>216</v>
      </c>
      <c r="E2030" s="275">
        <v>41551.964629629627</v>
      </c>
      <c r="F2030" s="276">
        <v>1</v>
      </c>
      <c r="G2030" s="243">
        <f t="shared" si="32"/>
        <v>105</v>
      </c>
      <c r="H2030" s="244"/>
      <c r="I2030" s="71" t="e">
        <f>IF(COUNTIF((rName rData),H2030),"","Name Error!")</f>
        <v>#NAME?</v>
      </c>
    </row>
    <row r="2031" spans="2:9" s="126" customFormat="1" ht="15" customHeight="1" x14ac:dyDescent="0.25">
      <c r="B2031" s="271" t="s">
        <v>337</v>
      </c>
      <c r="C2031" s="272" t="s">
        <v>336</v>
      </c>
      <c r="D2031" s="275" t="s">
        <v>216</v>
      </c>
      <c r="E2031" s="275">
        <v>41551.98704861111</v>
      </c>
      <c r="F2031" s="276">
        <v>1</v>
      </c>
      <c r="G2031" s="243">
        <f t="shared" si="32"/>
        <v>105</v>
      </c>
      <c r="H2031" s="244"/>
      <c r="I2031" s="71" t="e">
        <f>IF(COUNTIF((rName rData),H2031),"","Name Error!")</f>
        <v>#NAME?</v>
      </c>
    </row>
    <row r="2032" spans="2:9" s="126" customFormat="1" ht="15" customHeight="1" x14ac:dyDescent="0.25">
      <c r="B2032" s="271" t="s">
        <v>362</v>
      </c>
      <c r="C2032" s="272" t="s">
        <v>361</v>
      </c>
      <c r="D2032" s="275" t="s">
        <v>216</v>
      </c>
      <c r="E2032" s="275">
        <v>41552.452615740738</v>
      </c>
      <c r="F2032" s="276">
        <v>2</v>
      </c>
      <c r="G2032" s="243">
        <f t="shared" si="32"/>
        <v>106</v>
      </c>
      <c r="H2032" s="244"/>
      <c r="I2032" s="71" t="e">
        <f>IF(COUNTIF((rName rData),H2032),"","Name Error!")</f>
        <v>#NAME?</v>
      </c>
    </row>
    <row r="2033" spans="2:9" s="126" customFormat="1" ht="15" customHeight="1" x14ac:dyDescent="0.25">
      <c r="B2033" s="271" t="s">
        <v>337</v>
      </c>
      <c r="C2033" s="272" t="s">
        <v>336</v>
      </c>
      <c r="D2033" s="275" t="s">
        <v>216</v>
      </c>
      <c r="E2033" s="275">
        <v>41552.465787037036</v>
      </c>
      <c r="F2033" s="276">
        <v>2</v>
      </c>
      <c r="G2033" s="243">
        <f t="shared" si="32"/>
        <v>106</v>
      </c>
      <c r="H2033" s="244"/>
      <c r="I2033" s="71" t="e">
        <f>IF(COUNTIF((rName rData),H2033),"","Name Error!")</f>
        <v>#NAME?</v>
      </c>
    </row>
    <row r="2034" spans="2:9" s="126" customFormat="1" ht="15" customHeight="1" x14ac:dyDescent="0.25">
      <c r="B2034" s="271" t="s">
        <v>267</v>
      </c>
      <c r="C2034" s="272" t="s">
        <v>268</v>
      </c>
      <c r="D2034" s="275" t="s">
        <v>216</v>
      </c>
      <c r="E2034" s="275">
        <v>41552.514409722222</v>
      </c>
      <c r="F2034" s="276">
        <v>3</v>
      </c>
      <c r="G2034" s="243">
        <f t="shared" si="32"/>
        <v>106</v>
      </c>
      <c r="H2034" s="244"/>
      <c r="I2034" s="71" t="e">
        <f>IF(COUNTIF((rName rData),H2034),"","Name Error!")</f>
        <v>#NAME?</v>
      </c>
    </row>
    <row r="2035" spans="2:9" s="126" customFormat="1" ht="15" customHeight="1" x14ac:dyDescent="0.25">
      <c r="B2035" s="271" t="s">
        <v>279</v>
      </c>
      <c r="C2035" s="272" t="s">
        <v>280</v>
      </c>
      <c r="D2035" s="275" t="s">
        <v>216</v>
      </c>
      <c r="E2035" s="275">
        <v>41552.556979166664</v>
      </c>
      <c r="F2035" s="276">
        <v>2</v>
      </c>
      <c r="G2035" s="243">
        <f t="shared" si="32"/>
        <v>106</v>
      </c>
      <c r="H2035" s="244"/>
      <c r="I2035" s="71" t="e">
        <f>IF(COUNTIF((rName rData),H2035),"","Name Error!")</f>
        <v>#NAME?</v>
      </c>
    </row>
    <row r="2036" spans="2:9" s="126" customFormat="1" ht="15" customHeight="1" x14ac:dyDescent="0.25">
      <c r="B2036" s="271" t="s">
        <v>331</v>
      </c>
      <c r="C2036" s="272" t="s">
        <v>330</v>
      </c>
      <c r="D2036" s="275" t="s">
        <v>216</v>
      </c>
      <c r="E2036" s="275">
        <v>41552.56890046296</v>
      </c>
      <c r="F2036" s="276">
        <v>2</v>
      </c>
      <c r="G2036" s="243">
        <f t="shared" si="32"/>
        <v>106</v>
      </c>
      <c r="H2036" s="244"/>
      <c r="I2036" s="71" t="e">
        <f>IF(COUNTIF((rName rData),H2036),"","Name Error!")</f>
        <v>#NAME?</v>
      </c>
    </row>
    <row r="2037" spans="2:9" s="126" customFormat="1" ht="15" customHeight="1" x14ac:dyDescent="0.25">
      <c r="B2037" s="271" t="s">
        <v>328</v>
      </c>
      <c r="C2037" s="272" t="s">
        <v>327</v>
      </c>
      <c r="D2037" s="275" t="s">
        <v>216</v>
      </c>
      <c r="E2037" s="275">
        <v>41552.588969907411</v>
      </c>
      <c r="F2037" s="276">
        <v>2</v>
      </c>
      <c r="G2037" s="243">
        <f t="shared" si="32"/>
        <v>106</v>
      </c>
      <c r="H2037" s="244"/>
      <c r="I2037" s="71" t="e">
        <f>IF(COUNTIF((rName rData),H2037),"","Name Error!")</f>
        <v>#NAME?</v>
      </c>
    </row>
    <row r="2038" spans="2:9" s="126" customFormat="1" ht="15" customHeight="1" x14ac:dyDescent="0.25">
      <c r="B2038" s="271" t="s">
        <v>352</v>
      </c>
      <c r="C2038" s="272" t="s">
        <v>351</v>
      </c>
      <c r="D2038" s="275" t="s">
        <v>216</v>
      </c>
      <c r="E2038" s="275">
        <v>41552.730393518519</v>
      </c>
      <c r="F2038" s="276">
        <v>1</v>
      </c>
      <c r="G2038" s="243">
        <f t="shared" si="32"/>
        <v>106</v>
      </c>
      <c r="H2038" s="244"/>
      <c r="I2038" s="71" t="e">
        <f>IF(COUNTIF((rName rData),H2038),"","Name Error!")</f>
        <v>#NAME?</v>
      </c>
    </row>
    <row r="2039" spans="2:9" s="126" customFormat="1" ht="15" customHeight="1" x14ac:dyDescent="0.25">
      <c r="B2039" s="271" t="s">
        <v>333</v>
      </c>
      <c r="C2039" s="272" t="s">
        <v>332</v>
      </c>
      <c r="D2039" s="275" t="s">
        <v>216</v>
      </c>
      <c r="E2039" s="275">
        <v>41552.871446759258</v>
      </c>
      <c r="F2039" s="276">
        <v>1</v>
      </c>
      <c r="G2039" s="243">
        <f t="shared" si="32"/>
        <v>106</v>
      </c>
      <c r="H2039" s="244"/>
      <c r="I2039" s="71" t="e">
        <f>IF(COUNTIF((rName rData),H2039),"","Name Error!")</f>
        <v>#NAME?</v>
      </c>
    </row>
    <row r="2040" spans="2:9" s="126" customFormat="1" ht="15" customHeight="1" x14ac:dyDescent="0.25">
      <c r="B2040" s="271" t="s">
        <v>354</v>
      </c>
      <c r="C2040" s="272" t="s">
        <v>353</v>
      </c>
      <c r="D2040" s="275" t="s">
        <v>216</v>
      </c>
      <c r="E2040" s="275">
        <v>41552.883657407408</v>
      </c>
      <c r="F2040" s="276">
        <v>1</v>
      </c>
      <c r="G2040" s="243">
        <f t="shared" si="32"/>
        <v>106</v>
      </c>
      <c r="H2040" s="244"/>
      <c r="I2040" s="71" t="e">
        <f>IF(COUNTIF((rName rData),H2040),"","Name Error!")</f>
        <v>#NAME?</v>
      </c>
    </row>
    <row r="2041" spans="2:9" s="126" customFormat="1" ht="15" customHeight="1" x14ac:dyDescent="0.25">
      <c r="B2041" s="271" t="s">
        <v>365</v>
      </c>
      <c r="C2041" s="272" t="s">
        <v>364</v>
      </c>
      <c r="D2041" s="275" t="s">
        <v>216</v>
      </c>
      <c r="E2041" s="275">
        <v>41552.886284722219</v>
      </c>
      <c r="F2041" s="276">
        <v>2</v>
      </c>
      <c r="G2041" s="243">
        <f t="shared" si="32"/>
        <v>106</v>
      </c>
      <c r="H2041" s="244"/>
      <c r="I2041" s="71" t="e">
        <f>IF(COUNTIF((rName rData),H2041),"","Name Error!")</f>
        <v>#NAME?</v>
      </c>
    </row>
    <row r="2042" spans="2:9" s="126" customFormat="1" ht="15" customHeight="1" x14ac:dyDescent="0.25">
      <c r="B2042" s="271" t="s">
        <v>322</v>
      </c>
      <c r="C2042" s="272" t="s">
        <v>321</v>
      </c>
      <c r="D2042" s="275" t="s">
        <v>216</v>
      </c>
      <c r="E2042" s="275">
        <v>41552.915625000001</v>
      </c>
      <c r="F2042" s="276">
        <v>1</v>
      </c>
      <c r="G2042" s="243">
        <f t="shared" si="32"/>
        <v>106</v>
      </c>
      <c r="H2042" s="244"/>
      <c r="I2042" s="71" t="e">
        <f>IF(COUNTIF((rName rData),H2042),"","Name Error!")</f>
        <v>#NAME?</v>
      </c>
    </row>
    <row r="2043" spans="2:9" s="126" customFormat="1" ht="15" customHeight="1" x14ac:dyDescent="0.25">
      <c r="B2043" s="271" t="s">
        <v>331</v>
      </c>
      <c r="C2043" s="272" t="s">
        <v>330</v>
      </c>
      <c r="D2043" s="275" t="s">
        <v>216</v>
      </c>
      <c r="E2043" s="275">
        <v>41553.019571759258</v>
      </c>
      <c r="F2043" s="276">
        <v>6</v>
      </c>
      <c r="G2043" s="243">
        <f t="shared" si="32"/>
        <v>106</v>
      </c>
      <c r="H2043" s="244"/>
      <c r="I2043" s="71" t="e">
        <f>IF(COUNTIF((rName rData),H2043),"","Name Error!")</f>
        <v>#NAME?</v>
      </c>
    </row>
    <row r="2044" spans="2:9" s="126" customFormat="1" ht="15" customHeight="1" x14ac:dyDescent="0.25">
      <c r="B2044" s="271" t="s">
        <v>333</v>
      </c>
      <c r="C2044" s="272" t="s">
        <v>332</v>
      </c>
      <c r="D2044" s="275" t="s">
        <v>216</v>
      </c>
      <c r="E2044" s="275">
        <v>41553.045543981483</v>
      </c>
      <c r="F2044" s="276">
        <v>2</v>
      </c>
      <c r="G2044" s="243">
        <f t="shared" si="32"/>
        <v>106</v>
      </c>
      <c r="H2044" s="244"/>
      <c r="I2044" s="71" t="e">
        <f>IF(COUNTIF((rName rData),H2044),"","Name Error!")</f>
        <v>#NAME?</v>
      </c>
    </row>
    <row r="2045" spans="2:9" s="126" customFormat="1" ht="15" customHeight="1" x14ac:dyDescent="0.25">
      <c r="B2045" s="271" t="s">
        <v>267</v>
      </c>
      <c r="C2045" s="272" t="s">
        <v>268</v>
      </c>
      <c r="D2045" s="275" t="s">
        <v>216</v>
      </c>
      <c r="E2045" s="275">
        <v>41553.443310185183</v>
      </c>
      <c r="F2045" s="276">
        <v>8</v>
      </c>
      <c r="G2045" s="243">
        <f t="shared" si="32"/>
        <v>106</v>
      </c>
      <c r="H2045" s="244"/>
      <c r="I2045" s="71" t="e">
        <f>IF(COUNTIF((rName rData),H2045),"","Name Error!")</f>
        <v>#NAME?</v>
      </c>
    </row>
    <row r="2046" spans="2:9" s="126" customFormat="1" ht="15" customHeight="1" x14ac:dyDescent="0.25">
      <c r="B2046" s="271" t="s">
        <v>356</v>
      </c>
      <c r="C2046" s="272" t="s">
        <v>355</v>
      </c>
      <c r="D2046" s="275" t="s">
        <v>216</v>
      </c>
      <c r="E2046" s="275">
        <v>41553.443726851852</v>
      </c>
      <c r="F2046" s="276">
        <v>5</v>
      </c>
      <c r="G2046" s="243">
        <f t="shared" si="32"/>
        <v>106</v>
      </c>
      <c r="H2046" s="244"/>
      <c r="I2046" s="71" t="e">
        <f>IF(COUNTIF((rName rData),H2046),"","Name Error!")</f>
        <v>#NAME?</v>
      </c>
    </row>
    <row r="2047" spans="2:9" s="126" customFormat="1" ht="15" customHeight="1" x14ac:dyDescent="0.25">
      <c r="B2047" s="271" t="s">
        <v>352</v>
      </c>
      <c r="C2047" s="272" t="s">
        <v>351</v>
      </c>
      <c r="D2047" s="275" t="s">
        <v>216</v>
      </c>
      <c r="E2047" s="275">
        <v>41553.451886574076</v>
      </c>
      <c r="F2047" s="276">
        <v>6</v>
      </c>
      <c r="G2047" s="243">
        <f t="shared" si="32"/>
        <v>106</v>
      </c>
      <c r="H2047" s="244"/>
      <c r="I2047" s="71" t="e">
        <f>IF(COUNTIF((rName rData),H2047),"","Name Error!")</f>
        <v>#NAME?</v>
      </c>
    </row>
    <row r="2048" spans="2:9" s="126" customFormat="1" ht="15" customHeight="1" x14ac:dyDescent="0.25">
      <c r="B2048" s="271" t="s">
        <v>371</v>
      </c>
      <c r="C2048" s="272" t="s">
        <v>370</v>
      </c>
      <c r="D2048" s="275" t="s">
        <v>216</v>
      </c>
      <c r="E2048" s="275">
        <v>41553.469247685185</v>
      </c>
      <c r="F2048" s="276">
        <v>5</v>
      </c>
      <c r="G2048" s="243">
        <f t="shared" si="32"/>
        <v>106</v>
      </c>
      <c r="H2048" s="244"/>
      <c r="I2048" s="71" t="e">
        <f>IF(COUNTIF((rName rData),H2048),"","Name Error!")</f>
        <v>#NAME?</v>
      </c>
    </row>
    <row r="2049" spans="2:9" s="126" customFormat="1" ht="15" customHeight="1" x14ac:dyDescent="0.25">
      <c r="B2049" s="271" t="s">
        <v>341</v>
      </c>
      <c r="C2049" s="272" t="s">
        <v>340</v>
      </c>
      <c r="D2049" s="275" t="s">
        <v>216</v>
      </c>
      <c r="E2049" s="275">
        <v>41553.470416666663</v>
      </c>
      <c r="F2049" s="276">
        <v>1</v>
      </c>
      <c r="G2049" s="243">
        <f t="shared" si="32"/>
        <v>106</v>
      </c>
      <c r="H2049" s="244"/>
      <c r="I2049" s="71" t="e">
        <f>IF(COUNTIF((rName rData),H2049),"","Name Error!")</f>
        <v>#NAME?</v>
      </c>
    </row>
    <row r="2050" spans="2:9" s="126" customFormat="1" ht="15" customHeight="1" x14ac:dyDescent="0.25">
      <c r="B2050" s="271" t="s">
        <v>335</v>
      </c>
      <c r="C2050" s="272" t="s">
        <v>334</v>
      </c>
      <c r="D2050" s="275" t="s">
        <v>216</v>
      </c>
      <c r="E2050" s="275">
        <v>41553.475960648146</v>
      </c>
      <c r="F2050" s="276">
        <v>3</v>
      </c>
      <c r="G2050" s="243">
        <f t="shared" si="32"/>
        <v>106</v>
      </c>
      <c r="H2050" s="244"/>
      <c r="I2050" s="71" t="e">
        <f>IF(COUNTIF((rName rData),H2050),"","Name Error!")</f>
        <v>#NAME?</v>
      </c>
    </row>
    <row r="2051" spans="2:9" s="126" customFormat="1" ht="15" customHeight="1" x14ac:dyDescent="0.25">
      <c r="B2051" s="271" t="s">
        <v>354</v>
      </c>
      <c r="C2051" s="272" t="s">
        <v>353</v>
      </c>
      <c r="D2051" s="275" t="s">
        <v>216</v>
      </c>
      <c r="E2051" s="275">
        <v>41553.496655092589</v>
      </c>
      <c r="F2051" s="276">
        <v>2</v>
      </c>
      <c r="G2051" s="243">
        <f t="shared" si="32"/>
        <v>106</v>
      </c>
      <c r="H2051" s="244"/>
      <c r="I2051" s="71" t="e">
        <f>IF(COUNTIF((rName rData),H2051),"","Name Error!")</f>
        <v>#NAME?</v>
      </c>
    </row>
    <row r="2052" spans="2:9" s="126" customFormat="1" ht="15" customHeight="1" x14ac:dyDescent="0.25">
      <c r="B2052" s="271" t="s">
        <v>320</v>
      </c>
      <c r="C2052" s="272" t="s">
        <v>319</v>
      </c>
      <c r="D2052" s="275" t="s">
        <v>216</v>
      </c>
      <c r="E2052" s="275">
        <v>41553.543576388889</v>
      </c>
      <c r="F2052" s="276">
        <v>3</v>
      </c>
      <c r="G2052" s="243">
        <f t="shared" si="32"/>
        <v>106</v>
      </c>
      <c r="H2052" s="244"/>
      <c r="I2052" s="71" t="e">
        <f>IF(COUNTIF((rName rData),H2052),"","Name Error!")</f>
        <v>#NAME?</v>
      </c>
    </row>
    <row r="2053" spans="2:9" s="126" customFormat="1" ht="15" customHeight="1" x14ac:dyDescent="0.25">
      <c r="B2053" s="271" t="s">
        <v>365</v>
      </c>
      <c r="C2053" s="272" t="s">
        <v>364</v>
      </c>
      <c r="D2053" s="275" t="s">
        <v>216</v>
      </c>
      <c r="E2053" s="275">
        <v>41553.549988425926</v>
      </c>
      <c r="F2053" s="276">
        <v>4</v>
      </c>
      <c r="G2053" s="243">
        <f t="shared" si="32"/>
        <v>106</v>
      </c>
      <c r="H2053" s="244"/>
      <c r="I2053" s="71" t="e">
        <f>IF(COUNTIF((rName rData),H2053),"","Name Error!")</f>
        <v>#NAME?</v>
      </c>
    </row>
    <row r="2054" spans="2:9" s="126" customFormat="1" ht="15" customHeight="1" x14ac:dyDescent="0.25">
      <c r="B2054" s="271" t="s">
        <v>324</v>
      </c>
      <c r="C2054" s="272" t="s">
        <v>323</v>
      </c>
      <c r="D2054" s="275" t="s">
        <v>216</v>
      </c>
      <c r="E2054" s="275">
        <v>41553.59988425926</v>
      </c>
      <c r="F2054" s="276">
        <v>1</v>
      </c>
      <c r="G2054" s="243">
        <f t="shared" si="32"/>
        <v>106</v>
      </c>
      <c r="H2054" s="244"/>
      <c r="I2054" s="71" t="e">
        <f>IF(COUNTIF((rName rData),H2054),"","Name Error!")</f>
        <v>#NAME?</v>
      </c>
    </row>
    <row r="2055" spans="2:9" s="126" customFormat="1" ht="15" customHeight="1" x14ac:dyDescent="0.25">
      <c r="B2055" s="271" t="s">
        <v>367</v>
      </c>
      <c r="C2055" s="272" t="s">
        <v>366</v>
      </c>
      <c r="D2055" s="275" t="s">
        <v>216</v>
      </c>
      <c r="E2055" s="275">
        <v>41553.607662037037</v>
      </c>
      <c r="F2055" s="276">
        <v>4</v>
      </c>
      <c r="G2055" s="243">
        <f t="shared" si="32"/>
        <v>106</v>
      </c>
      <c r="H2055" s="244"/>
      <c r="I2055" s="71" t="e">
        <f>IF(COUNTIF((rName rData),H2055),"","Name Error!")</f>
        <v>#NAME?</v>
      </c>
    </row>
    <row r="2056" spans="2:9" s="126" customFormat="1" ht="15" customHeight="1" x14ac:dyDescent="0.25">
      <c r="B2056" s="271" t="s">
        <v>322</v>
      </c>
      <c r="C2056" s="272" t="s">
        <v>321</v>
      </c>
      <c r="D2056" s="275" t="s">
        <v>216</v>
      </c>
      <c r="E2056" s="275">
        <v>41553.721435185187</v>
      </c>
      <c r="F2056" s="276">
        <v>1</v>
      </c>
      <c r="G2056" s="243">
        <f t="shared" si="32"/>
        <v>106</v>
      </c>
      <c r="H2056" s="244"/>
      <c r="I2056" s="71" t="e">
        <f>IF(COUNTIF((rName rData),H2056),"","Name Error!")</f>
        <v>#NAME?</v>
      </c>
    </row>
    <row r="2057" spans="2:9" s="126" customFormat="1" ht="15" customHeight="1" x14ac:dyDescent="0.25">
      <c r="B2057" s="271" t="s">
        <v>350</v>
      </c>
      <c r="C2057" s="272" t="s">
        <v>349</v>
      </c>
      <c r="D2057" s="275" t="s">
        <v>216</v>
      </c>
      <c r="E2057" s="275">
        <v>41553.73065972222</v>
      </c>
      <c r="F2057" s="276">
        <v>1</v>
      </c>
      <c r="G2057" s="243">
        <f t="shared" si="32"/>
        <v>106</v>
      </c>
      <c r="H2057" s="244"/>
      <c r="I2057" s="71" t="e">
        <f>IF(COUNTIF((rName rData),H2057),"","Name Error!")</f>
        <v>#NAME?</v>
      </c>
    </row>
    <row r="2058" spans="2:9" s="126" customFormat="1" ht="15" customHeight="1" x14ac:dyDescent="0.25">
      <c r="B2058" s="271" t="s">
        <v>279</v>
      </c>
      <c r="C2058" s="272" t="s">
        <v>280</v>
      </c>
      <c r="D2058" s="275" t="s">
        <v>216</v>
      </c>
      <c r="E2058" s="275">
        <v>41553.760138888887</v>
      </c>
      <c r="F2058" s="276">
        <v>2</v>
      </c>
      <c r="G2058" s="243">
        <f t="shared" ref="G2058:G2121" si="33">TRUNC((E2058-start)/7)+1</f>
        <v>106</v>
      </c>
      <c r="H2058" s="244"/>
      <c r="I2058" s="71" t="e">
        <f>IF(COUNTIF((rName rData),H2058),"","Name Error!")</f>
        <v>#NAME?</v>
      </c>
    </row>
    <row r="2059" spans="2:9" s="126" customFormat="1" ht="15" customHeight="1" x14ac:dyDescent="0.25">
      <c r="B2059" s="271" t="s">
        <v>328</v>
      </c>
      <c r="C2059" s="272" t="s">
        <v>327</v>
      </c>
      <c r="D2059" s="275" t="s">
        <v>216</v>
      </c>
      <c r="E2059" s="275">
        <v>41553.847766203704</v>
      </c>
      <c r="F2059" s="276">
        <v>1</v>
      </c>
      <c r="G2059" s="243">
        <f t="shared" si="33"/>
        <v>106</v>
      </c>
      <c r="H2059" s="244"/>
      <c r="I2059" s="71" t="e">
        <f>IF(COUNTIF((rName rData),H2059),"","Name Error!")</f>
        <v>#NAME?</v>
      </c>
    </row>
    <row r="2060" spans="2:9" s="126" customFormat="1" ht="15" customHeight="1" x14ac:dyDescent="0.25">
      <c r="B2060" s="271" t="s">
        <v>345</v>
      </c>
      <c r="C2060" s="272" t="s">
        <v>344</v>
      </c>
      <c r="D2060" s="275" t="s">
        <v>216</v>
      </c>
      <c r="E2060" s="275">
        <v>41553.864699074074</v>
      </c>
      <c r="F2060" s="276">
        <v>1</v>
      </c>
      <c r="G2060" s="243">
        <f t="shared" si="33"/>
        <v>106</v>
      </c>
      <c r="H2060" s="244"/>
      <c r="I2060" s="71" t="e">
        <f>IF(COUNTIF((rName rData),H2060),"","Name Error!")</f>
        <v>#NAME?</v>
      </c>
    </row>
    <row r="2061" spans="2:9" s="126" customFormat="1" ht="15" customHeight="1" x14ac:dyDescent="0.25">
      <c r="B2061" s="271" t="s">
        <v>358</v>
      </c>
      <c r="C2061" s="272" t="s">
        <v>357</v>
      </c>
      <c r="D2061" s="275" t="s">
        <v>216</v>
      </c>
      <c r="E2061" s="275">
        <v>41553.868587962963</v>
      </c>
      <c r="F2061" s="276">
        <v>1</v>
      </c>
      <c r="G2061" s="243">
        <f t="shared" si="33"/>
        <v>106</v>
      </c>
      <c r="H2061" s="244"/>
      <c r="I2061" s="71" t="e">
        <f>IF(COUNTIF((rName rData),H2061),"","Name Error!")</f>
        <v>#NAME?</v>
      </c>
    </row>
    <row r="2062" spans="2:9" s="126" customFormat="1" ht="15" customHeight="1" x14ac:dyDescent="0.25">
      <c r="B2062" s="271" t="s">
        <v>341</v>
      </c>
      <c r="C2062" s="272" t="s">
        <v>340</v>
      </c>
      <c r="D2062" s="275" t="s">
        <v>216</v>
      </c>
      <c r="E2062" s="275">
        <v>41554.001620370371</v>
      </c>
      <c r="F2062" s="276">
        <v>2</v>
      </c>
      <c r="G2062" s="243">
        <f t="shared" si="33"/>
        <v>106</v>
      </c>
      <c r="H2062" s="244"/>
      <c r="I2062" s="71" t="e">
        <f>IF(COUNTIF((rName rData),H2062),"","Name Error!")</f>
        <v>#NAME?</v>
      </c>
    </row>
    <row r="2063" spans="2:9" s="126" customFormat="1" ht="15" customHeight="1" x14ac:dyDescent="0.25">
      <c r="B2063" s="271" t="s">
        <v>371</v>
      </c>
      <c r="C2063" s="272" t="s">
        <v>370</v>
      </c>
      <c r="D2063" s="275" t="s">
        <v>216</v>
      </c>
      <c r="E2063" s="275">
        <v>41554.254618055558</v>
      </c>
      <c r="F2063" s="276">
        <v>1</v>
      </c>
      <c r="G2063" s="243">
        <f t="shared" si="33"/>
        <v>106</v>
      </c>
      <c r="H2063" s="244"/>
      <c r="I2063" s="71" t="e">
        <f>IF(COUNTIF((rName rData),H2063),"","Name Error!")</f>
        <v>#NAME?</v>
      </c>
    </row>
    <row r="2064" spans="2:9" s="126" customFormat="1" ht="15" customHeight="1" x14ac:dyDescent="0.25">
      <c r="B2064" s="271" t="s">
        <v>352</v>
      </c>
      <c r="C2064" s="272" t="s">
        <v>351</v>
      </c>
      <c r="D2064" s="275" t="s">
        <v>216</v>
      </c>
      <c r="E2064" s="275">
        <v>41554.254976851851</v>
      </c>
      <c r="F2064" s="276">
        <v>3</v>
      </c>
      <c r="G2064" s="243">
        <f t="shared" si="33"/>
        <v>106</v>
      </c>
      <c r="H2064" s="244"/>
      <c r="I2064" s="71" t="e">
        <f>IF(COUNTIF((rName rData),H2064),"","Name Error!")</f>
        <v>#NAME?</v>
      </c>
    </row>
    <row r="2065" spans="2:9" s="126" customFormat="1" ht="15" customHeight="1" x14ac:dyDescent="0.25">
      <c r="B2065" s="271" t="s">
        <v>335</v>
      </c>
      <c r="C2065" s="272" t="s">
        <v>334</v>
      </c>
      <c r="D2065" s="275" t="s">
        <v>216</v>
      </c>
      <c r="E2065" s="275">
        <v>41554.283402777779</v>
      </c>
      <c r="F2065" s="276">
        <v>2</v>
      </c>
      <c r="G2065" s="243">
        <f t="shared" si="33"/>
        <v>106</v>
      </c>
      <c r="H2065" s="244"/>
      <c r="I2065" s="71" t="e">
        <f>IF(COUNTIF((rName rData),H2065),"","Name Error!")</f>
        <v>#NAME?</v>
      </c>
    </row>
    <row r="2066" spans="2:9" s="126" customFormat="1" ht="15" customHeight="1" x14ac:dyDescent="0.25">
      <c r="B2066" s="271" t="s">
        <v>365</v>
      </c>
      <c r="C2066" s="272" t="s">
        <v>364</v>
      </c>
      <c r="D2066" s="275" t="s">
        <v>216</v>
      </c>
      <c r="E2066" s="275">
        <v>41554.302083333336</v>
      </c>
      <c r="F2066" s="276">
        <v>1</v>
      </c>
      <c r="G2066" s="243">
        <f t="shared" si="33"/>
        <v>106</v>
      </c>
      <c r="H2066" s="244"/>
      <c r="I2066" s="71" t="e">
        <f>IF(COUNTIF((rName rData),H2066),"","Name Error!")</f>
        <v>#NAME?</v>
      </c>
    </row>
    <row r="2067" spans="2:9" s="126" customFormat="1" ht="15" customHeight="1" x14ac:dyDescent="0.25">
      <c r="B2067" s="271" t="s">
        <v>345</v>
      </c>
      <c r="C2067" s="272" t="s">
        <v>344</v>
      </c>
      <c r="D2067" s="275" t="s">
        <v>216</v>
      </c>
      <c r="E2067" s="275">
        <v>41554.391724537039</v>
      </c>
      <c r="F2067" s="276">
        <v>3</v>
      </c>
      <c r="G2067" s="243">
        <f t="shared" si="33"/>
        <v>106</v>
      </c>
      <c r="H2067" s="244"/>
      <c r="I2067" s="71" t="e">
        <f>IF(COUNTIF((rName rData),H2067),"","Name Error!")</f>
        <v>#NAME?</v>
      </c>
    </row>
    <row r="2068" spans="2:9" s="126" customFormat="1" ht="15" customHeight="1" x14ac:dyDescent="0.25">
      <c r="B2068" s="271" t="s">
        <v>328</v>
      </c>
      <c r="C2068" s="272" t="s">
        <v>327</v>
      </c>
      <c r="D2068" s="275" t="s">
        <v>216</v>
      </c>
      <c r="E2068" s="275">
        <v>41554.408171296294</v>
      </c>
      <c r="F2068" s="276">
        <v>2</v>
      </c>
      <c r="G2068" s="243">
        <f t="shared" si="33"/>
        <v>106</v>
      </c>
      <c r="H2068" s="244"/>
      <c r="I2068" s="71" t="e">
        <f>IF(COUNTIF((rName rData),H2068),"","Name Error!")</f>
        <v>#NAME?</v>
      </c>
    </row>
    <row r="2069" spans="2:9" s="126" customFormat="1" ht="15" customHeight="1" x14ac:dyDescent="0.25">
      <c r="B2069" s="271" t="s">
        <v>358</v>
      </c>
      <c r="C2069" s="272" t="s">
        <v>357</v>
      </c>
      <c r="D2069" s="275" t="s">
        <v>216</v>
      </c>
      <c r="E2069" s="275">
        <v>41554.414293981485</v>
      </c>
      <c r="F2069" s="276">
        <v>1</v>
      </c>
      <c r="G2069" s="243">
        <f t="shared" si="33"/>
        <v>106</v>
      </c>
      <c r="H2069" s="244"/>
      <c r="I2069" s="71" t="e">
        <f>IF(COUNTIF((rName rData),H2069),"","Name Error!")</f>
        <v>#NAME?</v>
      </c>
    </row>
    <row r="2070" spans="2:9" s="126" customFormat="1" ht="15" customHeight="1" x14ac:dyDescent="0.25">
      <c r="B2070" s="271" t="s">
        <v>339</v>
      </c>
      <c r="C2070" s="272" t="s">
        <v>338</v>
      </c>
      <c r="D2070" s="275" t="s">
        <v>216</v>
      </c>
      <c r="E2070" s="275">
        <v>41554.475960648146</v>
      </c>
      <c r="F2070" s="276">
        <v>2</v>
      </c>
      <c r="G2070" s="243">
        <f t="shared" si="33"/>
        <v>106</v>
      </c>
      <c r="H2070" s="244"/>
      <c r="I2070" s="71" t="e">
        <f>IF(COUNTIF((rName rData),H2070),"","Name Error!")</f>
        <v>#NAME?</v>
      </c>
    </row>
    <row r="2071" spans="2:9" s="126" customFormat="1" ht="15" customHeight="1" x14ac:dyDescent="0.25">
      <c r="B2071" s="271" t="s">
        <v>320</v>
      </c>
      <c r="C2071" s="272" t="s">
        <v>319</v>
      </c>
      <c r="D2071" s="275" t="s">
        <v>216</v>
      </c>
      <c r="E2071" s="275">
        <v>41554.508969907409</v>
      </c>
      <c r="F2071" s="276">
        <v>1</v>
      </c>
      <c r="G2071" s="243">
        <f t="shared" si="33"/>
        <v>106</v>
      </c>
      <c r="H2071" s="244"/>
      <c r="I2071" s="71" t="e">
        <f>IF(COUNTIF((rName rData),H2071),"","Name Error!")</f>
        <v>#NAME?</v>
      </c>
    </row>
    <row r="2072" spans="2:9" s="126" customFormat="1" ht="15" customHeight="1" x14ac:dyDescent="0.25">
      <c r="B2072" s="271" t="s">
        <v>350</v>
      </c>
      <c r="C2072" s="272" t="s">
        <v>349</v>
      </c>
      <c r="D2072" s="275" t="s">
        <v>216</v>
      </c>
      <c r="E2072" s="275">
        <v>41554.536076388889</v>
      </c>
      <c r="F2072" s="276">
        <v>1</v>
      </c>
      <c r="G2072" s="243">
        <f t="shared" si="33"/>
        <v>106</v>
      </c>
      <c r="H2072" s="244"/>
      <c r="I2072" s="71" t="e">
        <f>IF(COUNTIF((rName rData),H2072),"","Name Error!")</f>
        <v>#NAME?</v>
      </c>
    </row>
    <row r="2073" spans="2:9" s="126" customFormat="1" ht="15" customHeight="1" x14ac:dyDescent="0.25">
      <c r="B2073" s="271" t="s">
        <v>322</v>
      </c>
      <c r="C2073" s="272" t="s">
        <v>321</v>
      </c>
      <c r="D2073" s="275" t="s">
        <v>216</v>
      </c>
      <c r="E2073" s="275">
        <v>41554.545925925922</v>
      </c>
      <c r="F2073" s="276">
        <v>7</v>
      </c>
      <c r="G2073" s="243">
        <f t="shared" si="33"/>
        <v>106</v>
      </c>
      <c r="H2073" s="244"/>
      <c r="I2073" s="71" t="e">
        <f>IF(COUNTIF((rName rData),H2073),"","Name Error!")</f>
        <v>#NAME?</v>
      </c>
    </row>
    <row r="2074" spans="2:9" s="126" customFormat="1" ht="15" customHeight="1" x14ac:dyDescent="0.25">
      <c r="B2074" s="271" t="s">
        <v>331</v>
      </c>
      <c r="C2074" s="272" t="s">
        <v>330</v>
      </c>
      <c r="D2074" s="275" t="s">
        <v>216</v>
      </c>
      <c r="E2074" s="275">
        <v>41554.581134259257</v>
      </c>
      <c r="F2074" s="276">
        <v>2</v>
      </c>
      <c r="G2074" s="243">
        <f t="shared" si="33"/>
        <v>106</v>
      </c>
      <c r="H2074" s="244"/>
      <c r="I2074" s="71" t="e">
        <f>IF(COUNTIF((rName rData),H2074),"","Name Error!")</f>
        <v>#NAME?</v>
      </c>
    </row>
    <row r="2075" spans="2:9" s="126" customFormat="1" ht="15" customHeight="1" x14ac:dyDescent="0.25">
      <c r="B2075" s="271" t="s">
        <v>267</v>
      </c>
      <c r="C2075" s="272" t="s">
        <v>268</v>
      </c>
      <c r="D2075" s="275" t="s">
        <v>216</v>
      </c>
      <c r="E2075" s="275">
        <v>41554.915462962963</v>
      </c>
      <c r="F2075" s="276">
        <v>1</v>
      </c>
      <c r="G2075" s="243">
        <f t="shared" si="33"/>
        <v>106</v>
      </c>
      <c r="H2075" s="244"/>
      <c r="I2075" s="71" t="e">
        <f>IF(COUNTIF((rName rData),H2075),"","Name Error!")</f>
        <v>#NAME?</v>
      </c>
    </row>
    <row r="2076" spans="2:9" s="126" customFormat="1" ht="15" customHeight="1" x14ac:dyDescent="0.25">
      <c r="B2076" s="271" t="s">
        <v>267</v>
      </c>
      <c r="C2076" s="272" t="s">
        <v>268</v>
      </c>
      <c r="D2076" s="275" t="s">
        <v>216</v>
      </c>
      <c r="E2076" s="275">
        <v>41555.662592592591</v>
      </c>
      <c r="F2076" s="276">
        <v>3</v>
      </c>
      <c r="G2076" s="243">
        <f t="shared" si="33"/>
        <v>106</v>
      </c>
      <c r="H2076" s="244"/>
      <c r="I2076" s="71" t="e">
        <f>IF(COUNTIF((rName rData),H2076),"","Name Error!")</f>
        <v>#NAME?</v>
      </c>
    </row>
    <row r="2077" spans="2:9" s="126" customFormat="1" ht="15" customHeight="1" x14ac:dyDescent="0.25">
      <c r="B2077" s="271" t="s">
        <v>358</v>
      </c>
      <c r="C2077" s="272" t="s">
        <v>357</v>
      </c>
      <c r="D2077" s="275" t="s">
        <v>216</v>
      </c>
      <c r="E2077" s="275">
        <v>41556.589965277781</v>
      </c>
      <c r="F2077" s="276">
        <v>3</v>
      </c>
      <c r="G2077" s="243">
        <f t="shared" si="33"/>
        <v>106</v>
      </c>
      <c r="H2077" s="244"/>
      <c r="I2077" s="71" t="e">
        <f>IF(COUNTIF((rName rData),H2077),"","Name Error!")</f>
        <v>#NAME?</v>
      </c>
    </row>
    <row r="2078" spans="2:9" s="126" customFormat="1" ht="15" customHeight="1" x14ac:dyDescent="0.25">
      <c r="B2078" s="271" t="s">
        <v>267</v>
      </c>
      <c r="C2078" s="272" t="s">
        <v>268</v>
      </c>
      <c r="D2078" s="275" t="s">
        <v>216</v>
      </c>
      <c r="E2078" s="275">
        <v>41556.775891203702</v>
      </c>
      <c r="F2078" s="276">
        <v>1</v>
      </c>
      <c r="G2078" s="243">
        <f t="shared" si="33"/>
        <v>106</v>
      </c>
      <c r="H2078" s="244"/>
      <c r="I2078" s="71" t="e">
        <f>IF(COUNTIF((rName rData),H2078),"","Name Error!")</f>
        <v>#NAME?</v>
      </c>
    </row>
    <row r="2079" spans="2:9" s="126" customFormat="1" ht="15" customHeight="1" x14ac:dyDescent="0.25">
      <c r="B2079" s="271" t="s">
        <v>341</v>
      </c>
      <c r="C2079" s="272" t="s">
        <v>340</v>
      </c>
      <c r="D2079" s="275" t="s">
        <v>216</v>
      </c>
      <c r="E2079" s="275">
        <v>41556.799490740741</v>
      </c>
      <c r="F2079" s="276">
        <v>1</v>
      </c>
      <c r="G2079" s="243">
        <f t="shared" si="33"/>
        <v>106</v>
      </c>
      <c r="H2079" s="244"/>
      <c r="I2079" s="71" t="e">
        <f>IF(COUNTIF((rName rData),H2079),"","Name Error!")</f>
        <v>#NAME?</v>
      </c>
    </row>
    <row r="2080" spans="2:9" s="126" customFormat="1" ht="15" customHeight="1" x14ac:dyDescent="0.25">
      <c r="B2080" s="271" t="s">
        <v>279</v>
      </c>
      <c r="C2080" s="272" t="s">
        <v>280</v>
      </c>
      <c r="D2080" s="275" t="s">
        <v>216</v>
      </c>
      <c r="E2080" s="275">
        <v>41556.887326388889</v>
      </c>
      <c r="F2080" s="276">
        <v>1</v>
      </c>
      <c r="G2080" s="243">
        <f t="shared" si="33"/>
        <v>106</v>
      </c>
      <c r="H2080" s="244"/>
      <c r="I2080" s="71" t="e">
        <f>IF(COUNTIF((rName rData),H2080),"","Name Error!")</f>
        <v>#NAME?</v>
      </c>
    </row>
    <row r="2081" spans="2:9" s="126" customFormat="1" ht="15" customHeight="1" x14ac:dyDescent="0.25">
      <c r="B2081" s="271" t="s">
        <v>322</v>
      </c>
      <c r="C2081" s="272" t="s">
        <v>321</v>
      </c>
      <c r="D2081" s="275" t="s">
        <v>216</v>
      </c>
      <c r="E2081" s="275">
        <v>41556.91505787037</v>
      </c>
      <c r="F2081" s="276">
        <v>1</v>
      </c>
      <c r="G2081" s="243">
        <f t="shared" si="33"/>
        <v>106</v>
      </c>
      <c r="H2081" s="244"/>
      <c r="I2081" s="71" t="e">
        <f>IF(COUNTIF((rName rData),H2081),"","Name Error!")</f>
        <v>#NAME?</v>
      </c>
    </row>
    <row r="2082" spans="2:9" s="126" customFormat="1" ht="15" customHeight="1" x14ac:dyDescent="0.25">
      <c r="B2082" s="271" t="s">
        <v>267</v>
      </c>
      <c r="C2082" s="272" t="s">
        <v>268</v>
      </c>
      <c r="D2082" s="275" t="s">
        <v>216</v>
      </c>
      <c r="E2082" s="275">
        <v>41557.281678240739</v>
      </c>
      <c r="F2082" s="276">
        <v>3</v>
      </c>
      <c r="G2082" s="243">
        <f t="shared" si="33"/>
        <v>106</v>
      </c>
      <c r="H2082" s="244"/>
      <c r="I2082" s="71" t="e">
        <f>IF(COUNTIF((rName rData),H2082),"","Name Error!")</f>
        <v>#NAME?</v>
      </c>
    </row>
    <row r="2083" spans="2:9" s="126" customFormat="1" ht="15" customHeight="1" x14ac:dyDescent="0.25">
      <c r="B2083" s="271" t="s">
        <v>322</v>
      </c>
      <c r="C2083" s="272" t="s">
        <v>321</v>
      </c>
      <c r="D2083" s="275" t="s">
        <v>216</v>
      </c>
      <c r="E2083" s="275">
        <v>41557.944421296299</v>
      </c>
      <c r="F2083" s="276">
        <v>3</v>
      </c>
      <c r="G2083" s="243">
        <f t="shared" si="33"/>
        <v>106</v>
      </c>
      <c r="H2083" s="244"/>
      <c r="I2083" s="71" t="e">
        <f>IF(COUNTIF((rName rData),H2083),"","Name Error!")</f>
        <v>#NAME?</v>
      </c>
    </row>
    <row r="2084" spans="2:9" s="126" customFormat="1" ht="15" customHeight="1" x14ac:dyDescent="0.25">
      <c r="B2084" s="271" t="s">
        <v>267</v>
      </c>
      <c r="C2084" s="272" t="s">
        <v>268</v>
      </c>
      <c r="D2084" s="275" t="s">
        <v>216</v>
      </c>
      <c r="E2084" s="275">
        <v>41558.306481481479</v>
      </c>
      <c r="F2084" s="276">
        <v>4</v>
      </c>
      <c r="G2084" s="243">
        <f t="shared" si="33"/>
        <v>106</v>
      </c>
      <c r="H2084" s="244"/>
      <c r="I2084" s="71" t="e">
        <f>IF(COUNTIF((rName rData),H2084),"","Name Error!")</f>
        <v>#NAME?</v>
      </c>
    </row>
    <row r="2085" spans="2:9" s="126" customFormat="1" ht="15" customHeight="1" x14ac:dyDescent="0.25">
      <c r="B2085" s="271" t="s">
        <v>324</v>
      </c>
      <c r="C2085" s="272" t="s">
        <v>323</v>
      </c>
      <c r="D2085" s="275" t="s">
        <v>216</v>
      </c>
      <c r="E2085" s="275">
        <v>41558.898831018516</v>
      </c>
      <c r="F2085" s="276">
        <v>1</v>
      </c>
      <c r="G2085" s="243">
        <f t="shared" si="33"/>
        <v>106</v>
      </c>
      <c r="H2085" s="244"/>
      <c r="I2085" s="71" t="e">
        <f>IF(COUNTIF((rName rData),H2085),"","Name Error!")</f>
        <v>#NAME?</v>
      </c>
    </row>
    <row r="2086" spans="2:9" s="126" customFormat="1" ht="15" customHeight="1" x14ac:dyDescent="0.25">
      <c r="B2086" s="271" t="s">
        <v>337</v>
      </c>
      <c r="C2086" s="272" t="s">
        <v>336</v>
      </c>
      <c r="D2086" s="275" t="s">
        <v>216</v>
      </c>
      <c r="E2086" s="275">
        <v>41558.927187499998</v>
      </c>
      <c r="F2086" s="276">
        <v>1</v>
      </c>
      <c r="G2086" s="243">
        <f t="shared" si="33"/>
        <v>106</v>
      </c>
      <c r="H2086" s="244"/>
      <c r="I2086" s="71" t="e">
        <f>IF(COUNTIF((rName rData),H2086),"","Name Error!")</f>
        <v>#NAME?</v>
      </c>
    </row>
    <row r="2087" spans="2:9" s="126" customFormat="1" ht="15" customHeight="1" x14ac:dyDescent="0.25">
      <c r="B2087" s="271" t="s">
        <v>331</v>
      </c>
      <c r="C2087" s="272" t="s">
        <v>330</v>
      </c>
      <c r="D2087" s="275" t="s">
        <v>216</v>
      </c>
      <c r="E2087" s="275">
        <v>41559.030046296299</v>
      </c>
      <c r="F2087" s="276">
        <v>3</v>
      </c>
      <c r="G2087" s="243">
        <f t="shared" si="33"/>
        <v>107</v>
      </c>
      <c r="H2087" s="244"/>
      <c r="I2087" s="71" t="e">
        <f>IF(COUNTIF((rName rData),H2087),"","Name Error!")</f>
        <v>#NAME?</v>
      </c>
    </row>
    <row r="2088" spans="2:9" s="126" customFormat="1" ht="15" customHeight="1" x14ac:dyDescent="0.25">
      <c r="B2088" s="271" t="s">
        <v>324</v>
      </c>
      <c r="C2088" s="272" t="s">
        <v>323</v>
      </c>
      <c r="D2088" s="275" t="s">
        <v>216</v>
      </c>
      <c r="E2088" s="275">
        <v>41559.108437499999</v>
      </c>
      <c r="F2088" s="276">
        <v>3</v>
      </c>
      <c r="G2088" s="243">
        <f t="shared" si="33"/>
        <v>107</v>
      </c>
      <c r="H2088" s="244"/>
      <c r="I2088" s="71" t="e">
        <f>IF(COUNTIF((rName rData),H2088),"","Name Error!")</f>
        <v>#NAME?</v>
      </c>
    </row>
    <row r="2089" spans="2:9" s="126" customFormat="1" ht="15" customHeight="1" x14ac:dyDescent="0.25">
      <c r="B2089" s="271" t="s">
        <v>322</v>
      </c>
      <c r="C2089" s="272" t="s">
        <v>321</v>
      </c>
      <c r="D2089" s="275" t="s">
        <v>216</v>
      </c>
      <c r="E2089" s="275">
        <v>41559.446377314816</v>
      </c>
      <c r="F2089" s="276">
        <v>7</v>
      </c>
      <c r="G2089" s="243">
        <f t="shared" si="33"/>
        <v>107</v>
      </c>
      <c r="H2089" s="244"/>
      <c r="I2089" s="71" t="e">
        <f>IF(COUNTIF((rName rData),H2089),"","Name Error!")</f>
        <v>#NAME?</v>
      </c>
    </row>
    <row r="2090" spans="2:9" s="126" customFormat="1" ht="15" customHeight="1" x14ac:dyDescent="0.25">
      <c r="B2090" s="271" t="s">
        <v>371</v>
      </c>
      <c r="C2090" s="272" t="s">
        <v>370</v>
      </c>
      <c r="D2090" s="275" t="s">
        <v>216</v>
      </c>
      <c r="E2090" s="275">
        <v>41559.463391203702</v>
      </c>
      <c r="F2090" s="276">
        <v>1</v>
      </c>
      <c r="G2090" s="243">
        <f t="shared" si="33"/>
        <v>107</v>
      </c>
      <c r="H2090" s="244"/>
      <c r="I2090" s="71" t="e">
        <f>IF(COUNTIF((rName rData),H2090),"","Name Error!")</f>
        <v>#NAME?</v>
      </c>
    </row>
    <row r="2091" spans="2:9" s="126" customFormat="1" ht="15" customHeight="1" x14ac:dyDescent="0.25">
      <c r="B2091" s="271" t="s">
        <v>362</v>
      </c>
      <c r="C2091" s="272" t="s">
        <v>361</v>
      </c>
      <c r="D2091" s="275" t="s">
        <v>216</v>
      </c>
      <c r="E2091" s="275">
        <v>41559.533784722225</v>
      </c>
      <c r="F2091" s="276">
        <v>1</v>
      </c>
      <c r="G2091" s="243">
        <f t="shared" si="33"/>
        <v>107</v>
      </c>
      <c r="H2091" s="244"/>
      <c r="I2091" s="71" t="e">
        <f>IF(COUNTIF((rName rData),H2091),"","Name Error!")</f>
        <v>#NAME?</v>
      </c>
    </row>
    <row r="2092" spans="2:9" s="126" customFormat="1" ht="15" customHeight="1" x14ac:dyDescent="0.25">
      <c r="B2092" s="271" t="s">
        <v>337</v>
      </c>
      <c r="C2092" s="272" t="s">
        <v>336</v>
      </c>
      <c r="D2092" s="275" t="s">
        <v>216</v>
      </c>
      <c r="E2092" s="275">
        <v>41559.567476851851</v>
      </c>
      <c r="F2092" s="276">
        <v>1</v>
      </c>
      <c r="G2092" s="243">
        <f t="shared" si="33"/>
        <v>107</v>
      </c>
      <c r="H2092" s="244"/>
      <c r="I2092" s="71" t="e">
        <f>IF(COUNTIF((rName rData),H2092),"","Name Error!")</f>
        <v>#NAME?</v>
      </c>
    </row>
    <row r="2093" spans="2:9" s="126" customFormat="1" ht="15" customHeight="1" x14ac:dyDescent="0.25">
      <c r="B2093" s="271" t="s">
        <v>367</v>
      </c>
      <c r="C2093" s="272" t="s">
        <v>366</v>
      </c>
      <c r="D2093" s="275" t="s">
        <v>216</v>
      </c>
      <c r="E2093" s="275">
        <v>41559.816851851851</v>
      </c>
      <c r="F2093" s="276">
        <v>2</v>
      </c>
      <c r="G2093" s="243">
        <f t="shared" si="33"/>
        <v>107</v>
      </c>
      <c r="H2093" s="244"/>
      <c r="I2093" s="71" t="e">
        <f>IF(COUNTIF((rName rData),H2093),"","Name Error!")</f>
        <v>#NAME?</v>
      </c>
    </row>
    <row r="2094" spans="2:9" s="126" customFormat="1" ht="15" customHeight="1" x14ac:dyDescent="0.25">
      <c r="B2094" s="271" t="s">
        <v>267</v>
      </c>
      <c r="C2094" s="272" t="s">
        <v>268</v>
      </c>
      <c r="D2094" s="275" t="s">
        <v>216</v>
      </c>
      <c r="E2094" s="275">
        <v>41559.82130787037</v>
      </c>
      <c r="F2094" s="276">
        <v>2</v>
      </c>
      <c r="G2094" s="243">
        <f t="shared" si="33"/>
        <v>107</v>
      </c>
      <c r="H2094" s="244"/>
      <c r="I2094" s="71" t="e">
        <f>IF(COUNTIF((rName rData),H2094),"","Name Error!")</f>
        <v>#NAME?</v>
      </c>
    </row>
    <row r="2095" spans="2:9" s="126" customFormat="1" ht="15" customHeight="1" x14ac:dyDescent="0.25">
      <c r="B2095" s="271" t="s">
        <v>333</v>
      </c>
      <c r="C2095" s="272" t="s">
        <v>332</v>
      </c>
      <c r="D2095" s="275" t="s">
        <v>216</v>
      </c>
      <c r="E2095" s="275">
        <v>41559.985127314816</v>
      </c>
      <c r="F2095" s="276">
        <v>1</v>
      </c>
      <c r="G2095" s="243">
        <f t="shared" si="33"/>
        <v>107</v>
      </c>
      <c r="H2095" s="244"/>
      <c r="I2095" s="71" t="e">
        <f>IF(COUNTIF((rName rData),H2095),"","Name Error!")</f>
        <v>#NAME?</v>
      </c>
    </row>
    <row r="2096" spans="2:9" s="126" customFormat="1" ht="15" customHeight="1" x14ac:dyDescent="0.25">
      <c r="B2096" s="271" t="s">
        <v>328</v>
      </c>
      <c r="C2096" s="272" t="s">
        <v>327</v>
      </c>
      <c r="D2096" s="275" t="s">
        <v>216</v>
      </c>
      <c r="E2096" s="275">
        <v>41560.030995370369</v>
      </c>
      <c r="F2096" s="276">
        <v>1</v>
      </c>
      <c r="G2096" s="243">
        <f t="shared" si="33"/>
        <v>107</v>
      </c>
      <c r="H2096" s="244"/>
      <c r="I2096" s="71" t="e">
        <f>IF(COUNTIF((rName rData),H2096),"","Name Error!")</f>
        <v>#NAME?</v>
      </c>
    </row>
    <row r="2097" spans="2:9" s="126" customFormat="1" ht="15" customHeight="1" x14ac:dyDescent="0.25">
      <c r="B2097" s="271" t="s">
        <v>333</v>
      </c>
      <c r="C2097" s="272" t="s">
        <v>332</v>
      </c>
      <c r="D2097" s="275" t="s">
        <v>216</v>
      </c>
      <c r="E2097" s="275">
        <v>41560.123055555552</v>
      </c>
      <c r="F2097" s="276">
        <v>1</v>
      </c>
      <c r="G2097" s="243">
        <f t="shared" si="33"/>
        <v>107</v>
      </c>
      <c r="H2097" s="244"/>
      <c r="I2097" s="71" t="e">
        <f>IF(COUNTIF((rName rData),H2097),"","Name Error!")</f>
        <v>#NAME?</v>
      </c>
    </row>
    <row r="2098" spans="2:9" s="126" customFormat="1" ht="15" customHeight="1" x14ac:dyDescent="0.25">
      <c r="B2098" s="271" t="s">
        <v>362</v>
      </c>
      <c r="C2098" s="272" t="s">
        <v>361</v>
      </c>
      <c r="D2098" s="275" t="s">
        <v>216</v>
      </c>
      <c r="E2098" s="275">
        <v>41560.15552083333</v>
      </c>
      <c r="F2098" s="276">
        <v>3</v>
      </c>
      <c r="G2098" s="243">
        <f t="shared" si="33"/>
        <v>107</v>
      </c>
      <c r="H2098" s="244"/>
      <c r="I2098" s="71" t="e">
        <f>IF(COUNTIF((rName rData),H2098),"","Name Error!")</f>
        <v>#NAME?</v>
      </c>
    </row>
    <row r="2099" spans="2:9" s="126" customFormat="1" ht="15" customHeight="1" x14ac:dyDescent="0.25">
      <c r="B2099" s="271" t="s">
        <v>267</v>
      </c>
      <c r="C2099" s="272" t="s">
        <v>268</v>
      </c>
      <c r="D2099" s="275" t="s">
        <v>216</v>
      </c>
      <c r="E2099" s="275">
        <v>41560.361597222225</v>
      </c>
      <c r="F2099" s="276">
        <v>9</v>
      </c>
      <c r="G2099" s="243">
        <f t="shared" si="33"/>
        <v>107</v>
      </c>
      <c r="H2099" s="244"/>
      <c r="I2099" s="71" t="e">
        <f>IF(COUNTIF((rName rData),H2099),"","Name Error!")</f>
        <v>#NAME?</v>
      </c>
    </row>
    <row r="2100" spans="2:9" s="126" customFormat="1" ht="15" customHeight="1" x14ac:dyDescent="0.25">
      <c r="B2100" s="271" t="s">
        <v>358</v>
      </c>
      <c r="C2100" s="272" t="s">
        <v>357</v>
      </c>
      <c r="D2100" s="275" t="s">
        <v>216</v>
      </c>
      <c r="E2100" s="275">
        <v>41560.3827662037</v>
      </c>
      <c r="F2100" s="276">
        <v>2</v>
      </c>
      <c r="G2100" s="243">
        <f t="shared" si="33"/>
        <v>107</v>
      </c>
      <c r="H2100" s="244"/>
      <c r="I2100" s="71" t="e">
        <f>IF(COUNTIF((rName rData),H2100),"","Name Error!")</f>
        <v>#NAME?</v>
      </c>
    </row>
    <row r="2101" spans="2:9" s="126" customFormat="1" ht="15" customHeight="1" x14ac:dyDescent="0.25">
      <c r="B2101" s="271" t="s">
        <v>367</v>
      </c>
      <c r="C2101" s="272" t="s">
        <v>366</v>
      </c>
      <c r="D2101" s="275" t="s">
        <v>216</v>
      </c>
      <c r="E2101" s="275">
        <v>41560.57335648148</v>
      </c>
      <c r="F2101" s="276">
        <v>3</v>
      </c>
      <c r="G2101" s="243">
        <f t="shared" si="33"/>
        <v>107</v>
      </c>
      <c r="H2101" s="244"/>
      <c r="I2101" s="71" t="e">
        <f>IF(COUNTIF((rName rData),H2101),"","Name Error!")</f>
        <v>#NAME?</v>
      </c>
    </row>
    <row r="2102" spans="2:9" s="126" customFormat="1" ht="15" customHeight="1" x14ac:dyDescent="0.25">
      <c r="B2102" s="271" t="s">
        <v>337</v>
      </c>
      <c r="C2102" s="272" t="s">
        <v>336</v>
      </c>
      <c r="D2102" s="275" t="s">
        <v>216</v>
      </c>
      <c r="E2102" s="275">
        <v>41560.583032407405</v>
      </c>
      <c r="F2102" s="276">
        <v>3</v>
      </c>
      <c r="G2102" s="243">
        <f t="shared" si="33"/>
        <v>107</v>
      </c>
      <c r="H2102" s="244"/>
      <c r="I2102" s="71" t="e">
        <f>IF(COUNTIF((rName rData),H2102),"","Name Error!")</f>
        <v>#NAME?</v>
      </c>
    </row>
    <row r="2103" spans="2:9" s="126" customFormat="1" ht="15" customHeight="1" x14ac:dyDescent="0.25">
      <c r="B2103" s="271" t="s">
        <v>354</v>
      </c>
      <c r="C2103" s="272" t="s">
        <v>353</v>
      </c>
      <c r="D2103" s="275" t="s">
        <v>216</v>
      </c>
      <c r="E2103" s="275">
        <v>41560.629467592589</v>
      </c>
      <c r="F2103" s="276">
        <v>2</v>
      </c>
      <c r="G2103" s="243">
        <f t="shared" si="33"/>
        <v>107</v>
      </c>
      <c r="H2103" s="244"/>
      <c r="I2103" s="71" t="e">
        <f>IF(COUNTIF((rName rData),H2103),"","Name Error!")</f>
        <v>#NAME?</v>
      </c>
    </row>
    <row r="2104" spans="2:9" s="126" customFormat="1" ht="15" customHeight="1" x14ac:dyDescent="0.25">
      <c r="B2104" s="271" t="s">
        <v>331</v>
      </c>
      <c r="C2104" s="272" t="s">
        <v>330</v>
      </c>
      <c r="D2104" s="275" t="s">
        <v>216</v>
      </c>
      <c r="E2104" s="275">
        <v>41560.665590277778</v>
      </c>
      <c r="F2104" s="276">
        <v>4</v>
      </c>
      <c r="G2104" s="243">
        <f t="shared" si="33"/>
        <v>107</v>
      </c>
      <c r="H2104" s="244"/>
      <c r="I2104" s="71" t="e">
        <f>IF(COUNTIF((rName rData),H2104),"","Name Error!")</f>
        <v>#NAME?</v>
      </c>
    </row>
    <row r="2105" spans="2:9" s="126" customFormat="1" ht="15" customHeight="1" x14ac:dyDescent="0.25">
      <c r="B2105" s="271" t="s">
        <v>350</v>
      </c>
      <c r="C2105" s="272" t="s">
        <v>349</v>
      </c>
      <c r="D2105" s="275" t="s">
        <v>216</v>
      </c>
      <c r="E2105" s="275">
        <v>41560.690011574072</v>
      </c>
      <c r="F2105" s="276">
        <v>1</v>
      </c>
      <c r="G2105" s="243">
        <f t="shared" si="33"/>
        <v>107</v>
      </c>
      <c r="H2105" s="244"/>
      <c r="I2105" s="71" t="e">
        <f>IF(COUNTIF((rName rData),H2105),"","Name Error!")</f>
        <v>#NAME?</v>
      </c>
    </row>
    <row r="2106" spans="2:9" s="126" customFormat="1" ht="15" customHeight="1" x14ac:dyDescent="0.25">
      <c r="B2106" s="271" t="s">
        <v>324</v>
      </c>
      <c r="C2106" s="272" t="s">
        <v>323</v>
      </c>
      <c r="D2106" s="275" t="s">
        <v>216</v>
      </c>
      <c r="E2106" s="275">
        <v>41560.782592592594</v>
      </c>
      <c r="F2106" s="276">
        <v>3</v>
      </c>
      <c r="G2106" s="243">
        <f t="shared" si="33"/>
        <v>107</v>
      </c>
      <c r="H2106" s="244"/>
      <c r="I2106" s="71" t="e">
        <f>IF(COUNTIF((rName rData),H2106),"","Name Error!")</f>
        <v>#NAME?</v>
      </c>
    </row>
    <row r="2107" spans="2:9" s="126" customFormat="1" ht="15" customHeight="1" x14ac:dyDescent="0.25">
      <c r="B2107" s="271" t="s">
        <v>365</v>
      </c>
      <c r="C2107" s="272" t="s">
        <v>364</v>
      </c>
      <c r="D2107" s="275" t="s">
        <v>216</v>
      </c>
      <c r="E2107" s="275">
        <v>41560.841099537036</v>
      </c>
      <c r="F2107" s="276">
        <v>1</v>
      </c>
      <c r="G2107" s="243">
        <f t="shared" si="33"/>
        <v>107</v>
      </c>
      <c r="H2107" s="244"/>
      <c r="I2107" s="71" t="e">
        <f>IF(COUNTIF((rName rData),H2107),"","Name Error!")</f>
        <v>#NAME?</v>
      </c>
    </row>
    <row r="2108" spans="2:9" s="126" customFormat="1" ht="15" customHeight="1" x14ac:dyDescent="0.25">
      <c r="B2108" s="271" t="s">
        <v>356</v>
      </c>
      <c r="C2108" s="272" t="s">
        <v>355</v>
      </c>
      <c r="D2108" s="275" t="s">
        <v>216</v>
      </c>
      <c r="E2108" s="275">
        <v>41560.86078703704</v>
      </c>
      <c r="F2108" s="276">
        <v>1</v>
      </c>
      <c r="G2108" s="243">
        <f t="shared" si="33"/>
        <v>107</v>
      </c>
      <c r="H2108" s="244"/>
      <c r="I2108" s="71" t="e">
        <f>IF(COUNTIF((rName rData),H2108),"","Name Error!")</f>
        <v>#NAME?</v>
      </c>
    </row>
    <row r="2109" spans="2:9" s="126" customFormat="1" ht="15" customHeight="1" x14ac:dyDescent="0.25">
      <c r="B2109" s="271" t="s">
        <v>279</v>
      </c>
      <c r="C2109" s="272" t="s">
        <v>280</v>
      </c>
      <c r="D2109" s="275" t="s">
        <v>216</v>
      </c>
      <c r="E2109" s="275">
        <v>41561.515729166669</v>
      </c>
      <c r="F2109" s="276">
        <v>1</v>
      </c>
      <c r="G2109" s="243">
        <f t="shared" si="33"/>
        <v>107</v>
      </c>
      <c r="H2109" s="244"/>
      <c r="I2109" s="71" t="e">
        <f>IF(COUNTIF((rName rData),H2109),"","Name Error!")</f>
        <v>#NAME?</v>
      </c>
    </row>
    <row r="2110" spans="2:9" s="126" customFormat="1" ht="15" customHeight="1" x14ac:dyDescent="0.25">
      <c r="B2110" s="271" t="s">
        <v>358</v>
      </c>
      <c r="C2110" s="272" t="s">
        <v>357</v>
      </c>
      <c r="D2110" s="275" t="s">
        <v>216</v>
      </c>
      <c r="E2110" s="275">
        <v>41561.572928240741</v>
      </c>
      <c r="F2110" s="276">
        <v>2</v>
      </c>
      <c r="G2110" s="243">
        <f t="shared" si="33"/>
        <v>107</v>
      </c>
      <c r="H2110" s="244"/>
      <c r="I2110" s="71" t="e">
        <f>IF(COUNTIF((rName rData),H2110),"","Name Error!")</f>
        <v>#NAME?</v>
      </c>
    </row>
    <row r="2111" spans="2:9" s="126" customFormat="1" ht="15" customHeight="1" x14ac:dyDescent="0.25">
      <c r="B2111" s="271" t="s">
        <v>267</v>
      </c>
      <c r="C2111" s="272" t="s">
        <v>268</v>
      </c>
      <c r="D2111" s="275" t="s">
        <v>216</v>
      </c>
      <c r="E2111" s="275">
        <v>41561.578692129631</v>
      </c>
      <c r="F2111" s="276">
        <v>2</v>
      </c>
      <c r="G2111" s="243">
        <f t="shared" si="33"/>
        <v>107</v>
      </c>
      <c r="H2111" s="244"/>
      <c r="I2111" s="71" t="e">
        <f>IF(COUNTIF((rName rData),H2111),"","Name Error!")</f>
        <v>#NAME?</v>
      </c>
    </row>
    <row r="2112" spans="2:9" s="126" customFormat="1" ht="15" customHeight="1" x14ac:dyDescent="0.25">
      <c r="B2112" s="271" t="s">
        <v>341</v>
      </c>
      <c r="C2112" s="272" t="s">
        <v>340</v>
      </c>
      <c r="D2112" s="275" t="s">
        <v>216</v>
      </c>
      <c r="E2112" s="275">
        <v>41562.465694444443</v>
      </c>
      <c r="F2112" s="276">
        <v>2</v>
      </c>
      <c r="G2112" s="243">
        <f t="shared" si="33"/>
        <v>107</v>
      </c>
      <c r="H2112" s="244"/>
      <c r="I2112" s="71" t="e">
        <f>IF(COUNTIF((rName rData),H2112),"","Name Error!")</f>
        <v>#NAME?</v>
      </c>
    </row>
    <row r="2113" spans="2:9" s="126" customFormat="1" ht="15" customHeight="1" x14ac:dyDescent="0.25">
      <c r="B2113" s="271" t="s">
        <v>358</v>
      </c>
      <c r="C2113" s="272" t="s">
        <v>357</v>
      </c>
      <c r="D2113" s="275" t="s">
        <v>216</v>
      </c>
      <c r="E2113" s="275">
        <v>41562.517951388887</v>
      </c>
      <c r="F2113" s="276">
        <v>1</v>
      </c>
      <c r="G2113" s="243">
        <f t="shared" si="33"/>
        <v>107</v>
      </c>
      <c r="H2113" s="244"/>
      <c r="I2113" s="71" t="e">
        <f>IF(COUNTIF((rName rData),H2113),"","Name Error!")</f>
        <v>#NAME?</v>
      </c>
    </row>
    <row r="2114" spans="2:9" s="126" customFormat="1" ht="15" customHeight="1" x14ac:dyDescent="0.25">
      <c r="B2114" s="271" t="s">
        <v>331</v>
      </c>
      <c r="C2114" s="272" t="s">
        <v>330</v>
      </c>
      <c r="D2114" s="275" t="s">
        <v>216</v>
      </c>
      <c r="E2114" s="275">
        <v>41562.710405092592</v>
      </c>
      <c r="F2114" s="276">
        <v>1</v>
      </c>
      <c r="G2114" s="243">
        <f t="shared" si="33"/>
        <v>107</v>
      </c>
      <c r="H2114" s="244"/>
      <c r="I2114" s="71" t="e">
        <f>IF(COUNTIF((rName rData),H2114),"","Name Error!")</f>
        <v>#NAME?</v>
      </c>
    </row>
    <row r="2115" spans="2:9" s="126" customFormat="1" ht="15" customHeight="1" x14ac:dyDescent="0.25">
      <c r="B2115" s="271" t="s">
        <v>267</v>
      </c>
      <c r="C2115" s="272" t="s">
        <v>268</v>
      </c>
      <c r="D2115" s="275" t="s">
        <v>216</v>
      </c>
      <c r="E2115" s="275">
        <v>41563.376782407409</v>
      </c>
      <c r="F2115" s="276">
        <v>3</v>
      </c>
      <c r="G2115" s="243">
        <f t="shared" si="33"/>
        <v>107</v>
      </c>
      <c r="H2115" s="244"/>
      <c r="I2115" s="71" t="e">
        <f>IF(COUNTIF((rName rData),H2115),"","Name Error!")</f>
        <v>#NAME?</v>
      </c>
    </row>
    <row r="2116" spans="2:9" s="126" customFormat="1" ht="15" customHeight="1" x14ac:dyDescent="0.25">
      <c r="B2116" s="271" t="s">
        <v>345</v>
      </c>
      <c r="C2116" s="272" t="s">
        <v>344</v>
      </c>
      <c r="D2116" s="275" t="s">
        <v>216</v>
      </c>
      <c r="E2116" s="275">
        <v>41563.57271990741</v>
      </c>
      <c r="F2116" s="276">
        <v>1</v>
      </c>
      <c r="G2116" s="243">
        <f t="shared" si="33"/>
        <v>107</v>
      </c>
      <c r="H2116" s="244"/>
      <c r="I2116" s="71" t="e">
        <f>IF(COUNTIF((rName rData),H2116),"","Name Error!")</f>
        <v>#NAME?</v>
      </c>
    </row>
    <row r="2117" spans="2:9" s="126" customFormat="1" ht="15" customHeight="1" x14ac:dyDescent="0.25">
      <c r="B2117" s="271" t="s">
        <v>322</v>
      </c>
      <c r="C2117" s="272" t="s">
        <v>321</v>
      </c>
      <c r="D2117" s="275" t="s">
        <v>216</v>
      </c>
      <c r="E2117" s="275">
        <v>41563.761354166665</v>
      </c>
      <c r="F2117" s="276">
        <v>3</v>
      </c>
      <c r="G2117" s="243">
        <f t="shared" si="33"/>
        <v>107</v>
      </c>
      <c r="H2117" s="244"/>
      <c r="I2117" s="71" t="e">
        <f>IF(COUNTIF((rName rData),H2117),"","Name Error!")</f>
        <v>#NAME?</v>
      </c>
    </row>
    <row r="2118" spans="2:9" s="126" customFormat="1" ht="15" customHeight="1" x14ac:dyDescent="0.25">
      <c r="B2118" s="271" t="s">
        <v>335</v>
      </c>
      <c r="C2118" s="272" t="s">
        <v>334</v>
      </c>
      <c r="D2118" s="275" t="s">
        <v>216</v>
      </c>
      <c r="E2118" s="275">
        <v>41564.625844907408</v>
      </c>
      <c r="F2118" s="276">
        <v>4</v>
      </c>
      <c r="G2118" s="243">
        <f t="shared" si="33"/>
        <v>107</v>
      </c>
      <c r="H2118" s="244"/>
      <c r="I2118" s="71" t="e">
        <f>IF(COUNTIF((rName rData),H2118),"","Name Error!")</f>
        <v>#NAME?</v>
      </c>
    </row>
    <row r="2119" spans="2:9" s="126" customFormat="1" ht="15" customHeight="1" x14ac:dyDescent="0.25">
      <c r="B2119" s="271" t="s">
        <v>358</v>
      </c>
      <c r="C2119" s="272" t="s">
        <v>357</v>
      </c>
      <c r="D2119" s="275" t="s">
        <v>216</v>
      </c>
      <c r="E2119" s="275">
        <v>41564.721817129626</v>
      </c>
      <c r="F2119" s="276">
        <v>2</v>
      </c>
      <c r="G2119" s="243">
        <f t="shared" si="33"/>
        <v>107</v>
      </c>
      <c r="H2119" s="244"/>
      <c r="I2119" s="71" t="e">
        <f>IF(COUNTIF((rName rData),H2119),"","Name Error!")</f>
        <v>#NAME?</v>
      </c>
    </row>
    <row r="2120" spans="2:9" s="126" customFormat="1" ht="15" customHeight="1" x14ac:dyDescent="0.25">
      <c r="B2120" s="271" t="s">
        <v>322</v>
      </c>
      <c r="C2120" s="272" t="s">
        <v>321</v>
      </c>
      <c r="D2120" s="275" t="s">
        <v>216</v>
      </c>
      <c r="E2120" s="275">
        <v>41564.797175925924</v>
      </c>
      <c r="F2120" s="276">
        <v>1</v>
      </c>
      <c r="G2120" s="243">
        <f t="shared" si="33"/>
        <v>107</v>
      </c>
      <c r="H2120" s="244"/>
      <c r="I2120" s="71" t="e">
        <f>IF(COUNTIF((rName rData),H2120),"","Name Error!")</f>
        <v>#NAME?</v>
      </c>
    </row>
    <row r="2121" spans="2:9" s="126" customFormat="1" ht="15" customHeight="1" x14ac:dyDescent="0.25">
      <c r="B2121" s="271" t="s">
        <v>267</v>
      </c>
      <c r="C2121" s="272" t="s">
        <v>268</v>
      </c>
      <c r="D2121" s="275" t="s">
        <v>216</v>
      </c>
      <c r="E2121" s="275">
        <v>41564.834756944445</v>
      </c>
      <c r="F2121" s="276">
        <v>1</v>
      </c>
      <c r="G2121" s="243">
        <f t="shared" si="33"/>
        <v>107</v>
      </c>
      <c r="H2121" s="244"/>
      <c r="I2121" s="71" t="e">
        <f>IF(COUNTIF((rName rData),H2121),"","Name Error!")</f>
        <v>#NAME?</v>
      </c>
    </row>
    <row r="2122" spans="2:9" s="126" customFormat="1" ht="15" customHeight="1" x14ac:dyDescent="0.25">
      <c r="B2122" s="271" t="s">
        <v>354</v>
      </c>
      <c r="C2122" s="272" t="s">
        <v>353</v>
      </c>
      <c r="D2122" s="275" t="s">
        <v>216</v>
      </c>
      <c r="E2122" s="275">
        <v>41565.332488425927</v>
      </c>
      <c r="F2122" s="276">
        <v>1</v>
      </c>
      <c r="G2122" s="243">
        <f t="shared" ref="G2122:G2185" si="34">TRUNC((E2122-start)/7)+1</f>
        <v>107</v>
      </c>
      <c r="H2122" s="244"/>
      <c r="I2122" s="71" t="e">
        <f>IF(COUNTIF((rName rData),H2122),"","Name Error!")</f>
        <v>#NAME?</v>
      </c>
    </row>
    <row r="2123" spans="2:9" s="126" customFormat="1" ht="15" customHeight="1" x14ac:dyDescent="0.25">
      <c r="B2123" s="271" t="s">
        <v>365</v>
      </c>
      <c r="C2123" s="272" t="s">
        <v>364</v>
      </c>
      <c r="D2123" s="275" t="s">
        <v>216</v>
      </c>
      <c r="E2123" s="275">
        <v>41565.437384259261</v>
      </c>
      <c r="F2123" s="276">
        <v>1</v>
      </c>
      <c r="G2123" s="243">
        <f t="shared" si="34"/>
        <v>107</v>
      </c>
      <c r="H2123" s="244"/>
      <c r="I2123" s="71" t="e">
        <f>IF(COUNTIF((rName rData),H2123),"","Name Error!")</f>
        <v>#NAME?</v>
      </c>
    </row>
    <row r="2124" spans="2:9" s="126" customFormat="1" ht="15" customHeight="1" x14ac:dyDescent="0.25">
      <c r="B2124" s="271" t="s">
        <v>328</v>
      </c>
      <c r="C2124" s="272" t="s">
        <v>327</v>
      </c>
      <c r="D2124" s="275" t="s">
        <v>216</v>
      </c>
      <c r="E2124" s="275">
        <v>41565.621770833335</v>
      </c>
      <c r="F2124" s="276">
        <v>2</v>
      </c>
      <c r="G2124" s="243">
        <f t="shared" si="34"/>
        <v>107</v>
      </c>
      <c r="H2124" s="244"/>
      <c r="I2124" s="71" t="e">
        <f>IF(COUNTIF((rName rData),H2124),"","Name Error!")</f>
        <v>#NAME?</v>
      </c>
    </row>
    <row r="2125" spans="2:9" s="126" customFormat="1" ht="15" customHeight="1" x14ac:dyDescent="0.25">
      <c r="B2125" s="271" t="s">
        <v>358</v>
      </c>
      <c r="C2125" s="272" t="s">
        <v>357</v>
      </c>
      <c r="D2125" s="275" t="s">
        <v>216</v>
      </c>
      <c r="E2125" s="275">
        <v>41565.630729166667</v>
      </c>
      <c r="F2125" s="276">
        <v>1</v>
      </c>
      <c r="G2125" s="243">
        <f t="shared" si="34"/>
        <v>107</v>
      </c>
      <c r="H2125" s="244"/>
      <c r="I2125" s="71" t="e">
        <f>IF(COUNTIF((rName rData),H2125),"","Name Error!")</f>
        <v>#NAME?</v>
      </c>
    </row>
    <row r="2126" spans="2:9" s="126" customFormat="1" ht="15" customHeight="1" x14ac:dyDescent="0.25">
      <c r="B2126" s="271" t="s">
        <v>267</v>
      </c>
      <c r="C2126" s="272" t="s">
        <v>268</v>
      </c>
      <c r="D2126" s="275" t="s">
        <v>216</v>
      </c>
      <c r="E2126" s="275">
        <v>41565.851284722223</v>
      </c>
      <c r="F2126" s="276">
        <v>1</v>
      </c>
      <c r="G2126" s="243">
        <f t="shared" si="34"/>
        <v>107</v>
      </c>
      <c r="H2126" s="244"/>
      <c r="I2126" s="71" t="e">
        <f>IF(COUNTIF((rName rData),H2126),"","Name Error!")</f>
        <v>#NAME?</v>
      </c>
    </row>
    <row r="2127" spans="2:9" s="126" customFormat="1" ht="15" customHeight="1" x14ac:dyDescent="0.25">
      <c r="B2127" s="271" t="s">
        <v>339</v>
      </c>
      <c r="C2127" s="272" t="s">
        <v>338</v>
      </c>
      <c r="D2127" s="275" t="s">
        <v>216</v>
      </c>
      <c r="E2127" s="275">
        <v>41565.893125000002</v>
      </c>
      <c r="F2127" s="276">
        <v>2</v>
      </c>
      <c r="G2127" s="243">
        <f t="shared" si="34"/>
        <v>107</v>
      </c>
      <c r="H2127" s="244"/>
      <c r="I2127" s="71" t="e">
        <f>IF(COUNTIF((rName rData),H2127),"","Name Error!")</f>
        <v>#NAME?</v>
      </c>
    </row>
    <row r="2128" spans="2:9" s="126" customFormat="1" ht="15" customHeight="1" x14ac:dyDescent="0.25">
      <c r="B2128" s="271" t="s">
        <v>324</v>
      </c>
      <c r="C2128" s="272" t="s">
        <v>323</v>
      </c>
      <c r="D2128" s="275" t="s">
        <v>216</v>
      </c>
      <c r="E2128" s="275">
        <v>41565.90115740741</v>
      </c>
      <c r="F2128" s="276">
        <v>1</v>
      </c>
      <c r="G2128" s="243">
        <f t="shared" si="34"/>
        <v>107</v>
      </c>
      <c r="H2128" s="244"/>
      <c r="I2128" s="71" t="e">
        <f>IF(COUNTIF((rName rData),H2128),"","Name Error!")</f>
        <v>#NAME?</v>
      </c>
    </row>
    <row r="2129" spans="2:9" s="126" customFormat="1" ht="15" customHeight="1" x14ac:dyDescent="0.25">
      <c r="B2129" s="271" t="s">
        <v>322</v>
      </c>
      <c r="C2129" s="272" t="s">
        <v>321</v>
      </c>
      <c r="D2129" s="275" t="s">
        <v>216</v>
      </c>
      <c r="E2129" s="275">
        <v>41566.301747685182</v>
      </c>
      <c r="F2129" s="276">
        <v>7</v>
      </c>
      <c r="G2129" s="243">
        <f t="shared" si="34"/>
        <v>108</v>
      </c>
      <c r="H2129" s="244"/>
      <c r="I2129" s="71" t="e">
        <f>IF(COUNTIF((rName rData),H2129),"","Name Error!")</f>
        <v>#NAME?</v>
      </c>
    </row>
    <row r="2130" spans="2:9" s="126" customFormat="1" ht="15" customHeight="1" x14ac:dyDescent="0.25">
      <c r="B2130" s="271" t="s">
        <v>267</v>
      </c>
      <c r="C2130" s="272" t="s">
        <v>268</v>
      </c>
      <c r="D2130" s="275" t="s">
        <v>216</v>
      </c>
      <c r="E2130" s="275">
        <v>41566.422696759262</v>
      </c>
      <c r="F2130" s="276">
        <v>5</v>
      </c>
      <c r="G2130" s="243">
        <f t="shared" si="34"/>
        <v>108</v>
      </c>
      <c r="H2130" s="244"/>
      <c r="I2130" s="71" t="e">
        <f>IF(COUNTIF((rName rData),H2130),"","Name Error!")</f>
        <v>#NAME?</v>
      </c>
    </row>
    <row r="2131" spans="2:9" s="126" customFormat="1" ht="15" customHeight="1" x14ac:dyDescent="0.25">
      <c r="B2131" s="271" t="s">
        <v>358</v>
      </c>
      <c r="C2131" s="272" t="s">
        <v>357</v>
      </c>
      <c r="D2131" s="275" t="s">
        <v>216</v>
      </c>
      <c r="E2131" s="275">
        <v>41566.460729166669</v>
      </c>
      <c r="F2131" s="276">
        <v>2</v>
      </c>
      <c r="G2131" s="243">
        <f t="shared" si="34"/>
        <v>108</v>
      </c>
      <c r="H2131" s="244"/>
      <c r="I2131" s="71" t="e">
        <f>IF(COUNTIF((rName rData),H2131),"","Name Error!")</f>
        <v>#NAME?</v>
      </c>
    </row>
    <row r="2132" spans="2:9" s="126" customFormat="1" ht="15" customHeight="1" x14ac:dyDescent="0.25">
      <c r="B2132" s="271" t="s">
        <v>337</v>
      </c>
      <c r="C2132" s="272" t="s">
        <v>336</v>
      </c>
      <c r="D2132" s="275" t="s">
        <v>216</v>
      </c>
      <c r="E2132" s="275">
        <v>41566.513796296298</v>
      </c>
      <c r="F2132" s="276">
        <v>1</v>
      </c>
      <c r="G2132" s="243">
        <f t="shared" si="34"/>
        <v>108</v>
      </c>
      <c r="H2132" s="244"/>
      <c r="I2132" s="71" t="e">
        <f>IF(COUNTIF((rName rData),H2132),"","Name Error!")</f>
        <v>#NAME?</v>
      </c>
    </row>
    <row r="2133" spans="2:9" s="126" customFormat="1" ht="15" customHeight="1" x14ac:dyDescent="0.25">
      <c r="B2133" s="271" t="s">
        <v>341</v>
      </c>
      <c r="C2133" s="272" t="s">
        <v>340</v>
      </c>
      <c r="D2133" s="275" t="s">
        <v>216</v>
      </c>
      <c r="E2133" s="275">
        <v>41566.581296296295</v>
      </c>
      <c r="F2133" s="276">
        <v>1</v>
      </c>
      <c r="G2133" s="243">
        <f t="shared" si="34"/>
        <v>108</v>
      </c>
      <c r="H2133" s="244"/>
      <c r="I2133" s="71" t="e">
        <f>IF(COUNTIF((rName rData),H2133),"","Name Error!")</f>
        <v>#NAME?</v>
      </c>
    </row>
    <row r="2134" spans="2:9" s="126" customFormat="1" ht="15" customHeight="1" x14ac:dyDescent="0.25">
      <c r="B2134" s="271" t="s">
        <v>362</v>
      </c>
      <c r="C2134" s="272" t="s">
        <v>361</v>
      </c>
      <c r="D2134" s="275" t="s">
        <v>216</v>
      </c>
      <c r="E2134" s="275">
        <v>41566.629999999997</v>
      </c>
      <c r="F2134" s="276">
        <v>1</v>
      </c>
      <c r="G2134" s="243">
        <f t="shared" si="34"/>
        <v>108</v>
      </c>
      <c r="H2134" s="244"/>
      <c r="I2134" s="71" t="e">
        <f>IF(COUNTIF((rName rData),H2134),"","Name Error!")</f>
        <v>#NAME?</v>
      </c>
    </row>
    <row r="2135" spans="2:9" s="126" customFormat="1" ht="15" customHeight="1" x14ac:dyDescent="0.25">
      <c r="B2135" s="271" t="s">
        <v>328</v>
      </c>
      <c r="C2135" s="272" t="s">
        <v>327</v>
      </c>
      <c r="D2135" s="275" t="s">
        <v>216</v>
      </c>
      <c r="E2135" s="275">
        <v>41566.632256944446</v>
      </c>
      <c r="F2135" s="276">
        <v>2</v>
      </c>
      <c r="G2135" s="243">
        <f t="shared" si="34"/>
        <v>108</v>
      </c>
      <c r="H2135" s="244"/>
      <c r="I2135" s="71" t="e">
        <f>IF(COUNTIF((rName rData),H2135),"","Name Error!")</f>
        <v>#NAME?</v>
      </c>
    </row>
    <row r="2136" spans="2:9" s="126" customFormat="1" ht="15" customHeight="1" x14ac:dyDescent="0.25">
      <c r="B2136" s="271" t="s">
        <v>367</v>
      </c>
      <c r="C2136" s="272" t="s">
        <v>366</v>
      </c>
      <c r="D2136" s="275" t="s">
        <v>216</v>
      </c>
      <c r="E2136" s="275">
        <v>41566.639027777775</v>
      </c>
      <c r="F2136" s="276">
        <v>1</v>
      </c>
      <c r="G2136" s="243">
        <f t="shared" si="34"/>
        <v>108</v>
      </c>
      <c r="H2136" s="244"/>
      <c r="I2136" s="71" t="e">
        <f>IF(COUNTIF((rName rData),H2136),"","Name Error!")</f>
        <v>#NAME?</v>
      </c>
    </row>
    <row r="2137" spans="2:9" s="126" customFormat="1" ht="15" customHeight="1" x14ac:dyDescent="0.25">
      <c r="B2137" s="271" t="s">
        <v>356</v>
      </c>
      <c r="C2137" s="272" t="s">
        <v>355</v>
      </c>
      <c r="D2137" s="275" t="s">
        <v>216</v>
      </c>
      <c r="E2137" s="275">
        <v>41566.678877314815</v>
      </c>
      <c r="F2137" s="276">
        <v>2</v>
      </c>
      <c r="G2137" s="243">
        <f t="shared" si="34"/>
        <v>108</v>
      </c>
      <c r="H2137" s="244"/>
      <c r="I2137" s="71" t="e">
        <f>IF(COUNTIF((rName rData),H2137),"","Name Error!")</f>
        <v>#NAME?</v>
      </c>
    </row>
    <row r="2138" spans="2:9" s="126" customFormat="1" ht="15" customHeight="1" x14ac:dyDescent="0.25">
      <c r="B2138" s="271" t="s">
        <v>331</v>
      </c>
      <c r="C2138" s="272" t="s">
        <v>330</v>
      </c>
      <c r="D2138" s="275" t="s">
        <v>216</v>
      </c>
      <c r="E2138" s="275">
        <v>41566.70484953704</v>
      </c>
      <c r="F2138" s="276">
        <v>1</v>
      </c>
      <c r="G2138" s="243">
        <f t="shared" si="34"/>
        <v>108</v>
      </c>
      <c r="H2138" s="244"/>
      <c r="I2138" s="71" t="e">
        <f>IF(COUNTIF((rName rData),H2138),"","Name Error!")</f>
        <v>#NAME?</v>
      </c>
    </row>
    <row r="2139" spans="2:9" s="126" customFormat="1" ht="15" customHeight="1" x14ac:dyDescent="0.25">
      <c r="B2139" s="271" t="s">
        <v>322</v>
      </c>
      <c r="C2139" s="272" t="s">
        <v>321</v>
      </c>
      <c r="D2139" s="275" t="s">
        <v>216</v>
      </c>
      <c r="E2139" s="275">
        <v>41567.01059027778</v>
      </c>
      <c r="F2139" s="276">
        <v>5</v>
      </c>
      <c r="G2139" s="243">
        <f t="shared" si="34"/>
        <v>108</v>
      </c>
      <c r="H2139" s="244"/>
      <c r="I2139" s="71" t="e">
        <f>IF(COUNTIF((rName rData),H2139),"","Name Error!")</f>
        <v>#NAME?</v>
      </c>
    </row>
    <row r="2140" spans="2:9" s="126" customFormat="1" ht="15" customHeight="1" x14ac:dyDescent="0.25">
      <c r="B2140" s="271" t="s">
        <v>324</v>
      </c>
      <c r="C2140" s="272" t="s">
        <v>323</v>
      </c>
      <c r="D2140" s="275" t="s">
        <v>216</v>
      </c>
      <c r="E2140" s="275">
        <v>41567.022280092591</v>
      </c>
      <c r="F2140" s="276">
        <v>5</v>
      </c>
      <c r="G2140" s="243">
        <f t="shared" si="34"/>
        <v>108</v>
      </c>
      <c r="H2140" s="244"/>
      <c r="I2140" s="71" t="e">
        <f>IF(COUNTIF((rName rData),H2140),"","Name Error!")</f>
        <v>#NAME?</v>
      </c>
    </row>
    <row r="2141" spans="2:9" s="126" customFormat="1" ht="15" customHeight="1" x14ac:dyDescent="0.25">
      <c r="B2141" s="271" t="s">
        <v>371</v>
      </c>
      <c r="C2141" s="272" t="s">
        <v>370</v>
      </c>
      <c r="D2141" s="275" t="s">
        <v>216</v>
      </c>
      <c r="E2141" s="275">
        <v>41567.27615740741</v>
      </c>
      <c r="F2141" s="276">
        <v>3</v>
      </c>
      <c r="G2141" s="243">
        <f t="shared" si="34"/>
        <v>108</v>
      </c>
      <c r="H2141" s="244"/>
      <c r="I2141" s="71" t="e">
        <f>IF(COUNTIF((rName rData),H2141),"","Name Error!")</f>
        <v>#NAME?</v>
      </c>
    </row>
    <row r="2142" spans="2:9" s="126" customFormat="1" ht="15" customHeight="1" x14ac:dyDescent="0.25">
      <c r="B2142" s="271" t="s">
        <v>339</v>
      </c>
      <c r="C2142" s="272" t="s">
        <v>338</v>
      </c>
      <c r="D2142" s="275" t="s">
        <v>216</v>
      </c>
      <c r="E2142" s="275">
        <v>41567.319953703707</v>
      </c>
      <c r="F2142" s="276">
        <v>2</v>
      </c>
      <c r="G2142" s="243">
        <f t="shared" si="34"/>
        <v>108</v>
      </c>
      <c r="H2142" s="244"/>
      <c r="I2142" s="71" t="e">
        <f>IF(COUNTIF((rName rData),H2142),"","Name Error!")</f>
        <v>#NAME?</v>
      </c>
    </row>
    <row r="2143" spans="2:9" s="126" customFormat="1" ht="15" customHeight="1" x14ac:dyDescent="0.25">
      <c r="B2143" s="271" t="s">
        <v>352</v>
      </c>
      <c r="C2143" s="272" t="s">
        <v>351</v>
      </c>
      <c r="D2143" s="275" t="s">
        <v>216</v>
      </c>
      <c r="E2143" s="275">
        <v>41567.360844907409</v>
      </c>
      <c r="F2143" s="276">
        <v>4</v>
      </c>
      <c r="G2143" s="243">
        <f t="shared" si="34"/>
        <v>108</v>
      </c>
      <c r="H2143" s="244"/>
      <c r="I2143" s="71" t="e">
        <f>IF(COUNTIF((rName rData),H2143),"","Name Error!")</f>
        <v>#NAME?</v>
      </c>
    </row>
    <row r="2144" spans="2:9" s="126" customFormat="1" ht="15" customHeight="1" x14ac:dyDescent="0.25">
      <c r="B2144" s="271" t="s">
        <v>356</v>
      </c>
      <c r="C2144" s="272" t="s">
        <v>355</v>
      </c>
      <c r="D2144" s="275" t="s">
        <v>216</v>
      </c>
      <c r="E2144" s="275">
        <v>41567.44159722222</v>
      </c>
      <c r="F2144" s="276">
        <v>6</v>
      </c>
      <c r="G2144" s="243">
        <f t="shared" si="34"/>
        <v>108</v>
      </c>
      <c r="H2144" s="244"/>
      <c r="I2144" s="71" t="e">
        <f>IF(COUNTIF((rName rData),H2144),"","Name Error!")</f>
        <v>#NAME?</v>
      </c>
    </row>
    <row r="2145" spans="2:9" s="126" customFormat="1" ht="15" customHeight="1" x14ac:dyDescent="0.25">
      <c r="B2145" s="271" t="s">
        <v>354</v>
      </c>
      <c r="C2145" s="272" t="s">
        <v>353</v>
      </c>
      <c r="D2145" s="275" t="s">
        <v>216</v>
      </c>
      <c r="E2145" s="275">
        <v>41567.487141203703</v>
      </c>
      <c r="F2145" s="276">
        <v>2</v>
      </c>
      <c r="G2145" s="243">
        <f t="shared" si="34"/>
        <v>108</v>
      </c>
      <c r="H2145" s="244"/>
      <c r="I2145" s="71" t="e">
        <f>IF(COUNTIF((rName rData),H2145),"","Name Error!")</f>
        <v>#NAME?</v>
      </c>
    </row>
    <row r="2146" spans="2:9" s="126" customFormat="1" ht="15" customHeight="1" x14ac:dyDescent="0.25">
      <c r="B2146" s="271" t="s">
        <v>337</v>
      </c>
      <c r="C2146" s="272" t="s">
        <v>336</v>
      </c>
      <c r="D2146" s="275" t="s">
        <v>216</v>
      </c>
      <c r="E2146" s="275">
        <v>41567.541192129633</v>
      </c>
      <c r="F2146" s="276">
        <v>3</v>
      </c>
      <c r="G2146" s="243">
        <f t="shared" si="34"/>
        <v>108</v>
      </c>
      <c r="H2146" s="244"/>
      <c r="I2146" s="71" t="e">
        <f>IF(COUNTIF((rName rData),H2146),"","Name Error!")</f>
        <v>#NAME?</v>
      </c>
    </row>
    <row r="2147" spans="2:9" s="126" customFormat="1" ht="15" customHeight="1" x14ac:dyDescent="0.25">
      <c r="B2147" s="271" t="s">
        <v>335</v>
      </c>
      <c r="C2147" s="272" t="s">
        <v>334</v>
      </c>
      <c r="D2147" s="275" t="s">
        <v>216</v>
      </c>
      <c r="E2147" s="275">
        <v>41567.549305555556</v>
      </c>
      <c r="F2147" s="276">
        <v>3</v>
      </c>
      <c r="G2147" s="243">
        <f t="shared" si="34"/>
        <v>108</v>
      </c>
      <c r="H2147" s="244"/>
      <c r="I2147" s="71" t="e">
        <f>IF(COUNTIF((rName rData),H2147),"","Name Error!")</f>
        <v>#NAME?</v>
      </c>
    </row>
    <row r="2148" spans="2:9" s="126" customFormat="1" ht="15" customHeight="1" x14ac:dyDescent="0.25">
      <c r="B2148" s="271" t="s">
        <v>367</v>
      </c>
      <c r="C2148" s="272" t="s">
        <v>366</v>
      </c>
      <c r="D2148" s="275" t="s">
        <v>216</v>
      </c>
      <c r="E2148" s="275">
        <v>41567.585844907408</v>
      </c>
      <c r="F2148" s="276">
        <v>2</v>
      </c>
      <c r="G2148" s="243">
        <f t="shared" si="34"/>
        <v>108</v>
      </c>
      <c r="H2148" s="244"/>
      <c r="I2148" s="71" t="e">
        <f>IF(COUNTIF((rName rData),H2148),"","Name Error!")</f>
        <v>#NAME?</v>
      </c>
    </row>
    <row r="2149" spans="2:9" s="126" customFormat="1" ht="15" customHeight="1" x14ac:dyDescent="0.25">
      <c r="B2149" s="271" t="s">
        <v>341</v>
      </c>
      <c r="C2149" s="272" t="s">
        <v>340</v>
      </c>
      <c r="D2149" s="275" t="s">
        <v>216</v>
      </c>
      <c r="E2149" s="275">
        <v>41567.610277777778</v>
      </c>
      <c r="F2149" s="276">
        <v>2</v>
      </c>
      <c r="G2149" s="243">
        <f t="shared" si="34"/>
        <v>108</v>
      </c>
      <c r="H2149" s="244"/>
      <c r="I2149" s="71" t="e">
        <f>IF(COUNTIF((rName rData),H2149),"","Name Error!")</f>
        <v>#NAME?</v>
      </c>
    </row>
    <row r="2150" spans="2:9" s="126" customFormat="1" ht="15" customHeight="1" x14ac:dyDescent="0.25">
      <c r="B2150" s="271" t="s">
        <v>362</v>
      </c>
      <c r="C2150" s="272" t="s">
        <v>361</v>
      </c>
      <c r="D2150" s="275" t="s">
        <v>216</v>
      </c>
      <c r="E2150" s="275">
        <v>41567.616249999999</v>
      </c>
      <c r="F2150" s="276">
        <v>2</v>
      </c>
      <c r="G2150" s="243">
        <f t="shared" si="34"/>
        <v>108</v>
      </c>
      <c r="H2150" s="244"/>
      <c r="I2150" s="71" t="e">
        <f>IF(COUNTIF((rName rData),H2150),"","Name Error!")</f>
        <v>#NAME?</v>
      </c>
    </row>
    <row r="2151" spans="2:9" s="126" customFormat="1" ht="15" customHeight="1" x14ac:dyDescent="0.25">
      <c r="B2151" s="271" t="s">
        <v>267</v>
      </c>
      <c r="C2151" s="272" t="s">
        <v>268</v>
      </c>
      <c r="D2151" s="275" t="s">
        <v>216</v>
      </c>
      <c r="E2151" s="275">
        <v>41567.625891203701</v>
      </c>
      <c r="F2151" s="276">
        <v>2</v>
      </c>
      <c r="G2151" s="243">
        <f t="shared" si="34"/>
        <v>108</v>
      </c>
      <c r="H2151" s="244"/>
      <c r="I2151" s="71" t="e">
        <f>IF(COUNTIF((rName rData),H2151),"","Name Error!")</f>
        <v>#NAME?</v>
      </c>
    </row>
    <row r="2152" spans="2:9" s="126" customFormat="1" ht="15" customHeight="1" x14ac:dyDescent="0.25">
      <c r="B2152" s="271" t="s">
        <v>320</v>
      </c>
      <c r="C2152" s="272" t="s">
        <v>319</v>
      </c>
      <c r="D2152" s="275" t="s">
        <v>216</v>
      </c>
      <c r="E2152" s="275">
        <v>41567.750196759262</v>
      </c>
      <c r="F2152" s="276">
        <v>1</v>
      </c>
      <c r="G2152" s="243">
        <f t="shared" si="34"/>
        <v>108</v>
      </c>
      <c r="H2152" s="244"/>
      <c r="I2152" s="71" t="e">
        <f>IF(COUNTIF((rName rData),H2152),"","Name Error!")</f>
        <v>#NAME?</v>
      </c>
    </row>
    <row r="2153" spans="2:9" s="126" customFormat="1" ht="15" customHeight="1" x14ac:dyDescent="0.25">
      <c r="B2153" s="271" t="s">
        <v>350</v>
      </c>
      <c r="C2153" s="272" t="s">
        <v>349</v>
      </c>
      <c r="D2153" s="275" t="s">
        <v>216</v>
      </c>
      <c r="E2153" s="275">
        <v>41567.771423611113</v>
      </c>
      <c r="F2153" s="276">
        <v>1</v>
      </c>
      <c r="G2153" s="243">
        <f t="shared" si="34"/>
        <v>108</v>
      </c>
      <c r="H2153" s="244"/>
      <c r="I2153" s="71" t="e">
        <f>IF(COUNTIF((rName rData),H2153),"","Name Error!")</f>
        <v>#NAME?</v>
      </c>
    </row>
    <row r="2154" spans="2:9" s="126" customFormat="1" ht="15" customHeight="1" x14ac:dyDescent="0.25">
      <c r="B2154" s="271" t="s">
        <v>345</v>
      </c>
      <c r="C2154" s="272" t="s">
        <v>344</v>
      </c>
      <c r="D2154" s="275" t="s">
        <v>216</v>
      </c>
      <c r="E2154" s="275">
        <v>41567.782962962963</v>
      </c>
      <c r="F2154" s="276">
        <v>3</v>
      </c>
      <c r="G2154" s="243">
        <f t="shared" si="34"/>
        <v>108</v>
      </c>
      <c r="H2154" s="244"/>
      <c r="I2154" s="71" t="e">
        <f>IF(COUNTIF((rName rData),H2154),"","Name Error!")</f>
        <v>#NAME?</v>
      </c>
    </row>
    <row r="2155" spans="2:9" s="126" customFormat="1" ht="15" customHeight="1" x14ac:dyDescent="0.25">
      <c r="B2155" s="271" t="s">
        <v>358</v>
      </c>
      <c r="C2155" s="272" t="s">
        <v>357</v>
      </c>
      <c r="D2155" s="275" t="s">
        <v>216</v>
      </c>
      <c r="E2155" s="275">
        <v>41567.888194444444</v>
      </c>
      <c r="F2155" s="276">
        <v>1</v>
      </c>
      <c r="G2155" s="243">
        <f t="shared" si="34"/>
        <v>108</v>
      </c>
      <c r="H2155" s="244"/>
      <c r="I2155" s="71" t="e">
        <f>IF(COUNTIF((rName rData),H2155),"","Name Error!")</f>
        <v>#NAME?</v>
      </c>
    </row>
    <row r="2156" spans="2:9" s="126" customFormat="1" ht="15" customHeight="1" x14ac:dyDescent="0.25">
      <c r="B2156" s="271" t="s">
        <v>328</v>
      </c>
      <c r="C2156" s="272" t="s">
        <v>327</v>
      </c>
      <c r="D2156" s="275" t="s">
        <v>216</v>
      </c>
      <c r="E2156" s="275">
        <v>41567.889953703707</v>
      </c>
      <c r="F2156" s="276">
        <v>1</v>
      </c>
      <c r="G2156" s="243">
        <f t="shared" si="34"/>
        <v>108</v>
      </c>
      <c r="H2156" s="244"/>
      <c r="I2156" s="71" t="e">
        <f>IF(COUNTIF((rName rData),H2156),"","Name Error!")</f>
        <v>#NAME?</v>
      </c>
    </row>
    <row r="2157" spans="2:9" s="126" customFormat="1" ht="15" customHeight="1" x14ac:dyDescent="0.25">
      <c r="B2157" s="271" t="s">
        <v>365</v>
      </c>
      <c r="C2157" s="272" t="s">
        <v>364</v>
      </c>
      <c r="D2157" s="275" t="s">
        <v>216</v>
      </c>
      <c r="E2157" s="275">
        <v>41567.969085648147</v>
      </c>
      <c r="F2157" s="276">
        <v>1</v>
      </c>
      <c r="G2157" s="243">
        <f t="shared" si="34"/>
        <v>108</v>
      </c>
      <c r="H2157" s="244"/>
      <c r="I2157" s="71" t="e">
        <f>IF(COUNTIF((rName rData),H2157),"","Name Error!")</f>
        <v>#NAME?</v>
      </c>
    </row>
    <row r="2158" spans="2:9" s="126" customFormat="1" ht="15" customHeight="1" x14ac:dyDescent="0.25">
      <c r="B2158" s="271" t="s">
        <v>356</v>
      </c>
      <c r="C2158" s="272" t="s">
        <v>355</v>
      </c>
      <c r="D2158" s="275" t="s">
        <v>216</v>
      </c>
      <c r="E2158" s="275">
        <v>41568.328645833331</v>
      </c>
      <c r="F2158" s="276">
        <v>3</v>
      </c>
      <c r="G2158" s="243">
        <f t="shared" si="34"/>
        <v>108</v>
      </c>
      <c r="H2158" s="244"/>
      <c r="I2158" s="71" t="e">
        <f>IF(COUNTIF((rName rData),H2158),"","Name Error!")</f>
        <v>#NAME?</v>
      </c>
    </row>
    <row r="2159" spans="2:9" s="126" customFormat="1" ht="15" customHeight="1" x14ac:dyDescent="0.25">
      <c r="B2159" s="271" t="s">
        <v>365</v>
      </c>
      <c r="C2159" s="272" t="s">
        <v>364</v>
      </c>
      <c r="D2159" s="275" t="s">
        <v>216</v>
      </c>
      <c r="E2159" s="275">
        <v>41568.587569444448</v>
      </c>
      <c r="F2159" s="276">
        <v>1</v>
      </c>
      <c r="G2159" s="243">
        <f t="shared" si="34"/>
        <v>108</v>
      </c>
      <c r="H2159" s="244"/>
      <c r="I2159" s="71" t="e">
        <f>IF(COUNTIF((rName rData),H2159),"","Name Error!")</f>
        <v>#NAME?</v>
      </c>
    </row>
    <row r="2160" spans="2:9" s="126" customFormat="1" ht="15" customHeight="1" x14ac:dyDescent="0.25">
      <c r="B2160" s="271" t="s">
        <v>339</v>
      </c>
      <c r="C2160" s="272" t="s">
        <v>338</v>
      </c>
      <c r="D2160" s="275" t="s">
        <v>216</v>
      </c>
      <c r="E2160" s="275">
        <v>41568.607025462959</v>
      </c>
      <c r="F2160" s="276">
        <v>1</v>
      </c>
      <c r="G2160" s="243">
        <f t="shared" si="34"/>
        <v>108</v>
      </c>
      <c r="H2160" s="244"/>
      <c r="I2160" s="71" t="e">
        <f>IF(COUNTIF((rName rData),H2160),"","Name Error!")</f>
        <v>#NAME?</v>
      </c>
    </row>
    <row r="2161" spans="2:9" s="126" customFormat="1" ht="15" customHeight="1" x14ac:dyDescent="0.25">
      <c r="B2161" s="271" t="s">
        <v>345</v>
      </c>
      <c r="C2161" s="272" t="s">
        <v>344</v>
      </c>
      <c r="D2161" s="275" t="s">
        <v>216</v>
      </c>
      <c r="E2161" s="275">
        <v>41568.615833333337</v>
      </c>
      <c r="F2161" s="276">
        <v>1</v>
      </c>
      <c r="G2161" s="243">
        <f t="shared" si="34"/>
        <v>108</v>
      </c>
      <c r="H2161" s="244"/>
      <c r="I2161" s="71" t="e">
        <f>IF(COUNTIF((rName rData),H2161),"","Name Error!")</f>
        <v>#NAME?</v>
      </c>
    </row>
    <row r="2162" spans="2:9" s="126" customFormat="1" ht="15" customHeight="1" x14ac:dyDescent="0.25">
      <c r="B2162" s="271" t="s">
        <v>335</v>
      </c>
      <c r="C2162" s="272" t="s">
        <v>334</v>
      </c>
      <c r="D2162" s="275" t="s">
        <v>216</v>
      </c>
      <c r="E2162" s="275">
        <v>41568.685983796298</v>
      </c>
      <c r="F2162" s="276">
        <v>1</v>
      </c>
      <c r="G2162" s="243">
        <f t="shared" si="34"/>
        <v>108</v>
      </c>
      <c r="H2162" s="244"/>
      <c r="I2162" s="71" t="e">
        <f>IF(COUNTIF((rName rData),H2162),"","Name Error!")</f>
        <v>#NAME?</v>
      </c>
    </row>
    <row r="2163" spans="2:9" s="126" customFormat="1" ht="15" customHeight="1" x14ac:dyDescent="0.25">
      <c r="B2163" s="271" t="s">
        <v>358</v>
      </c>
      <c r="C2163" s="272" t="s">
        <v>357</v>
      </c>
      <c r="D2163" s="275" t="s">
        <v>216</v>
      </c>
      <c r="E2163" s="275">
        <v>41568.767372685186</v>
      </c>
      <c r="F2163" s="276">
        <v>2</v>
      </c>
      <c r="G2163" s="243">
        <f t="shared" si="34"/>
        <v>108</v>
      </c>
      <c r="H2163" s="244"/>
      <c r="I2163" s="71" t="e">
        <f>IF(COUNTIF((rName rData),H2163),"","Name Error!")</f>
        <v>#NAME?</v>
      </c>
    </row>
    <row r="2164" spans="2:9" s="126" customFormat="1" ht="15" customHeight="1" x14ac:dyDescent="0.25">
      <c r="B2164" s="271" t="s">
        <v>322</v>
      </c>
      <c r="C2164" s="272" t="s">
        <v>321</v>
      </c>
      <c r="D2164" s="275" t="s">
        <v>216</v>
      </c>
      <c r="E2164" s="275">
        <v>41568.778495370374</v>
      </c>
      <c r="F2164" s="276">
        <v>6</v>
      </c>
      <c r="G2164" s="243">
        <f t="shared" si="34"/>
        <v>108</v>
      </c>
      <c r="H2164" s="244"/>
      <c r="I2164" s="71" t="e">
        <f>IF(COUNTIF((rName rData),H2164),"","Name Error!")</f>
        <v>#NAME?</v>
      </c>
    </row>
    <row r="2165" spans="2:9" s="126" customFormat="1" ht="15" customHeight="1" x14ac:dyDescent="0.25">
      <c r="B2165" s="271" t="s">
        <v>341</v>
      </c>
      <c r="C2165" s="272" t="s">
        <v>340</v>
      </c>
      <c r="D2165" s="275" t="s">
        <v>216</v>
      </c>
      <c r="E2165" s="275">
        <v>41568.784432870372</v>
      </c>
      <c r="F2165" s="276">
        <v>1</v>
      </c>
      <c r="G2165" s="243">
        <f t="shared" si="34"/>
        <v>108</v>
      </c>
      <c r="H2165" s="244"/>
      <c r="I2165" s="71" t="e">
        <f>IF(COUNTIF((rName rData),H2165),"","Name Error!")</f>
        <v>#NAME?</v>
      </c>
    </row>
    <row r="2166" spans="2:9" s="126" customFormat="1" ht="15" customHeight="1" x14ac:dyDescent="0.25">
      <c r="B2166" s="271" t="s">
        <v>350</v>
      </c>
      <c r="C2166" s="272" t="s">
        <v>349</v>
      </c>
      <c r="D2166" s="275" t="s">
        <v>216</v>
      </c>
      <c r="E2166" s="275">
        <v>41568.86787037037</v>
      </c>
      <c r="F2166" s="276">
        <v>2</v>
      </c>
      <c r="G2166" s="243">
        <f t="shared" si="34"/>
        <v>108</v>
      </c>
      <c r="H2166" s="244"/>
      <c r="I2166" s="71" t="e">
        <f>IF(COUNTIF((rName rData),H2166),"","Name Error!")</f>
        <v>#NAME?</v>
      </c>
    </row>
    <row r="2167" spans="2:9" s="126" customFormat="1" ht="15" customHeight="1" x14ac:dyDescent="0.25">
      <c r="B2167" s="271" t="s">
        <v>358</v>
      </c>
      <c r="C2167" s="272" t="s">
        <v>357</v>
      </c>
      <c r="D2167" s="275" t="s">
        <v>216</v>
      </c>
      <c r="E2167" s="275">
        <v>41569.553495370368</v>
      </c>
      <c r="F2167" s="276">
        <v>2</v>
      </c>
      <c r="G2167" s="243">
        <f t="shared" si="34"/>
        <v>108</v>
      </c>
      <c r="H2167" s="244"/>
      <c r="I2167" s="71" t="e">
        <f>IF(COUNTIF((rName rData),H2167),"","Name Error!")</f>
        <v>#NAME?</v>
      </c>
    </row>
    <row r="2168" spans="2:9" s="126" customFormat="1" ht="15" customHeight="1" x14ac:dyDescent="0.25">
      <c r="B2168" s="271" t="s">
        <v>322</v>
      </c>
      <c r="C2168" s="272" t="s">
        <v>321</v>
      </c>
      <c r="D2168" s="275" t="s">
        <v>216</v>
      </c>
      <c r="E2168" s="275">
        <v>41569.776273148149</v>
      </c>
      <c r="F2168" s="276">
        <v>2</v>
      </c>
      <c r="G2168" s="243">
        <f t="shared" si="34"/>
        <v>108</v>
      </c>
      <c r="H2168" s="244"/>
      <c r="I2168" s="71" t="e">
        <f>IF(COUNTIF((rName rData),H2168),"","Name Error!")</f>
        <v>#NAME?</v>
      </c>
    </row>
    <row r="2169" spans="2:9" s="126" customFormat="1" ht="15" customHeight="1" x14ac:dyDescent="0.25">
      <c r="B2169" s="271" t="s">
        <v>267</v>
      </c>
      <c r="C2169" s="272" t="s">
        <v>268</v>
      </c>
      <c r="D2169" s="275" t="s">
        <v>216</v>
      </c>
      <c r="E2169" s="275">
        <v>41569.865173611113</v>
      </c>
      <c r="F2169" s="276">
        <v>1</v>
      </c>
      <c r="G2169" s="243">
        <f t="shared" si="34"/>
        <v>108</v>
      </c>
      <c r="H2169" s="244"/>
      <c r="I2169" s="71" t="e">
        <f>IF(COUNTIF((rName rData),H2169),"","Name Error!")</f>
        <v>#NAME?</v>
      </c>
    </row>
    <row r="2170" spans="2:9" s="126" customFormat="1" ht="15" customHeight="1" x14ac:dyDescent="0.25">
      <c r="B2170" s="271" t="s">
        <v>331</v>
      </c>
      <c r="C2170" s="272" t="s">
        <v>330</v>
      </c>
      <c r="D2170" s="275" t="s">
        <v>216</v>
      </c>
      <c r="E2170" s="275">
        <v>41569.877442129633</v>
      </c>
      <c r="F2170" s="276">
        <v>2</v>
      </c>
      <c r="G2170" s="243">
        <f t="shared" si="34"/>
        <v>108</v>
      </c>
      <c r="H2170" s="244"/>
      <c r="I2170" s="71" t="e">
        <f>IF(COUNTIF((rName rData),H2170),"","Name Error!")</f>
        <v>#NAME?</v>
      </c>
    </row>
    <row r="2171" spans="2:9" s="126" customFormat="1" ht="15" customHeight="1" x14ac:dyDescent="0.25">
      <c r="B2171" s="271" t="s">
        <v>267</v>
      </c>
      <c r="C2171" s="272" t="s">
        <v>268</v>
      </c>
      <c r="D2171" s="275" t="s">
        <v>216</v>
      </c>
      <c r="E2171" s="275">
        <v>41570.511018518519</v>
      </c>
      <c r="F2171" s="276">
        <v>2</v>
      </c>
      <c r="G2171" s="243">
        <f t="shared" si="34"/>
        <v>108</v>
      </c>
      <c r="H2171" s="244"/>
      <c r="I2171" s="71" t="e">
        <f>IF(COUNTIF((rName rData),H2171),"","Name Error!")</f>
        <v>#NAME?</v>
      </c>
    </row>
    <row r="2172" spans="2:9" s="126" customFormat="1" ht="15" customHeight="1" x14ac:dyDescent="0.25">
      <c r="B2172" s="271" t="s">
        <v>358</v>
      </c>
      <c r="C2172" s="272" t="s">
        <v>357</v>
      </c>
      <c r="D2172" s="275" t="s">
        <v>216</v>
      </c>
      <c r="E2172" s="275">
        <v>41570.73300925926</v>
      </c>
      <c r="F2172" s="276">
        <v>1</v>
      </c>
      <c r="G2172" s="243">
        <f t="shared" si="34"/>
        <v>108</v>
      </c>
      <c r="H2172" s="244"/>
      <c r="I2172" s="71" t="e">
        <f>IF(COUNTIF((rName rData),H2172),"","Name Error!")</f>
        <v>#NAME?</v>
      </c>
    </row>
    <row r="2173" spans="2:9" s="126" customFormat="1" ht="15" customHeight="1" x14ac:dyDescent="0.25">
      <c r="B2173" s="271" t="s">
        <v>322</v>
      </c>
      <c r="C2173" s="272" t="s">
        <v>321</v>
      </c>
      <c r="D2173" s="275" t="s">
        <v>216</v>
      </c>
      <c r="E2173" s="275">
        <v>41570.770497685182</v>
      </c>
      <c r="F2173" s="276">
        <v>2</v>
      </c>
      <c r="G2173" s="243">
        <f t="shared" si="34"/>
        <v>108</v>
      </c>
      <c r="H2173" s="244"/>
      <c r="I2173" s="71" t="e">
        <f>IF(COUNTIF((rName rData),H2173),"","Name Error!")</f>
        <v>#NAME?</v>
      </c>
    </row>
    <row r="2174" spans="2:9" s="126" customFormat="1" ht="15" customHeight="1" x14ac:dyDescent="0.25">
      <c r="B2174" s="271" t="s">
        <v>345</v>
      </c>
      <c r="C2174" s="272" t="s">
        <v>344</v>
      </c>
      <c r="D2174" s="275" t="s">
        <v>216</v>
      </c>
      <c r="E2174" s="275">
        <v>41570.849652777775</v>
      </c>
      <c r="F2174" s="276">
        <v>1</v>
      </c>
      <c r="G2174" s="243">
        <f t="shared" si="34"/>
        <v>108</v>
      </c>
      <c r="H2174" s="244"/>
      <c r="I2174" s="71" t="e">
        <f>IF(COUNTIF((rName rData),H2174),"","Name Error!")</f>
        <v>#NAME?</v>
      </c>
    </row>
    <row r="2175" spans="2:9" s="126" customFormat="1" ht="15" customHeight="1" x14ac:dyDescent="0.25">
      <c r="B2175" s="271" t="s">
        <v>339</v>
      </c>
      <c r="C2175" s="272" t="s">
        <v>338</v>
      </c>
      <c r="D2175" s="275" t="s">
        <v>216</v>
      </c>
      <c r="E2175" s="275">
        <v>41570.999456018515</v>
      </c>
      <c r="F2175" s="276">
        <v>1</v>
      </c>
      <c r="G2175" s="243">
        <f t="shared" si="34"/>
        <v>108</v>
      </c>
      <c r="H2175" s="244"/>
      <c r="I2175" s="71" t="e">
        <f>IF(COUNTIF((rName rData),H2175),"","Name Error!")</f>
        <v>#NAME?</v>
      </c>
    </row>
    <row r="2176" spans="2:9" s="126" customFormat="1" ht="15" customHeight="1" x14ac:dyDescent="0.25">
      <c r="B2176" s="271" t="s">
        <v>339</v>
      </c>
      <c r="C2176" s="272" t="s">
        <v>338</v>
      </c>
      <c r="D2176" s="275" t="s">
        <v>216</v>
      </c>
      <c r="E2176" s="275">
        <v>41571.103854166664</v>
      </c>
      <c r="F2176" s="276">
        <v>1</v>
      </c>
      <c r="G2176" s="243">
        <f t="shared" si="34"/>
        <v>108</v>
      </c>
      <c r="H2176" s="244"/>
      <c r="I2176" s="71" t="e">
        <f>IF(COUNTIF((rName rData),H2176),"","Name Error!")</f>
        <v>#NAME?</v>
      </c>
    </row>
    <row r="2177" spans="2:9" s="126" customFormat="1" ht="15" customHeight="1" x14ac:dyDescent="0.25">
      <c r="B2177" s="271" t="s">
        <v>358</v>
      </c>
      <c r="C2177" s="272" t="s">
        <v>357</v>
      </c>
      <c r="D2177" s="275" t="s">
        <v>216</v>
      </c>
      <c r="E2177" s="275">
        <v>41571.748993055553</v>
      </c>
      <c r="F2177" s="276">
        <v>2</v>
      </c>
      <c r="G2177" s="243">
        <f t="shared" si="34"/>
        <v>108</v>
      </c>
      <c r="H2177" s="244"/>
      <c r="I2177" s="71" t="e">
        <f>IF(COUNTIF((rName rData),H2177),"","Name Error!")</f>
        <v>#NAME?</v>
      </c>
    </row>
    <row r="2178" spans="2:9" s="126" customFormat="1" ht="15" customHeight="1" x14ac:dyDescent="0.25">
      <c r="B2178" s="271" t="s">
        <v>322</v>
      </c>
      <c r="C2178" s="272" t="s">
        <v>321</v>
      </c>
      <c r="D2178" s="275" t="s">
        <v>216</v>
      </c>
      <c r="E2178" s="275">
        <v>41571.75644675926</v>
      </c>
      <c r="F2178" s="276">
        <v>5</v>
      </c>
      <c r="G2178" s="243">
        <f t="shared" si="34"/>
        <v>108</v>
      </c>
      <c r="H2178" s="244"/>
      <c r="I2178" s="71" t="e">
        <f>IF(COUNTIF((rName rData),H2178),"","Name Error!")</f>
        <v>#NAME?</v>
      </c>
    </row>
    <row r="2179" spans="2:9" s="126" customFormat="1" ht="15" customHeight="1" x14ac:dyDescent="0.25">
      <c r="B2179" s="271" t="s">
        <v>331</v>
      </c>
      <c r="C2179" s="272" t="s">
        <v>330</v>
      </c>
      <c r="D2179" s="275" t="s">
        <v>216</v>
      </c>
      <c r="E2179" s="275">
        <v>41571.855416666665</v>
      </c>
      <c r="F2179" s="276">
        <v>1</v>
      </c>
      <c r="G2179" s="243">
        <f t="shared" si="34"/>
        <v>108</v>
      </c>
      <c r="H2179" s="244"/>
      <c r="I2179" s="71" t="e">
        <f>IF(COUNTIF((rName rData),H2179),"","Name Error!")</f>
        <v>#NAME?</v>
      </c>
    </row>
    <row r="2180" spans="2:9" s="126" customFormat="1" ht="15" customHeight="1" x14ac:dyDescent="0.25">
      <c r="B2180" s="271" t="s">
        <v>358</v>
      </c>
      <c r="C2180" s="272" t="s">
        <v>357</v>
      </c>
      <c r="D2180" s="275" t="s">
        <v>216</v>
      </c>
      <c r="E2180" s="275">
        <v>41572.458078703705</v>
      </c>
      <c r="F2180" s="276">
        <v>1</v>
      </c>
      <c r="G2180" s="243">
        <f t="shared" si="34"/>
        <v>108</v>
      </c>
      <c r="H2180" s="244"/>
      <c r="I2180" s="71" t="e">
        <f>IF(COUNTIF((rName rData),H2180),"","Name Error!")</f>
        <v>#NAME?</v>
      </c>
    </row>
    <row r="2181" spans="2:9" s="126" customFormat="1" ht="15" customHeight="1" x14ac:dyDescent="0.25">
      <c r="B2181" s="271" t="s">
        <v>267</v>
      </c>
      <c r="C2181" s="272" t="s">
        <v>268</v>
      </c>
      <c r="D2181" s="275" t="s">
        <v>216</v>
      </c>
      <c r="E2181" s="275">
        <v>41572.460717592592</v>
      </c>
      <c r="F2181" s="276">
        <v>4</v>
      </c>
      <c r="G2181" s="243">
        <f t="shared" si="34"/>
        <v>108</v>
      </c>
      <c r="H2181" s="244"/>
      <c r="I2181" s="71" t="e">
        <f>IF(COUNTIF((rName rData),H2181),"","Name Error!")</f>
        <v>#NAME?</v>
      </c>
    </row>
    <row r="2182" spans="2:9" s="126" customFormat="1" ht="15" customHeight="1" x14ac:dyDescent="0.25">
      <c r="B2182" s="271" t="s">
        <v>350</v>
      </c>
      <c r="C2182" s="272" t="s">
        <v>349</v>
      </c>
      <c r="D2182" s="275" t="s">
        <v>216</v>
      </c>
      <c r="E2182" s="275">
        <v>41572.691643518519</v>
      </c>
      <c r="F2182" s="276">
        <v>2</v>
      </c>
      <c r="G2182" s="243">
        <f t="shared" si="34"/>
        <v>108</v>
      </c>
      <c r="H2182" s="244"/>
      <c r="I2182" s="71" t="e">
        <f>IF(COUNTIF((rName rData),H2182),"","Name Error!")</f>
        <v>#NAME?</v>
      </c>
    </row>
    <row r="2183" spans="2:9" s="126" customFormat="1" ht="15" customHeight="1" x14ac:dyDescent="0.25">
      <c r="B2183" s="271" t="s">
        <v>331</v>
      </c>
      <c r="C2183" s="272" t="s">
        <v>330</v>
      </c>
      <c r="D2183" s="275" t="s">
        <v>216</v>
      </c>
      <c r="E2183" s="275">
        <v>41572.703784722224</v>
      </c>
      <c r="F2183" s="276">
        <v>1</v>
      </c>
      <c r="G2183" s="243">
        <f t="shared" si="34"/>
        <v>108</v>
      </c>
      <c r="H2183" s="244"/>
      <c r="I2183" s="71" t="e">
        <f>IF(COUNTIF((rName rData),H2183),"","Name Error!")</f>
        <v>#NAME?</v>
      </c>
    </row>
    <row r="2184" spans="2:9" s="126" customFormat="1" ht="15" customHeight="1" x14ac:dyDescent="0.25">
      <c r="B2184" s="271" t="s">
        <v>322</v>
      </c>
      <c r="C2184" s="272" t="s">
        <v>321</v>
      </c>
      <c r="D2184" s="275" t="s">
        <v>216</v>
      </c>
      <c r="E2184" s="275">
        <v>41572.755115740743</v>
      </c>
      <c r="F2184" s="276">
        <v>3</v>
      </c>
      <c r="G2184" s="243">
        <f t="shared" si="34"/>
        <v>108</v>
      </c>
      <c r="H2184" s="244"/>
      <c r="I2184" s="71" t="e">
        <f>IF(COUNTIF((rName rData),H2184),"","Name Error!")</f>
        <v>#NAME?</v>
      </c>
    </row>
    <row r="2185" spans="2:9" s="126" customFormat="1" ht="15" customHeight="1" x14ac:dyDescent="0.25">
      <c r="B2185" s="271" t="s">
        <v>365</v>
      </c>
      <c r="C2185" s="272" t="s">
        <v>364</v>
      </c>
      <c r="D2185" s="275" t="s">
        <v>216</v>
      </c>
      <c r="E2185" s="275">
        <v>41572.79587962963</v>
      </c>
      <c r="F2185" s="276">
        <v>2</v>
      </c>
      <c r="G2185" s="243">
        <f t="shared" si="34"/>
        <v>108</v>
      </c>
      <c r="H2185" s="244"/>
      <c r="I2185" s="71" t="e">
        <f>IF(COUNTIF((rName rData),H2185),"","Name Error!")</f>
        <v>#NAME?</v>
      </c>
    </row>
    <row r="2186" spans="2:9" s="126" customFormat="1" ht="15" customHeight="1" x14ac:dyDescent="0.25">
      <c r="B2186" s="271" t="s">
        <v>356</v>
      </c>
      <c r="C2186" s="272" t="s">
        <v>355</v>
      </c>
      <c r="D2186" s="275" t="s">
        <v>216</v>
      </c>
      <c r="E2186" s="275">
        <v>41572.796168981484</v>
      </c>
      <c r="F2186" s="276">
        <v>3</v>
      </c>
      <c r="G2186" s="243">
        <f t="shared" ref="G2186:G2249" si="35">TRUNC((E2186-start)/7)+1</f>
        <v>108</v>
      </c>
      <c r="H2186" s="244"/>
      <c r="I2186" s="71" t="e">
        <f>IF(COUNTIF((rName rData),H2186),"","Name Error!")</f>
        <v>#NAME?</v>
      </c>
    </row>
    <row r="2187" spans="2:9" s="126" customFormat="1" ht="15" customHeight="1" x14ac:dyDescent="0.25">
      <c r="B2187" s="271" t="s">
        <v>320</v>
      </c>
      <c r="C2187" s="272" t="s">
        <v>319</v>
      </c>
      <c r="D2187" s="275" t="s">
        <v>216</v>
      </c>
      <c r="E2187" s="275">
        <v>41572.859513888892</v>
      </c>
      <c r="F2187" s="276">
        <v>2</v>
      </c>
      <c r="G2187" s="243">
        <f t="shared" si="35"/>
        <v>108</v>
      </c>
      <c r="H2187" s="244"/>
      <c r="I2187" s="71" t="e">
        <f>IF(COUNTIF((rName rData),H2187),"","Name Error!")</f>
        <v>#NAME?</v>
      </c>
    </row>
    <row r="2188" spans="2:9" s="126" customFormat="1" ht="15" customHeight="1" x14ac:dyDescent="0.25">
      <c r="B2188" s="271" t="s">
        <v>328</v>
      </c>
      <c r="C2188" s="272" t="s">
        <v>327</v>
      </c>
      <c r="D2188" s="275" t="s">
        <v>216</v>
      </c>
      <c r="E2188" s="275">
        <v>41572.898645833331</v>
      </c>
      <c r="F2188" s="276">
        <v>1</v>
      </c>
      <c r="G2188" s="243">
        <f t="shared" si="35"/>
        <v>108</v>
      </c>
      <c r="H2188" s="244"/>
      <c r="I2188" s="71" t="e">
        <f>IF(COUNTIF((rName rData),H2188),"","Name Error!")</f>
        <v>#NAME?</v>
      </c>
    </row>
    <row r="2189" spans="2:9" s="126" customFormat="1" ht="15" customHeight="1" x14ac:dyDescent="0.25">
      <c r="B2189" s="271" t="s">
        <v>341</v>
      </c>
      <c r="C2189" s="272" t="s">
        <v>340</v>
      </c>
      <c r="D2189" s="275" t="s">
        <v>216</v>
      </c>
      <c r="E2189" s="275">
        <v>41572.989722222221</v>
      </c>
      <c r="F2189" s="276">
        <v>1</v>
      </c>
      <c r="G2189" s="243">
        <f t="shared" si="35"/>
        <v>108</v>
      </c>
      <c r="H2189" s="244"/>
      <c r="I2189" s="71" t="e">
        <f>IF(COUNTIF((rName rData),H2189),"","Name Error!")</f>
        <v>#NAME?</v>
      </c>
    </row>
    <row r="2190" spans="2:9" s="126" customFormat="1" ht="15" customHeight="1" x14ac:dyDescent="0.25">
      <c r="B2190" s="271" t="s">
        <v>322</v>
      </c>
      <c r="C2190" s="272" t="s">
        <v>321</v>
      </c>
      <c r="D2190" s="275" t="s">
        <v>216</v>
      </c>
      <c r="E2190" s="275">
        <v>41573.011724537035</v>
      </c>
      <c r="F2190" s="276">
        <v>6</v>
      </c>
      <c r="G2190" s="243">
        <f t="shared" si="35"/>
        <v>109</v>
      </c>
      <c r="H2190" s="244"/>
      <c r="I2190" s="71" t="e">
        <f>IF(COUNTIF((rName rData),H2190),"","Name Error!")</f>
        <v>#NAME?</v>
      </c>
    </row>
    <row r="2191" spans="2:9" s="126" customFormat="1" ht="15" customHeight="1" x14ac:dyDescent="0.25">
      <c r="B2191" s="271" t="s">
        <v>356</v>
      </c>
      <c r="C2191" s="272" t="s">
        <v>355</v>
      </c>
      <c r="D2191" s="275" t="s">
        <v>216</v>
      </c>
      <c r="E2191" s="275">
        <v>41573.465752314813</v>
      </c>
      <c r="F2191" s="276">
        <v>1</v>
      </c>
      <c r="G2191" s="243">
        <f t="shared" si="35"/>
        <v>109</v>
      </c>
      <c r="H2191" s="244"/>
      <c r="I2191" s="71" t="e">
        <f>IF(COUNTIF((rName rData),H2191),"","Name Error!")</f>
        <v>#NAME?</v>
      </c>
    </row>
    <row r="2192" spans="2:9" s="126" customFormat="1" ht="15" customHeight="1" x14ac:dyDescent="0.25">
      <c r="B2192" s="271" t="s">
        <v>371</v>
      </c>
      <c r="C2192" s="272" t="s">
        <v>370</v>
      </c>
      <c r="D2192" s="275" t="s">
        <v>216</v>
      </c>
      <c r="E2192" s="275">
        <v>41573.504641203705</v>
      </c>
      <c r="F2192" s="276">
        <v>1</v>
      </c>
      <c r="G2192" s="243">
        <f t="shared" si="35"/>
        <v>109</v>
      </c>
      <c r="H2192" s="244"/>
      <c r="I2192" s="71" t="e">
        <f>IF(COUNTIF((rName rData),H2192),"","Name Error!")</f>
        <v>#NAME?</v>
      </c>
    </row>
    <row r="2193" spans="2:9" s="126" customFormat="1" ht="15" customHeight="1" x14ac:dyDescent="0.25">
      <c r="B2193" s="271" t="s">
        <v>352</v>
      </c>
      <c r="C2193" s="272" t="s">
        <v>351</v>
      </c>
      <c r="D2193" s="275" t="s">
        <v>216</v>
      </c>
      <c r="E2193" s="275">
        <v>41573.51053240741</v>
      </c>
      <c r="F2193" s="276">
        <v>1</v>
      </c>
      <c r="G2193" s="243">
        <f t="shared" si="35"/>
        <v>109</v>
      </c>
      <c r="H2193" s="244"/>
      <c r="I2193" s="71" t="e">
        <f>IF(COUNTIF((rName rData),H2193),"","Name Error!")</f>
        <v>#NAME?</v>
      </c>
    </row>
    <row r="2194" spans="2:9" s="126" customFormat="1" ht="15" customHeight="1" x14ac:dyDescent="0.25">
      <c r="B2194" s="271" t="s">
        <v>365</v>
      </c>
      <c r="C2194" s="272" t="s">
        <v>364</v>
      </c>
      <c r="D2194" s="275" t="s">
        <v>216</v>
      </c>
      <c r="E2194" s="275">
        <v>41573.514386574076</v>
      </c>
      <c r="F2194" s="276">
        <v>1</v>
      </c>
      <c r="G2194" s="243">
        <f t="shared" si="35"/>
        <v>109</v>
      </c>
      <c r="H2194" s="244"/>
      <c r="I2194" s="71" t="e">
        <f>IF(COUNTIF((rName rData),H2194),"","Name Error!")</f>
        <v>#NAME?</v>
      </c>
    </row>
    <row r="2195" spans="2:9" s="126" customFormat="1" ht="15" customHeight="1" x14ac:dyDescent="0.25">
      <c r="B2195" s="271" t="s">
        <v>328</v>
      </c>
      <c r="C2195" s="272" t="s">
        <v>327</v>
      </c>
      <c r="D2195" s="275" t="s">
        <v>216</v>
      </c>
      <c r="E2195" s="275">
        <v>41573.531643518516</v>
      </c>
      <c r="F2195" s="276">
        <v>3</v>
      </c>
      <c r="G2195" s="243">
        <f t="shared" si="35"/>
        <v>109</v>
      </c>
      <c r="H2195" s="244"/>
      <c r="I2195" s="71" t="e">
        <f>IF(COUNTIF((rName rData),H2195),"","Name Error!")</f>
        <v>#NAME?</v>
      </c>
    </row>
    <row r="2196" spans="2:9" s="126" customFormat="1" ht="15" customHeight="1" x14ac:dyDescent="0.25">
      <c r="B2196" s="271" t="s">
        <v>341</v>
      </c>
      <c r="C2196" s="272" t="s">
        <v>340</v>
      </c>
      <c r="D2196" s="275" t="s">
        <v>216</v>
      </c>
      <c r="E2196" s="275">
        <v>41573.550081018519</v>
      </c>
      <c r="F2196" s="276">
        <v>1</v>
      </c>
      <c r="G2196" s="243">
        <f t="shared" si="35"/>
        <v>109</v>
      </c>
      <c r="H2196" s="244"/>
      <c r="I2196" s="71" t="e">
        <f>IF(COUNTIF((rName rData),H2196),"","Name Error!")</f>
        <v>#NAME?</v>
      </c>
    </row>
    <row r="2197" spans="2:9" s="126" customFormat="1" ht="15" customHeight="1" x14ac:dyDescent="0.25">
      <c r="B2197" s="271" t="s">
        <v>331</v>
      </c>
      <c r="C2197" s="272" t="s">
        <v>330</v>
      </c>
      <c r="D2197" s="275" t="s">
        <v>216</v>
      </c>
      <c r="E2197" s="275">
        <v>41573.561192129629</v>
      </c>
      <c r="F2197" s="276">
        <v>1</v>
      </c>
      <c r="G2197" s="243">
        <f t="shared" si="35"/>
        <v>109</v>
      </c>
      <c r="H2197" s="244"/>
      <c r="I2197" s="71" t="e">
        <f>IF(COUNTIF((rName rData),H2197),"","Name Error!")</f>
        <v>#NAME?</v>
      </c>
    </row>
    <row r="2198" spans="2:9" s="126" customFormat="1" ht="15" customHeight="1" x14ac:dyDescent="0.25">
      <c r="B2198" s="271" t="s">
        <v>358</v>
      </c>
      <c r="C2198" s="272" t="s">
        <v>357</v>
      </c>
      <c r="D2198" s="275" t="s">
        <v>216</v>
      </c>
      <c r="E2198" s="275">
        <v>41573.566655092596</v>
      </c>
      <c r="F2198" s="276">
        <v>1</v>
      </c>
      <c r="G2198" s="243">
        <f t="shared" si="35"/>
        <v>109</v>
      </c>
      <c r="H2198" s="244"/>
      <c r="I2198" s="71" t="e">
        <f>IF(COUNTIF((rName rData),H2198),"","Name Error!")</f>
        <v>#NAME?</v>
      </c>
    </row>
    <row r="2199" spans="2:9" s="126" customFormat="1" ht="15" customHeight="1" x14ac:dyDescent="0.25">
      <c r="B2199" s="271" t="s">
        <v>324</v>
      </c>
      <c r="C2199" s="272" t="s">
        <v>323</v>
      </c>
      <c r="D2199" s="275" t="s">
        <v>216</v>
      </c>
      <c r="E2199" s="275">
        <v>41573.630694444444</v>
      </c>
      <c r="F2199" s="276">
        <v>1</v>
      </c>
      <c r="G2199" s="243">
        <f t="shared" si="35"/>
        <v>109</v>
      </c>
      <c r="H2199" s="244"/>
      <c r="I2199" s="71" t="e">
        <f>IF(COUNTIF((rName rData),H2199),"","Name Error!")</f>
        <v>#NAME?</v>
      </c>
    </row>
    <row r="2200" spans="2:9" s="126" customFormat="1" ht="15" customHeight="1" x14ac:dyDescent="0.25">
      <c r="B2200" s="271" t="s">
        <v>367</v>
      </c>
      <c r="C2200" s="272" t="s">
        <v>366</v>
      </c>
      <c r="D2200" s="275" t="s">
        <v>216</v>
      </c>
      <c r="E2200" s="275">
        <v>41573.654699074075</v>
      </c>
      <c r="F2200" s="276">
        <v>5</v>
      </c>
      <c r="G2200" s="243">
        <f t="shared" si="35"/>
        <v>109</v>
      </c>
      <c r="H2200" s="244"/>
      <c r="I2200" s="71" t="e">
        <f>IF(COUNTIF((rName rData),H2200),"","Name Error!")</f>
        <v>#NAME?</v>
      </c>
    </row>
    <row r="2201" spans="2:9" s="126" customFormat="1" ht="15" customHeight="1" x14ac:dyDescent="0.25">
      <c r="B2201" s="271" t="s">
        <v>339</v>
      </c>
      <c r="C2201" s="272" t="s">
        <v>338</v>
      </c>
      <c r="D2201" s="275" t="s">
        <v>216</v>
      </c>
      <c r="E2201" s="275">
        <v>41573.782986111109</v>
      </c>
      <c r="F2201" s="276">
        <v>2</v>
      </c>
      <c r="G2201" s="243">
        <f t="shared" si="35"/>
        <v>109</v>
      </c>
      <c r="H2201" s="244"/>
      <c r="I2201" s="71" t="e">
        <f>IF(COUNTIF((rName rData),H2201),"","Name Error!")</f>
        <v>#NAME?</v>
      </c>
    </row>
    <row r="2202" spans="2:9" s="126" customFormat="1" ht="15" customHeight="1" x14ac:dyDescent="0.25">
      <c r="B2202" s="271" t="s">
        <v>322</v>
      </c>
      <c r="C2202" s="272" t="s">
        <v>321</v>
      </c>
      <c r="D2202" s="275" t="s">
        <v>216</v>
      </c>
      <c r="E2202" s="275">
        <v>41574.397291666668</v>
      </c>
      <c r="F2202" s="276">
        <v>6</v>
      </c>
      <c r="G2202" s="243">
        <f t="shared" si="35"/>
        <v>109</v>
      </c>
      <c r="H2202" s="244"/>
      <c r="I2202" s="71" t="e">
        <f>IF(COUNTIF((rName rData),H2202),"","Name Error!")</f>
        <v>#NAME?</v>
      </c>
    </row>
    <row r="2203" spans="2:9" s="126" customFormat="1" ht="15" customHeight="1" x14ac:dyDescent="0.25">
      <c r="B2203" s="271" t="s">
        <v>352</v>
      </c>
      <c r="C2203" s="272" t="s">
        <v>351</v>
      </c>
      <c r="D2203" s="275" t="s">
        <v>216</v>
      </c>
      <c r="E2203" s="275">
        <v>41574.422199074077</v>
      </c>
      <c r="F2203" s="276">
        <v>2</v>
      </c>
      <c r="G2203" s="243">
        <f t="shared" si="35"/>
        <v>109</v>
      </c>
      <c r="H2203" s="244"/>
      <c r="I2203" s="71" t="e">
        <f>IF(COUNTIF((rName rData),H2203),"","Name Error!")</f>
        <v>#NAME?</v>
      </c>
    </row>
    <row r="2204" spans="2:9" s="126" customFormat="1" ht="15" customHeight="1" x14ac:dyDescent="0.25">
      <c r="B2204" s="271" t="s">
        <v>356</v>
      </c>
      <c r="C2204" s="272" t="s">
        <v>355</v>
      </c>
      <c r="D2204" s="275" t="s">
        <v>216</v>
      </c>
      <c r="E2204" s="275">
        <v>41574.466249999998</v>
      </c>
      <c r="F2204" s="276">
        <v>4</v>
      </c>
      <c r="G2204" s="243">
        <f t="shared" si="35"/>
        <v>109</v>
      </c>
      <c r="H2204" s="244"/>
      <c r="I2204" s="71" t="e">
        <f>IF(COUNTIF((rName rData),H2204),"","Name Error!")</f>
        <v>#NAME?</v>
      </c>
    </row>
    <row r="2205" spans="2:9" s="126" customFormat="1" ht="15" customHeight="1" x14ac:dyDescent="0.25">
      <c r="B2205" s="271" t="s">
        <v>345</v>
      </c>
      <c r="C2205" s="272" t="s">
        <v>344</v>
      </c>
      <c r="D2205" s="275" t="s">
        <v>216</v>
      </c>
      <c r="E2205" s="275">
        <v>41574.487372685187</v>
      </c>
      <c r="F2205" s="276">
        <v>3</v>
      </c>
      <c r="G2205" s="243">
        <f t="shared" si="35"/>
        <v>109</v>
      </c>
      <c r="H2205" s="244"/>
      <c r="I2205" s="71" t="e">
        <f>IF(COUNTIF((rName rData),H2205),"","Name Error!")</f>
        <v>#NAME?</v>
      </c>
    </row>
    <row r="2206" spans="2:9" s="126" customFormat="1" ht="15" customHeight="1" x14ac:dyDescent="0.25">
      <c r="B2206" s="271" t="s">
        <v>358</v>
      </c>
      <c r="C2206" s="272" t="s">
        <v>357</v>
      </c>
      <c r="D2206" s="275" t="s">
        <v>216</v>
      </c>
      <c r="E2206" s="275">
        <v>41574.52548611111</v>
      </c>
      <c r="F2206" s="276">
        <v>4</v>
      </c>
      <c r="G2206" s="243">
        <f t="shared" si="35"/>
        <v>109</v>
      </c>
      <c r="H2206" s="244"/>
      <c r="I2206" s="71" t="e">
        <f>IF(COUNTIF((rName rData),H2206),"","Name Error!")</f>
        <v>#NAME?</v>
      </c>
    </row>
    <row r="2207" spans="2:9" s="126" customFormat="1" ht="15" customHeight="1" x14ac:dyDescent="0.25">
      <c r="B2207" s="271" t="s">
        <v>335</v>
      </c>
      <c r="C2207" s="272" t="s">
        <v>334</v>
      </c>
      <c r="D2207" s="275" t="s">
        <v>216</v>
      </c>
      <c r="E2207" s="275">
        <v>41574.553437499999</v>
      </c>
      <c r="F2207" s="276">
        <v>2</v>
      </c>
      <c r="G2207" s="243">
        <f t="shared" si="35"/>
        <v>109</v>
      </c>
      <c r="H2207" s="244"/>
      <c r="I2207" s="71" t="e">
        <f>IF(COUNTIF((rName rData),H2207),"","Name Error!")</f>
        <v>#NAME?</v>
      </c>
    </row>
    <row r="2208" spans="2:9" s="126" customFormat="1" ht="15" customHeight="1" x14ac:dyDescent="0.25">
      <c r="B2208" s="271" t="s">
        <v>267</v>
      </c>
      <c r="C2208" s="272" t="s">
        <v>268</v>
      </c>
      <c r="D2208" s="275" t="s">
        <v>216</v>
      </c>
      <c r="E2208" s="275">
        <v>41574.592743055553</v>
      </c>
      <c r="F2208" s="276">
        <v>4</v>
      </c>
      <c r="G2208" s="243">
        <f t="shared" si="35"/>
        <v>109</v>
      </c>
      <c r="H2208" s="244"/>
      <c r="I2208" s="71" t="e">
        <f>IF(COUNTIF((rName rData),H2208),"","Name Error!")</f>
        <v>#NAME?</v>
      </c>
    </row>
    <row r="2209" spans="2:9" s="126" customFormat="1" ht="15" customHeight="1" x14ac:dyDescent="0.25">
      <c r="B2209" s="271" t="s">
        <v>324</v>
      </c>
      <c r="C2209" s="272" t="s">
        <v>323</v>
      </c>
      <c r="D2209" s="275" t="s">
        <v>216</v>
      </c>
      <c r="E2209" s="275">
        <v>41574.649861111109</v>
      </c>
      <c r="F2209" s="276">
        <v>1</v>
      </c>
      <c r="G2209" s="243">
        <f t="shared" si="35"/>
        <v>109</v>
      </c>
      <c r="H2209" s="244"/>
      <c r="I2209" s="71" t="e">
        <f>IF(COUNTIF((rName rData),H2209),"","Name Error!")</f>
        <v>#NAME?</v>
      </c>
    </row>
    <row r="2210" spans="2:9" s="126" customFormat="1" ht="15" customHeight="1" x14ac:dyDescent="0.25">
      <c r="B2210" s="271" t="s">
        <v>362</v>
      </c>
      <c r="C2210" s="272" t="s">
        <v>361</v>
      </c>
      <c r="D2210" s="275" t="s">
        <v>216</v>
      </c>
      <c r="E2210" s="275">
        <v>41574.674745370372</v>
      </c>
      <c r="F2210" s="276">
        <v>1</v>
      </c>
      <c r="G2210" s="243">
        <f t="shared" si="35"/>
        <v>109</v>
      </c>
      <c r="H2210" s="244"/>
      <c r="I2210" s="71" t="e">
        <f>IF(COUNTIF((rName rData),H2210),"","Name Error!")</f>
        <v>#NAME?</v>
      </c>
    </row>
    <row r="2211" spans="2:9" s="126" customFormat="1" ht="15" customHeight="1" x14ac:dyDescent="0.25">
      <c r="B2211" s="271" t="s">
        <v>337</v>
      </c>
      <c r="C2211" s="272" t="s">
        <v>336</v>
      </c>
      <c r="D2211" s="275" t="s">
        <v>216</v>
      </c>
      <c r="E2211" s="275">
        <v>41574.6877662037</v>
      </c>
      <c r="F2211" s="276">
        <v>1</v>
      </c>
      <c r="G2211" s="243">
        <f t="shared" si="35"/>
        <v>109</v>
      </c>
      <c r="H2211" s="244"/>
      <c r="I2211" s="71" t="e">
        <f>IF(COUNTIF((rName rData),H2211),"","Name Error!")</f>
        <v>#NAME?</v>
      </c>
    </row>
    <row r="2212" spans="2:9" s="126" customFormat="1" ht="15" customHeight="1" x14ac:dyDescent="0.25">
      <c r="B2212" s="271" t="s">
        <v>350</v>
      </c>
      <c r="C2212" s="272" t="s">
        <v>349</v>
      </c>
      <c r="D2212" s="275" t="s">
        <v>216</v>
      </c>
      <c r="E2212" s="275">
        <v>41574.688020833331</v>
      </c>
      <c r="F2212" s="276">
        <v>2</v>
      </c>
      <c r="G2212" s="243">
        <f t="shared" si="35"/>
        <v>109</v>
      </c>
      <c r="H2212" s="244"/>
      <c r="I2212" s="71" t="e">
        <f>IF(COUNTIF((rName rData),H2212),"","Name Error!")</f>
        <v>#NAME?</v>
      </c>
    </row>
    <row r="2213" spans="2:9" s="126" customFormat="1" ht="15" customHeight="1" x14ac:dyDescent="0.25">
      <c r="B2213" s="271" t="s">
        <v>365</v>
      </c>
      <c r="C2213" s="272" t="s">
        <v>364</v>
      </c>
      <c r="D2213" s="275" t="s">
        <v>216</v>
      </c>
      <c r="E2213" s="275">
        <v>41574.690104166664</v>
      </c>
      <c r="F2213" s="276">
        <v>1</v>
      </c>
      <c r="G2213" s="243">
        <f t="shared" si="35"/>
        <v>109</v>
      </c>
      <c r="H2213" s="244"/>
      <c r="I2213" s="71" t="e">
        <f>IF(COUNTIF((rName rData),H2213),"","Name Error!")</f>
        <v>#NAME?</v>
      </c>
    </row>
    <row r="2214" spans="2:9" s="126" customFormat="1" ht="15" customHeight="1" x14ac:dyDescent="0.25">
      <c r="B2214" s="271" t="s">
        <v>331</v>
      </c>
      <c r="C2214" s="272" t="s">
        <v>330</v>
      </c>
      <c r="D2214" s="275" t="s">
        <v>216</v>
      </c>
      <c r="E2214" s="275">
        <v>41574.709293981483</v>
      </c>
      <c r="F2214" s="276">
        <v>2</v>
      </c>
      <c r="G2214" s="243">
        <f t="shared" si="35"/>
        <v>109</v>
      </c>
      <c r="H2214" s="244"/>
      <c r="I2214" s="71" t="e">
        <f>IF(COUNTIF((rName rData),H2214),"","Name Error!")</f>
        <v>#NAME?</v>
      </c>
    </row>
    <row r="2215" spans="2:9" s="126" customFormat="1" ht="15" customHeight="1" x14ac:dyDescent="0.25">
      <c r="B2215" s="271" t="s">
        <v>328</v>
      </c>
      <c r="C2215" s="272" t="s">
        <v>327</v>
      </c>
      <c r="D2215" s="275" t="s">
        <v>216</v>
      </c>
      <c r="E2215" s="275">
        <v>41574.789317129631</v>
      </c>
      <c r="F2215" s="276">
        <v>3</v>
      </c>
      <c r="G2215" s="243">
        <f t="shared" si="35"/>
        <v>109</v>
      </c>
      <c r="H2215" s="244"/>
      <c r="I2215" s="71" t="e">
        <f>IF(COUNTIF((rName rData),H2215),"","Name Error!")</f>
        <v>#NAME?</v>
      </c>
    </row>
    <row r="2216" spans="2:9" s="126" customFormat="1" ht="15" customHeight="1" x14ac:dyDescent="0.25">
      <c r="B2216" s="271" t="s">
        <v>354</v>
      </c>
      <c r="C2216" s="272" t="s">
        <v>353</v>
      </c>
      <c r="D2216" s="275" t="s">
        <v>216</v>
      </c>
      <c r="E2216" s="275">
        <v>41574.820729166669</v>
      </c>
      <c r="F2216" s="276">
        <v>1</v>
      </c>
      <c r="G2216" s="243">
        <f t="shared" si="35"/>
        <v>109</v>
      </c>
      <c r="H2216" s="244"/>
      <c r="I2216" s="71" t="e">
        <f>IF(COUNTIF((rName rData),H2216),"","Name Error!")</f>
        <v>#NAME?</v>
      </c>
    </row>
    <row r="2217" spans="2:9" s="126" customFormat="1" ht="15" customHeight="1" x14ac:dyDescent="0.25">
      <c r="B2217" s="271" t="s">
        <v>339</v>
      </c>
      <c r="C2217" s="272" t="s">
        <v>338</v>
      </c>
      <c r="D2217" s="275" t="s">
        <v>216</v>
      </c>
      <c r="E2217" s="275">
        <v>41574.875972222224</v>
      </c>
      <c r="F2217" s="276">
        <v>1</v>
      </c>
      <c r="G2217" s="243">
        <f t="shared" si="35"/>
        <v>109</v>
      </c>
      <c r="H2217" s="244"/>
      <c r="I2217" s="71" t="e">
        <f>IF(COUNTIF((rName rData),H2217),"","Name Error!")</f>
        <v>#NAME?</v>
      </c>
    </row>
    <row r="2218" spans="2:9" s="126" customFormat="1" ht="15" customHeight="1" x14ac:dyDescent="0.25">
      <c r="B2218" s="271" t="s">
        <v>371</v>
      </c>
      <c r="C2218" s="272" t="s">
        <v>370</v>
      </c>
      <c r="D2218" s="275" t="s">
        <v>216</v>
      </c>
      <c r="E2218" s="275">
        <v>41574.933379629627</v>
      </c>
      <c r="F2218" s="276">
        <v>1</v>
      </c>
      <c r="G2218" s="243">
        <f t="shared" si="35"/>
        <v>109</v>
      </c>
      <c r="H2218" s="244"/>
      <c r="I2218" s="71" t="e">
        <f>IF(COUNTIF((rName rData),H2218),"","Name Error!")</f>
        <v>#NAME?</v>
      </c>
    </row>
    <row r="2219" spans="2:9" s="126" customFormat="1" ht="15" customHeight="1" x14ac:dyDescent="0.25">
      <c r="B2219" s="271" t="s">
        <v>341</v>
      </c>
      <c r="C2219" s="272" t="s">
        <v>340</v>
      </c>
      <c r="D2219" s="275" t="s">
        <v>216</v>
      </c>
      <c r="E2219" s="275">
        <v>41574.942060185182</v>
      </c>
      <c r="F2219" s="276">
        <v>1</v>
      </c>
      <c r="G2219" s="243">
        <f t="shared" si="35"/>
        <v>109</v>
      </c>
      <c r="H2219" s="244"/>
      <c r="I2219" s="71" t="e">
        <f>IF(COUNTIF((rName rData),H2219),"","Name Error!")</f>
        <v>#NAME?</v>
      </c>
    </row>
    <row r="2220" spans="2:9" s="126" customFormat="1" ht="15" customHeight="1" x14ac:dyDescent="0.25">
      <c r="B2220" s="271" t="s">
        <v>341</v>
      </c>
      <c r="C2220" s="272" t="s">
        <v>340</v>
      </c>
      <c r="D2220" s="275" t="s">
        <v>216</v>
      </c>
      <c r="E2220" s="275">
        <v>41575.013229166667</v>
      </c>
      <c r="F2220" s="276">
        <v>1</v>
      </c>
      <c r="G2220" s="243">
        <f t="shared" si="35"/>
        <v>109</v>
      </c>
      <c r="H2220" s="244"/>
      <c r="I2220" s="71" t="e">
        <f>IF(COUNTIF((rName rData),H2220),"","Name Error!")</f>
        <v>#NAME?</v>
      </c>
    </row>
    <row r="2221" spans="2:9" s="126" customFormat="1" ht="15" customHeight="1" x14ac:dyDescent="0.25">
      <c r="B2221" s="271" t="s">
        <v>339</v>
      </c>
      <c r="C2221" s="272" t="s">
        <v>338</v>
      </c>
      <c r="D2221" s="275" t="s">
        <v>216</v>
      </c>
      <c r="E2221" s="275">
        <v>41575.09003472222</v>
      </c>
      <c r="F2221" s="276">
        <v>1</v>
      </c>
      <c r="G2221" s="243">
        <f t="shared" si="35"/>
        <v>109</v>
      </c>
      <c r="H2221" s="244"/>
      <c r="I2221" s="71" t="e">
        <f>IF(COUNTIF((rName rData),H2221),"","Name Error!")</f>
        <v>#NAME?</v>
      </c>
    </row>
    <row r="2222" spans="2:9" s="126" customFormat="1" ht="15" customHeight="1" x14ac:dyDescent="0.25">
      <c r="B2222" s="271" t="s">
        <v>333</v>
      </c>
      <c r="C2222" s="272" t="s">
        <v>332</v>
      </c>
      <c r="D2222" s="275" t="s">
        <v>216</v>
      </c>
      <c r="E2222" s="275">
        <v>41575.12704861111</v>
      </c>
      <c r="F2222" s="276">
        <v>4</v>
      </c>
      <c r="G2222" s="243">
        <f t="shared" si="35"/>
        <v>109</v>
      </c>
      <c r="H2222" s="244"/>
      <c r="I2222" s="71" t="e">
        <f>IF(COUNTIF((rName rData),H2222),"","Name Error!")</f>
        <v>#NAME?</v>
      </c>
    </row>
    <row r="2223" spans="2:9" s="126" customFormat="1" ht="15" customHeight="1" x14ac:dyDescent="0.25">
      <c r="B2223" s="271" t="s">
        <v>358</v>
      </c>
      <c r="C2223" s="272" t="s">
        <v>357</v>
      </c>
      <c r="D2223" s="275" t="s">
        <v>216</v>
      </c>
      <c r="E2223" s="275">
        <v>41575.412928240738</v>
      </c>
      <c r="F2223" s="276">
        <v>1</v>
      </c>
      <c r="G2223" s="243">
        <f t="shared" si="35"/>
        <v>109</v>
      </c>
      <c r="H2223" s="244"/>
      <c r="I2223" s="71" t="e">
        <f>IF(COUNTIF((rName rData),H2223),"","Name Error!")</f>
        <v>#NAME?</v>
      </c>
    </row>
    <row r="2224" spans="2:9" s="126" customFormat="1" ht="15" customHeight="1" x14ac:dyDescent="0.25">
      <c r="B2224" s="271" t="s">
        <v>350</v>
      </c>
      <c r="C2224" s="272" t="s">
        <v>349</v>
      </c>
      <c r="D2224" s="275" t="s">
        <v>216</v>
      </c>
      <c r="E2224" s="275">
        <v>41575.51703703704</v>
      </c>
      <c r="F2224" s="276">
        <v>2</v>
      </c>
      <c r="G2224" s="243">
        <f t="shared" si="35"/>
        <v>109</v>
      </c>
      <c r="H2224" s="244"/>
      <c r="I2224" s="71" t="e">
        <f>IF(COUNTIF((rName rData),H2224),"","Name Error!")</f>
        <v>#NAME?</v>
      </c>
    </row>
    <row r="2225" spans="2:9" s="126" customFormat="1" ht="15" customHeight="1" x14ac:dyDescent="0.25">
      <c r="B2225" s="271" t="s">
        <v>322</v>
      </c>
      <c r="C2225" s="272" t="s">
        <v>321</v>
      </c>
      <c r="D2225" s="275" t="s">
        <v>216</v>
      </c>
      <c r="E2225" s="275">
        <v>41575.747719907406</v>
      </c>
      <c r="F2225" s="276">
        <v>4</v>
      </c>
      <c r="G2225" s="243">
        <f t="shared" si="35"/>
        <v>109</v>
      </c>
      <c r="H2225" s="244"/>
      <c r="I2225" s="71" t="e">
        <f>IF(COUNTIF((rName rData),H2225),"","Name Error!")</f>
        <v>#NAME?</v>
      </c>
    </row>
    <row r="2226" spans="2:9" s="126" customFormat="1" ht="15" customHeight="1" x14ac:dyDescent="0.25">
      <c r="B2226" s="271" t="s">
        <v>354</v>
      </c>
      <c r="C2226" s="272" t="s">
        <v>353</v>
      </c>
      <c r="D2226" s="275" t="s">
        <v>216</v>
      </c>
      <c r="E2226" s="275">
        <v>41575.819837962961</v>
      </c>
      <c r="F2226" s="276">
        <v>1</v>
      </c>
      <c r="G2226" s="243">
        <f t="shared" si="35"/>
        <v>109</v>
      </c>
      <c r="H2226" s="244"/>
      <c r="I2226" s="71" t="e">
        <f>IF(COUNTIF((rName rData),H2226),"","Name Error!")</f>
        <v>#NAME?</v>
      </c>
    </row>
    <row r="2227" spans="2:9" s="126" customFormat="1" ht="15" customHeight="1" x14ac:dyDescent="0.25">
      <c r="B2227" s="271" t="s">
        <v>345</v>
      </c>
      <c r="C2227" s="272" t="s">
        <v>344</v>
      </c>
      <c r="D2227" s="275" t="s">
        <v>216</v>
      </c>
      <c r="E2227" s="275">
        <v>41575.823495370372</v>
      </c>
      <c r="F2227" s="276">
        <v>1</v>
      </c>
      <c r="G2227" s="243">
        <f t="shared" si="35"/>
        <v>109</v>
      </c>
      <c r="H2227" s="244"/>
      <c r="I2227" s="71" t="e">
        <f>IF(COUNTIF((rName rData),H2227),"","Name Error!")</f>
        <v>#NAME?</v>
      </c>
    </row>
    <row r="2228" spans="2:9" s="126" customFormat="1" ht="15" customHeight="1" x14ac:dyDescent="0.25">
      <c r="B2228" s="271" t="s">
        <v>352</v>
      </c>
      <c r="C2228" s="272" t="s">
        <v>351</v>
      </c>
      <c r="D2228" s="275" t="s">
        <v>216</v>
      </c>
      <c r="E2228" s="275">
        <v>41575.947199074071</v>
      </c>
      <c r="F2228" s="276">
        <v>1</v>
      </c>
      <c r="G2228" s="243">
        <f t="shared" si="35"/>
        <v>109</v>
      </c>
      <c r="H2228" s="244"/>
      <c r="I2228" s="71" t="e">
        <f>IF(COUNTIF((rName rData),H2228),"","Name Error!")</f>
        <v>#NAME?</v>
      </c>
    </row>
    <row r="2229" spans="2:9" s="126" customFormat="1" ht="15" customHeight="1" x14ac:dyDescent="0.25">
      <c r="B2229" s="271" t="s">
        <v>333</v>
      </c>
      <c r="C2229" s="272" t="s">
        <v>332</v>
      </c>
      <c r="D2229" s="275" t="s">
        <v>216</v>
      </c>
      <c r="E2229" s="275">
        <v>41576.027951388889</v>
      </c>
      <c r="F2229" s="276">
        <v>4</v>
      </c>
      <c r="G2229" s="243">
        <f t="shared" si="35"/>
        <v>109</v>
      </c>
      <c r="H2229" s="244"/>
      <c r="I2229" s="71" t="e">
        <f>IF(COUNTIF((rName rData),H2229),"","Name Error!")</f>
        <v>#NAME?</v>
      </c>
    </row>
    <row r="2230" spans="2:9" s="126" customFormat="1" ht="15" customHeight="1" x14ac:dyDescent="0.25">
      <c r="B2230" s="271" t="s">
        <v>354</v>
      </c>
      <c r="C2230" s="272" t="s">
        <v>353</v>
      </c>
      <c r="D2230" s="275" t="s">
        <v>216</v>
      </c>
      <c r="E2230" s="275">
        <v>41576.311979166669</v>
      </c>
      <c r="F2230" s="276">
        <v>4</v>
      </c>
      <c r="G2230" s="243">
        <f t="shared" si="35"/>
        <v>109</v>
      </c>
      <c r="H2230" s="244"/>
      <c r="I2230" s="71" t="e">
        <f>IF(COUNTIF((rName rData),H2230),"","Name Error!")</f>
        <v>#NAME?</v>
      </c>
    </row>
    <row r="2231" spans="2:9" s="126" customFormat="1" ht="15" customHeight="1" x14ac:dyDescent="0.25">
      <c r="B2231" s="271" t="s">
        <v>322</v>
      </c>
      <c r="C2231" s="272" t="s">
        <v>321</v>
      </c>
      <c r="D2231" s="275" t="s">
        <v>216</v>
      </c>
      <c r="E2231" s="275">
        <v>41576.406585648147</v>
      </c>
      <c r="F2231" s="276">
        <v>8</v>
      </c>
      <c r="G2231" s="243">
        <f t="shared" si="35"/>
        <v>109</v>
      </c>
      <c r="H2231" s="244"/>
      <c r="I2231" s="71" t="e">
        <f>IF(COUNTIF((rName rData),H2231),"","Name Error!")</f>
        <v>#NAME?</v>
      </c>
    </row>
    <row r="2232" spans="2:9" s="126" customFormat="1" ht="15" customHeight="1" x14ac:dyDescent="0.25">
      <c r="B2232" s="271" t="s">
        <v>358</v>
      </c>
      <c r="C2232" s="272" t="s">
        <v>357</v>
      </c>
      <c r="D2232" s="275" t="s">
        <v>216</v>
      </c>
      <c r="E2232" s="275">
        <v>41576.415081018517</v>
      </c>
      <c r="F2232" s="276">
        <v>2</v>
      </c>
      <c r="G2232" s="243">
        <f t="shared" si="35"/>
        <v>109</v>
      </c>
      <c r="H2232" s="244"/>
      <c r="I2232" s="71" t="e">
        <f>IF(COUNTIF((rName rData),H2232),"","Name Error!")</f>
        <v>#NAME?</v>
      </c>
    </row>
    <row r="2233" spans="2:9" s="126" customFormat="1" ht="15" customHeight="1" x14ac:dyDescent="0.25">
      <c r="B2233" s="271" t="s">
        <v>267</v>
      </c>
      <c r="C2233" s="272" t="s">
        <v>268</v>
      </c>
      <c r="D2233" s="275" t="s">
        <v>216</v>
      </c>
      <c r="E2233" s="275">
        <v>41576.437650462962</v>
      </c>
      <c r="F2233" s="276">
        <v>4</v>
      </c>
      <c r="G2233" s="243">
        <f t="shared" si="35"/>
        <v>109</v>
      </c>
      <c r="H2233" s="244"/>
      <c r="I2233" s="71" t="e">
        <f>IF(COUNTIF((rName rData),H2233),"","Name Error!")</f>
        <v>#NAME?</v>
      </c>
    </row>
    <row r="2234" spans="2:9" s="126" customFormat="1" ht="15" customHeight="1" x14ac:dyDescent="0.25">
      <c r="B2234" s="271" t="s">
        <v>341</v>
      </c>
      <c r="C2234" s="272" t="s">
        <v>340</v>
      </c>
      <c r="D2234" s="275" t="s">
        <v>216</v>
      </c>
      <c r="E2234" s="275">
        <v>41576.523032407407</v>
      </c>
      <c r="F2234" s="276">
        <v>2</v>
      </c>
      <c r="G2234" s="243">
        <f t="shared" si="35"/>
        <v>109</v>
      </c>
      <c r="H2234" s="244"/>
      <c r="I2234" s="71" t="e">
        <f>IF(COUNTIF((rName rData),H2234),"","Name Error!")</f>
        <v>#NAME?</v>
      </c>
    </row>
    <row r="2235" spans="2:9" s="126" customFormat="1" ht="15" customHeight="1" x14ac:dyDescent="0.25">
      <c r="B2235" s="271" t="s">
        <v>331</v>
      </c>
      <c r="C2235" s="272" t="s">
        <v>330</v>
      </c>
      <c r="D2235" s="275" t="s">
        <v>216</v>
      </c>
      <c r="E2235" s="275">
        <v>41576.529270833336</v>
      </c>
      <c r="F2235" s="276">
        <v>3</v>
      </c>
      <c r="G2235" s="243">
        <f t="shared" si="35"/>
        <v>109</v>
      </c>
      <c r="H2235" s="244"/>
      <c r="I2235" s="71" t="e">
        <f>IF(COUNTIF((rName rData),H2235),"","Name Error!")</f>
        <v>#NAME?</v>
      </c>
    </row>
    <row r="2236" spans="2:9" s="126" customFormat="1" ht="15" customHeight="1" x14ac:dyDescent="0.25">
      <c r="B2236" s="271" t="s">
        <v>350</v>
      </c>
      <c r="C2236" s="272" t="s">
        <v>349</v>
      </c>
      <c r="D2236" s="275" t="s">
        <v>216</v>
      </c>
      <c r="E2236" s="275">
        <v>41576.598506944443</v>
      </c>
      <c r="F2236" s="276">
        <v>2</v>
      </c>
      <c r="G2236" s="243">
        <f t="shared" si="35"/>
        <v>109</v>
      </c>
      <c r="H2236" s="244"/>
      <c r="I2236" s="71" t="e">
        <f>IF(COUNTIF((rName rData),H2236),"","Name Error!")</f>
        <v>#NAME?</v>
      </c>
    </row>
    <row r="2237" spans="2:9" s="126" customFormat="1" ht="15" customHeight="1" x14ac:dyDescent="0.25">
      <c r="B2237" s="271" t="s">
        <v>335</v>
      </c>
      <c r="C2237" s="272" t="s">
        <v>334</v>
      </c>
      <c r="D2237" s="275" t="s">
        <v>216</v>
      </c>
      <c r="E2237" s="275">
        <v>41576.731064814812</v>
      </c>
      <c r="F2237" s="276">
        <v>1</v>
      </c>
      <c r="G2237" s="243">
        <f t="shared" si="35"/>
        <v>109</v>
      </c>
      <c r="H2237" s="244"/>
      <c r="I2237" s="71" t="e">
        <f>IF(COUNTIF((rName rData),H2237),"","Name Error!")</f>
        <v>#NAME?</v>
      </c>
    </row>
    <row r="2238" spans="2:9" s="126" customFormat="1" ht="15" customHeight="1" x14ac:dyDescent="0.25">
      <c r="B2238" s="271" t="s">
        <v>352</v>
      </c>
      <c r="C2238" s="272" t="s">
        <v>351</v>
      </c>
      <c r="D2238" s="275" t="s">
        <v>216</v>
      </c>
      <c r="E2238" s="275">
        <v>41576.82335648148</v>
      </c>
      <c r="F2238" s="276">
        <v>1</v>
      </c>
      <c r="G2238" s="243">
        <f t="shared" si="35"/>
        <v>109</v>
      </c>
      <c r="H2238" s="244"/>
      <c r="I2238" s="71" t="e">
        <f>IF(COUNTIF((rName rData),H2238),"","Name Error!")</f>
        <v>#NAME?</v>
      </c>
    </row>
    <row r="2239" spans="2:9" s="126" customFormat="1" ht="15" customHeight="1" x14ac:dyDescent="0.25">
      <c r="B2239" s="271" t="s">
        <v>367</v>
      </c>
      <c r="C2239" s="272" t="s">
        <v>366</v>
      </c>
      <c r="D2239" s="275" t="s">
        <v>216</v>
      </c>
      <c r="E2239" s="275">
        <v>41577.009259259263</v>
      </c>
      <c r="F2239" s="276">
        <v>1</v>
      </c>
      <c r="G2239" s="243">
        <f t="shared" si="35"/>
        <v>109</v>
      </c>
      <c r="H2239" s="244"/>
      <c r="I2239" s="71" t="e">
        <f>IF(COUNTIF((rName rData),H2239),"","Name Error!")</f>
        <v>#NAME?</v>
      </c>
    </row>
    <row r="2240" spans="2:9" s="126" customFormat="1" ht="15" customHeight="1" x14ac:dyDescent="0.25">
      <c r="B2240" s="271" t="s">
        <v>333</v>
      </c>
      <c r="C2240" s="272" t="s">
        <v>332</v>
      </c>
      <c r="D2240" s="275" t="s">
        <v>216</v>
      </c>
      <c r="E2240" s="275">
        <v>41577.067037037035</v>
      </c>
      <c r="F2240" s="276">
        <v>7</v>
      </c>
      <c r="G2240" s="243">
        <f t="shared" si="35"/>
        <v>109</v>
      </c>
      <c r="H2240" s="244"/>
      <c r="I2240" s="71" t="e">
        <f>IF(COUNTIF((rName rData),H2240),"","Name Error!")</f>
        <v>#NAME?</v>
      </c>
    </row>
    <row r="2241" spans="2:9" s="126" customFormat="1" ht="15" customHeight="1" x14ac:dyDescent="0.25">
      <c r="B2241" s="271" t="s">
        <v>322</v>
      </c>
      <c r="C2241" s="272" t="s">
        <v>321</v>
      </c>
      <c r="D2241" s="275" t="s">
        <v>216</v>
      </c>
      <c r="E2241" s="275">
        <v>41577.348703703705</v>
      </c>
      <c r="F2241" s="276">
        <v>6</v>
      </c>
      <c r="G2241" s="243">
        <f t="shared" si="35"/>
        <v>109</v>
      </c>
      <c r="H2241" s="244"/>
      <c r="I2241" s="71" t="e">
        <f>IF(COUNTIF((rName rData),H2241),"","Name Error!")</f>
        <v>#NAME?</v>
      </c>
    </row>
    <row r="2242" spans="2:9" s="126" customFormat="1" ht="15" customHeight="1" x14ac:dyDescent="0.25">
      <c r="B2242" s="271" t="s">
        <v>356</v>
      </c>
      <c r="C2242" s="272" t="s">
        <v>355</v>
      </c>
      <c r="D2242" s="275" t="s">
        <v>216</v>
      </c>
      <c r="E2242" s="275">
        <v>41577.577407407407</v>
      </c>
      <c r="F2242" s="276">
        <v>1</v>
      </c>
      <c r="G2242" s="243">
        <f t="shared" si="35"/>
        <v>109</v>
      </c>
      <c r="H2242" s="244"/>
      <c r="I2242" s="71" t="e">
        <f>IF(COUNTIF((rName rData),H2242),"","Name Error!")</f>
        <v>#NAME?</v>
      </c>
    </row>
    <row r="2243" spans="2:9" s="126" customFormat="1" ht="15" customHeight="1" x14ac:dyDescent="0.25">
      <c r="B2243" s="271" t="s">
        <v>267</v>
      </c>
      <c r="C2243" s="272" t="s">
        <v>268</v>
      </c>
      <c r="D2243" s="275" t="s">
        <v>216</v>
      </c>
      <c r="E2243" s="275">
        <v>41577.619560185187</v>
      </c>
      <c r="F2243" s="276">
        <v>1</v>
      </c>
      <c r="G2243" s="243">
        <f t="shared" si="35"/>
        <v>109</v>
      </c>
      <c r="H2243" s="244"/>
      <c r="I2243" s="71" t="e">
        <f>IF(COUNTIF((rName rData),H2243),"","Name Error!")</f>
        <v>#NAME?</v>
      </c>
    </row>
    <row r="2244" spans="2:9" s="126" customFormat="1" ht="15" customHeight="1" x14ac:dyDescent="0.25">
      <c r="B2244" s="271" t="s">
        <v>350</v>
      </c>
      <c r="C2244" s="272" t="s">
        <v>349</v>
      </c>
      <c r="D2244" s="275" t="s">
        <v>216</v>
      </c>
      <c r="E2244" s="275">
        <v>41577.684039351851</v>
      </c>
      <c r="F2244" s="276">
        <v>2</v>
      </c>
      <c r="G2244" s="243">
        <f t="shared" si="35"/>
        <v>109</v>
      </c>
      <c r="H2244" s="244"/>
      <c r="I2244" s="71" t="e">
        <f>IF(COUNTIF((rName rData),H2244),"","Name Error!")</f>
        <v>#NAME?</v>
      </c>
    </row>
    <row r="2245" spans="2:9" s="126" customFormat="1" ht="15" customHeight="1" x14ac:dyDescent="0.25">
      <c r="B2245" s="271" t="s">
        <v>331</v>
      </c>
      <c r="C2245" s="272" t="s">
        <v>330</v>
      </c>
      <c r="D2245" s="275" t="s">
        <v>216</v>
      </c>
      <c r="E2245" s="275">
        <v>41577.743356481478</v>
      </c>
      <c r="F2245" s="276">
        <v>2</v>
      </c>
      <c r="G2245" s="243">
        <f t="shared" si="35"/>
        <v>109</v>
      </c>
      <c r="H2245" s="244"/>
      <c r="I2245" s="71" t="e">
        <f>IF(COUNTIF((rName rData),H2245),"","Name Error!")</f>
        <v>#NAME?</v>
      </c>
    </row>
    <row r="2246" spans="2:9" s="126" customFormat="1" ht="15" customHeight="1" x14ac:dyDescent="0.25">
      <c r="B2246" s="271" t="s">
        <v>345</v>
      </c>
      <c r="C2246" s="272" t="s">
        <v>344</v>
      </c>
      <c r="D2246" s="275" t="s">
        <v>216</v>
      </c>
      <c r="E2246" s="275">
        <v>41577.839884259258</v>
      </c>
      <c r="F2246" s="276">
        <v>1</v>
      </c>
      <c r="G2246" s="243">
        <f t="shared" si="35"/>
        <v>109</v>
      </c>
      <c r="H2246" s="244"/>
      <c r="I2246" s="71" t="e">
        <f>IF(COUNTIF((rName rData),H2246),"","Name Error!")</f>
        <v>#NAME?</v>
      </c>
    </row>
    <row r="2247" spans="2:9" s="126" customFormat="1" ht="15" customHeight="1" x14ac:dyDescent="0.25">
      <c r="B2247" s="271" t="s">
        <v>341</v>
      </c>
      <c r="C2247" s="272" t="s">
        <v>340</v>
      </c>
      <c r="D2247" s="275" t="s">
        <v>216</v>
      </c>
      <c r="E2247" s="275">
        <v>41577.846030092594</v>
      </c>
      <c r="F2247" s="276">
        <v>1</v>
      </c>
      <c r="G2247" s="243">
        <f t="shared" si="35"/>
        <v>109</v>
      </c>
      <c r="H2247" s="244"/>
      <c r="I2247" s="71" t="e">
        <f>IF(COUNTIF((rName rData),H2247),"","Name Error!")</f>
        <v>#NAME?</v>
      </c>
    </row>
    <row r="2248" spans="2:9" s="126" customFormat="1" ht="15" customHeight="1" x14ac:dyDescent="0.25">
      <c r="B2248" s="271" t="s">
        <v>352</v>
      </c>
      <c r="C2248" s="272" t="s">
        <v>351</v>
      </c>
      <c r="D2248" s="275" t="s">
        <v>216</v>
      </c>
      <c r="E2248" s="275">
        <v>41577.855543981481</v>
      </c>
      <c r="F2248" s="276">
        <v>1</v>
      </c>
      <c r="G2248" s="243">
        <f t="shared" si="35"/>
        <v>109</v>
      </c>
      <c r="H2248" s="244"/>
      <c r="I2248" s="71" t="e">
        <f>IF(COUNTIF((rName rData),H2248),"","Name Error!")</f>
        <v>#NAME?</v>
      </c>
    </row>
    <row r="2249" spans="2:9" s="126" customFormat="1" ht="15" customHeight="1" x14ac:dyDescent="0.25">
      <c r="B2249" s="271" t="s">
        <v>331</v>
      </c>
      <c r="C2249" s="272" t="s">
        <v>330</v>
      </c>
      <c r="D2249" s="275" t="s">
        <v>216</v>
      </c>
      <c r="E2249" s="275">
        <v>41578.012604166666</v>
      </c>
      <c r="F2249" s="276">
        <v>5</v>
      </c>
      <c r="G2249" s="243">
        <f t="shared" si="35"/>
        <v>109</v>
      </c>
      <c r="H2249" s="244"/>
      <c r="I2249" s="71" t="e">
        <f>IF(COUNTIF((rName rData),H2249),"","Name Error!")</f>
        <v>#NAME?</v>
      </c>
    </row>
    <row r="2250" spans="2:9" s="126" customFormat="1" ht="15" customHeight="1" x14ac:dyDescent="0.25">
      <c r="B2250" s="271" t="s">
        <v>350</v>
      </c>
      <c r="C2250" s="272" t="s">
        <v>349</v>
      </c>
      <c r="D2250" s="275" t="s">
        <v>216</v>
      </c>
      <c r="E2250" s="275">
        <v>41578.027453703704</v>
      </c>
      <c r="F2250" s="276">
        <v>4</v>
      </c>
      <c r="G2250" s="243">
        <f t="shared" ref="G2250:G2313" si="36">TRUNC((E2250-start)/7)+1</f>
        <v>109</v>
      </c>
      <c r="H2250" s="244"/>
      <c r="I2250" s="71" t="e">
        <f>IF(COUNTIF((rName rData),H2250),"","Name Error!")</f>
        <v>#NAME?</v>
      </c>
    </row>
    <row r="2251" spans="2:9" s="126" customFormat="1" ht="15" customHeight="1" x14ac:dyDescent="0.25">
      <c r="B2251" s="271" t="s">
        <v>367</v>
      </c>
      <c r="C2251" s="272" t="s">
        <v>366</v>
      </c>
      <c r="D2251" s="275" t="s">
        <v>216</v>
      </c>
      <c r="E2251" s="275">
        <v>41578.05364583333</v>
      </c>
      <c r="F2251" s="276">
        <v>2</v>
      </c>
      <c r="G2251" s="243">
        <f t="shared" si="36"/>
        <v>109</v>
      </c>
      <c r="H2251" s="244"/>
      <c r="I2251" s="71" t="e">
        <f>IF(COUNTIF((rName rData),H2251),"","Name Error!")</f>
        <v>#NAME?</v>
      </c>
    </row>
    <row r="2252" spans="2:9" s="126" customFormat="1" ht="15" customHeight="1" x14ac:dyDescent="0.25">
      <c r="B2252" s="271" t="s">
        <v>333</v>
      </c>
      <c r="C2252" s="272" t="s">
        <v>332</v>
      </c>
      <c r="D2252" s="275" t="s">
        <v>216</v>
      </c>
      <c r="E2252" s="275">
        <v>41578.242534722223</v>
      </c>
      <c r="F2252" s="276">
        <v>1</v>
      </c>
      <c r="G2252" s="243">
        <f t="shared" si="36"/>
        <v>109</v>
      </c>
      <c r="H2252" s="244"/>
      <c r="I2252" s="71" t="e">
        <f>IF(COUNTIF((rName rData),H2252),"","Name Error!")</f>
        <v>#NAME?</v>
      </c>
    </row>
    <row r="2253" spans="2:9" s="126" customFormat="1" ht="15" customHeight="1" x14ac:dyDescent="0.25">
      <c r="B2253" s="271" t="s">
        <v>322</v>
      </c>
      <c r="C2253" s="272" t="s">
        <v>321</v>
      </c>
      <c r="D2253" s="275" t="s">
        <v>216</v>
      </c>
      <c r="E2253" s="275">
        <v>41578.329421296294</v>
      </c>
      <c r="F2253" s="276">
        <v>8</v>
      </c>
      <c r="G2253" s="243">
        <f t="shared" si="36"/>
        <v>109</v>
      </c>
      <c r="H2253" s="244"/>
      <c r="I2253" s="71" t="e">
        <f>IF(COUNTIF((rName rData),H2253),"","Name Error!")</f>
        <v>#NAME?</v>
      </c>
    </row>
    <row r="2254" spans="2:9" s="126" customFormat="1" ht="15" customHeight="1" x14ac:dyDescent="0.25">
      <c r="B2254" s="271" t="s">
        <v>267</v>
      </c>
      <c r="C2254" s="272" t="s">
        <v>268</v>
      </c>
      <c r="D2254" s="275" t="s">
        <v>216</v>
      </c>
      <c r="E2254" s="275">
        <v>41578.366990740738</v>
      </c>
      <c r="F2254" s="276">
        <v>3</v>
      </c>
      <c r="G2254" s="243">
        <f t="shared" si="36"/>
        <v>109</v>
      </c>
      <c r="H2254" s="244"/>
      <c r="I2254" s="71" t="e">
        <f>IF(COUNTIF((rName rData),H2254),"","Name Error!")</f>
        <v>#NAME?</v>
      </c>
    </row>
    <row r="2255" spans="2:9" s="126" customFormat="1" ht="15" customHeight="1" x14ac:dyDescent="0.25">
      <c r="B2255" s="271" t="s">
        <v>356</v>
      </c>
      <c r="C2255" s="272" t="s">
        <v>355</v>
      </c>
      <c r="D2255" s="275" t="s">
        <v>216</v>
      </c>
      <c r="E2255" s="275">
        <v>41578.392395833333</v>
      </c>
      <c r="F2255" s="276">
        <v>2</v>
      </c>
      <c r="G2255" s="243">
        <f t="shared" si="36"/>
        <v>109</v>
      </c>
      <c r="H2255" s="244"/>
      <c r="I2255" s="71" t="e">
        <f>IF(COUNTIF((rName rData),H2255),"","Name Error!")</f>
        <v>#NAME?</v>
      </c>
    </row>
    <row r="2256" spans="2:9" s="126" customFormat="1" ht="15" customHeight="1" x14ac:dyDescent="0.25">
      <c r="B2256" s="271" t="s">
        <v>358</v>
      </c>
      <c r="C2256" s="272" t="s">
        <v>357</v>
      </c>
      <c r="D2256" s="275" t="s">
        <v>216</v>
      </c>
      <c r="E2256" s="275">
        <v>41578.513865740744</v>
      </c>
      <c r="F2256" s="276">
        <v>2</v>
      </c>
      <c r="G2256" s="243">
        <f t="shared" si="36"/>
        <v>109</v>
      </c>
      <c r="H2256" s="244"/>
      <c r="I2256" s="71" t="e">
        <f>IF(COUNTIF((rName rData),H2256),"","Name Error!")</f>
        <v>#NAME?</v>
      </c>
    </row>
    <row r="2257" spans="2:9" s="126" customFormat="1" ht="15" customHeight="1" x14ac:dyDescent="0.25">
      <c r="B2257" s="271" t="s">
        <v>352</v>
      </c>
      <c r="C2257" s="272" t="s">
        <v>351</v>
      </c>
      <c r="D2257" s="275" t="s">
        <v>216</v>
      </c>
      <c r="E2257" s="275">
        <v>41578.840196759258</v>
      </c>
      <c r="F2257" s="276">
        <v>1</v>
      </c>
      <c r="G2257" s="243">
        <f t="shared" si="36"/>
        <v>109</v>
      </c>
      <c r="H2257" s="244"/>
      <c r="I2257" s="71" t="e">
        <f>IF(COUNTIF((rName rData),H2257),"","Name Error!")</f>
        <v>#NAME?</v>
      </c>
    </row>
    <row r="2258" spans="2:9" s="126" customFormat="1" ht="15" customHeight="1" x14ac:dyDescent="0.25">
      <c r="B2258" s="271" t="s">
        <v>335</v>
      </c>
      <c r="C2258" s="272" t="s">
        <v>334</v>
      </c>
      <c r="D2258" s="275" t="s">
        <v>216</v>
      </c>
      <c r="E2258" s="275">
        <v>41578.896585648145</v>
      </c>
      <c r="F2258" s="276">
        <v>1</v>
      </c>
      <c r="G2258" s="243">
        <f t="shared" si="36"/>
        <v>109</v>
      </c>
      <c r="H2258" s="244"/>
      <c r="I2258" s="71" t="e">
        <f>IF(COUNTIF((rName rData),H2258),"","Name Error!")</f>
        <v>#NAME?</v>
      </c>
    </row>
    <row r="2259" spans="2:9" s="126" customFormat="1" ht="15" customHeight="1" x14ac:dyDescent="0.25">
      <c r="B2259" s="271" t="s">
        <v>337</v>
      </c>
      <c r="C2259" s="272" t="s">
        <v>336</v>
      </c>
      <c r="D2259" s="275" t="s">
        <v>216</v>
      </c>
      <c r="E2259" s="275">
        <v>41579.075775462959</v>
      </c>
      <c r="F2259" s="276">
        <v>4</v>
      </c>
      <c r="G2259" s="243">
        <f t="shared" si="36"/>
        <v>109</v>
      </c>
      <c r="H2259" s="244"/>
      <c r="I2259" s="71" t="e">
        <f>IF(COUNTIF((rName rData),H2259),"","Name Error!")</f>
        <v>#NAME?</v>
      </c>
    </row>
    <row r="2260" spans="2:9" s="126" customFormat="1" ht="15" customHeight="1" x14ac:dyDescent="0.25">
      <c r="B2260" s="271" t="s">
        <v>367</v>
      </c>
      <c r="C2260" s="272" t="s">
        <v>366</v>
      </c>
      <c r="D2260" s="275" t="s">
        <v>216</v>
      </c>
      <c r="E2260" s="275">
        <v>41579.093425925923</v>
      </c>
      <c r="F2260" s="276">
        <v>3</v>
      </c>
      <c r="G2260" s="243">
        <f t="shared" si="36"/>
        <v>109</v>
      </c>
      <c r="H2260" s="244"/>
      <c r="I2260" s="71" t="e">
        <f>IF(COUNTIF((rName rData),H2260),"","Name Error!")</f>
        <v>#NAME?</v>
      </c>
    </row>
    <row r="2261" spans="2:9" s="126" customFormat="1" ht="15" customHeight="1" x14ac:dyDescent="0.25">
      <c r="B2261" s="271" t="s">
        <v>358</v>
      </c>
      <c r="C2261" s="272" t="s">
        <v>357</v>
      </c>
      <c r="D2261" s="275" t="s">
        <v>216</v>
      </c>
      <c r="E2261" s="275">
        <v>41579.397569444445</v>
      </c>
      <c r="F2261" s="276">
        <v>3</v>
      </c>
      <c r="G2261" s="243">
        <f t="shared" si="36"/>
        <v>109</v>
      </c>
      <c r="H2261" s="244"/>
      <c r="I2261" s="71" t="e">
        <f>IF(COUNTIF((rName rData),H2261),"","Name Error!")</f>
        <v>#NAME?</v>
      </c>
    </row>
    <row r="2262" spans="2:9" s="126" customFormat="1" ht="15" customHeight="1" x14ac:dyDescent="0.25">
      <c r="B2262" s="271" t="s">
        <v>356</v>
      </c>
      <c r="C2262" s="272" t="s">
        <v>355</v>
      </c>
      <c r="D2262" s="275" t="s">
        <v>216</v>
      </c>
      <c r="E2262" s="275">
        <v>41579.404467592591</v>
      </c>
      <c r="F2262" s="276">
        <v>4</v>
      </c>
      <c r="G2262" s="243">
        <f t="shared" si="36"/>
        <v>109</v>
      </c>
      <c r="H2262" s="244"/>
      <c r="I2262" s="71" t="e">
        <f>IF(COUNTIF((rName rData),H2262),"","Name Error!")</f>
        <v>#NAME?</v>
      </c>
    </row>
    <row r="2263" spans="2:9" s="126" customFormat="1" ht="15" customHeight="1" x14ac:dyDescent="0.25">
      <c r="B2263" s="271" t="s">
        <v>322</v>
      </c>
      <c r="C2263" s="272" t="s">
        <v>321</v>
      </c>
      <c r="D2263" s="275" t="s">
        <v>216</v>
      </c>
      <c r="E2263" s="275">
        <v>41579.424976851849</v>
      </c>
      <c r="F2263" s="276">
        <v>9</v>
      </c>
      <c r="G2263" s="243">
        <f t="shared" si="36"/>
        <v>109</v>
      </c>
      <c r="H2263" s="244"/>
      <c r="I2263" s="71" t="e">
        <f>IF(COUNTIF((rName rData),H2263),"","Name Error!")</f>
        <v>#NAME?</v>
      </c>
    </row>
    <row r="2264" spans="2:9" s="126" customFormat="1" ht="15" customHeight="1" x14ac:dyDescent="0.25">
      <c r="B2264" s="271" t="s">
        <v>331</v>
      </c>
      <c r="C2264" s="272" t="s">
        <v>330</v>
      </c>
      <c r="D2264" s="275" t="s">
        <v>216</v>
      </c>
      <c r="E2264" s="275">
        <v>41579.505601851852</v>
      </c>
      <c r="F2264" s="276">
        <v>4</v>
      </c>
      <c r="G2264" s="243">
        <f t="shared" si="36"/>
        <v>109</v>
      </c>
      <c r="H2264" s="244"/>
      <c r="I2264" s="71" t="e">
        <f>IF(COUNTIF((rName rData),H2264),"","Name Error!")</f>
        <v>#NAME?</v>
      </c>
    </row>
    <row r="2265" spans="2:9" s="126" customFormat="1" ht="15" customHeight="1" x14ac:dyDescent="0.25">
      <c r="B2265" s="271" t="s">
        <v>267</v>
      </c>
      <c r="C2265" s="272" t="s">
        <v>268</v>
      </c>
      <c r="D2265" s="275" t="s">
        <v>216</v>
      </c>
      <c r="E2265" s="275">
        <v>41579.596990740742</v>
      </c>
      <c r="F2265" s="276">
        <v>2</v>
      </c>
      <c r="G2265" s="243">
        <f t="shared" si="36"/>
        <v>109</v>
      </c>
      <c r="H2265" s="244"/>
      <c r="I2265" s="71" t="e">
        <f>IF(COUNTIF((rName rData),H2265),"","Name Error!")</f>
        <v>#NAME?</v>
      </c>
    </row>
    <row r="2266" spans="2:9" s="126" customFormat="1" ht="15" customHeight="1" x14ac:dyDescent="0.25">
      <c r="B2266" s="271" t="s">
        <v>341</v>
      </c>
      <c r="C2266" s="272" t="s">
        <v>340</v>
      </c>
      <c r="D2266" s="275" t="s">
        <v>216</v>
      </c>
      <c r="E2266" s="275">
        <v>41579.633263888885</v>
      </c>
      <c r="F2266" s="276">
        <v>2</v>
      </c>
      <c r="G2266" s="243">
        <f t="shared" si="36"/>
        <v>109</v>
      </c>
      <c r="H2266" s="244"/>
      <c r="I2266" s="71" t="e">
        <f>IF(COUNTIF((rName rData),H2266),"","Name Error!")</f>
        <v>#NAME?</v>
      </c>
    </row>
    <row r="2267" spans="2:9" s="126" customFormat="1" ht="15" customHeight="1" x14ac:dyDescent="0.25">
      <c r="B2267" s="271" t="s">
        <v>354</v>
      </c>
      <c r="C2267" s="272" t="s">
        <v>353</v>
      </c>
      <c r="D2267" s="275" t="s">
        <v>216</v>
      </c>
      <c r="E2267" s="275">
        <v>41579.652743055558</v>
      </c>
      <c r="F2267" s="276">
        <v>1</v>
      </c>
      <c r="G2267" s="243">
        <f t="shared" si="36"/>
        <v>109</v>
      </c>
      <c r="H2267" s="244"/>
      <c r="I2267" s="71" t="e">
        <f>IF(COUNTIF((rName rData),H2267),"","Name Error!")</f>
        <v>#NAME?</v>
      </c>
    </row>
    <row r="2268" spans="2:9" s="126" customFormat="1" ht="15" customHeight="1" x14ac:dyDescent="0.25">
      <c r="B2268" s="271" t="s">
        <v>320</v>
      </c>
      <c r="C2268" s="272" t="s">
        <v>319</v>
      </c>
      <c r="D2268" s="275" t="s">
        <v>216</v>
      </c>
      <c r="E2268" s="275">
        <v>41579.661192129628</v>
      </c>
      <c r="F2268" s="276">
        <v>1</v>
      </c>
      <c r="G2268" s="243">
        <f t="shared" si="36"/>
        <v>109</v>
      </c>
      <c r="H2268" s="244"/>
      <c r="I2268" s="71" t="e">
        <f>IF(COUNTIF((rName rData),H2268),"","Name Error!")</f>
        <v>#NAME?</v>
      </c>
    </row>
    <row r="2269" spans="2:9" s="126" customFormat="1" ht="15" customHeight="1" x14ac:dyDescent="0.25">
      <c r="B2269" s="271" t="s">
        <v>362</v>
      </c>
      <c r="C2269" s="272" t="s">
        <v>361</v>
      </c>
      <c r="D2269" s="275" t="s">
        <v>216</v>
      </c>
      <c r="E2269" s="275">
        <v>41579.72347222222</v>
      </c>
      <c r="F2269" s="276">
        <v>3</v>
      </c>
      <c r="G2269" s="243">
        <f t="shared" si="36"/>
        <v>109</v>
      </c>
      <c r="H2269" s="244"/>
      <c r="I2269" s="71" t="e">
        <f>IF(COUNTIF((rName rData),H2269),"","Name Error!")</f>
        <v>#NAME?</v>
      </c>
    </row>
    <row r="2270" spans="2:9" s="126" customFormat="1" ht="15" customHeight="1" x14ac:dyDescent="0.25">
      <c r="B2270" s="271" t="s">
        <v>350</v>
      </c>
      <c r="C2270" s="272" t="s">
        <v>349</v>
      </c>
      <c r="D2270" s="275" t="s">
        <v>216</v>
      </c>
      <c r="E2270" s="275">
        <v>41579.750868055555</v>
      </c>
      <c r="F2270" s="276">
        <v>2</v>
      </c>
      <c r="G2270" s="243">
        <f t="shared" si="36"/>
        <v>109</v>
      </c>
      <c r="H2270" s="244"/>
      <c r="I2270" s="71" t="e">
        <f>IF(COUNTIF((rName rData),H2270),"","Name Error!")</f>
        <v>#NAME?</v>
      </c>
    </row>
    <row r="2271" spans="2:9" s="126" customFormat="1" ht="15" customHeight="1" x14ac:dyDescent="0.25">
      <c r="B2271" s="271" t="s">
        <v>365</v>
      </c>
      <c r="C2271" s="272" t="s">
        <v>364</v>
      </c>
      <c r="D2271" s="275" t="s">
        <v>216</v>
      </c>
      <c r="E2271" s="275">
        <v>41579.917638888888</v>
      </c>
      <c r="F2271" s="276">
        <v>1</v>
      </c>
      <c r="G2271" s="243">
        <f t="shared" si="36"/>
        <v>109</v>
      </c>
      <c r="H2271" s="244"/>
      <c r="I2271" s="71" t="e">
        <f>IF(COUNTIF((rName rData),H2271),"","Name Error!")</f>
        <v>#NAME?</v>
      </c>
    </row>
    <row r="2272" spans="2:9" s="126" customFormat="1" ht="15" customHeight="1" x14ac:dyDescent="0.25">
      <c r="B2272" s="271" t="s">
        <v>371</v>
      </c>
      <c r="C2272" s="272" t="s">
        <v>370</v>
      </c>
      <c r="D2272" s="275" t="s">
        <v>216</v>
      </c>
      <c r="E2272" s="275">
        <v>41579.931504629632</v>
      </c>
      <c r="F2272" s="276">
        <v>1</v>
      </c>
      <c r="G2272" s="243">
        <f t="shared" si="36"/>
        <v>109</v>
      </c>
      <c r="H2272" s="244"/>
      <c r="I2272" s="71" t="e">
        <f>IF(COUNTIF((rName rData),H2272),"","Name Error!")</f>
        <v>#NAME?</v>
      </c>
    </row>
    <row r="2273" spans="2:9" s="126" customFormat="1" ht="15" customHeight="1" x14ac:dyDescent="0.25">
      <c r="B2273" s="271" t="s">
        <v>339</v>
      </c>
      <c r="C2273" s="272" t="s">
        <v>338</v>
      </c>
      <c r="D2273" s="275" t="s">
        <v>216</v>
      </c>
      <c r="E2273" s="275">
        <v>41579.967962962961</v>
      </c>
      <c r="F2273" s="276">
        <v>1</v>
      </c>
      <c r="G2273" s="243">
        <f t="shared" si="36"/>
        <v>109</v>
      </c>
      <c r="H2273" s="244"/>
      <c r="I2273" s="71" t="e">
        <f>IF(COUNTIF((rName rData),H2273),"","Name Error!")</f>
        <v>#NAME?</v>
      </c>
    </row>
    <row r="2274" spans="2:9" s="126" customFormat="1" ht="15" customHeight="1" x14ac:dyDescent="0.25">
      <c r="B2274" s="271" t="s">
        <v>328</v>
      </c>
      <c r="C2274" s="272" t="s">
        <v>327</v>
      </c>
      <c r="D2274" s="275" t="s">
        <v>216</v>
      </c>
      <c r="E2274" s="275">
        <v>41579.991736111115</v>
      </c>
      <c r="F2274" s="276">
        <v>1</v>
      </c>
      <c r="G2274" s="243">
        <f t="shared" si="36"/>
        <v>109</v>
      </c>
      <c r="H2274" s="244"/>
      <c r="I2274" s="71" t="e">
        <f>IF(COUNTIF((rName rData),H2274),"","Name Error!")</f>
        <v>#NAME?</v>
      </c>
    </row>
    <row r="2275" spans="2:9" s="126" customFormat="1" ht="15" customHeight="1" x14ac:dyDescent="0.25">
      <c r="B2275" s="271" t="s">
        <v>335</v>
      </c>
      <c r="C2275" s="272" t="s">
        <v>334</v>
      </c>
      <c r="D2275" s="275" t="s">
        <v>216</v>
      </c>
      <c r="E2275" s="275">
        <v>41580.012627314813</v>
      </c>
      <c r="F2275" s="276">
        <v>1</v>
      </c>
      <c r="G2275" s="243">
        <f t="shared" si="36"/>
        <v>110</v>
      </c>
      <c r="H2275" s="244"/>
      <c r="I2275" s="71" t="e">
        <f>IF(COUNTIF((rName rData),H2275),"","Name Error!")</f>
        <v>#NAME?</v>
      </c>
    </row>
    <row r="2276" spans="2:9" s="126" customFormat="1" ht="15" customHeight="1" x14ac:dyDescent="0.25">
      <c r="B2276" s="271" t="s">
        <v>367</v>
      </c>
      <c r="C2276" s="272" t="s">
        <v>366</v>
      </c>
      <c r="D2276" s="275" t="s">
        <v>216</v>
      </c>
      <c r="E2276" s="275">
        <v>41580.028738425928</v>
      </c>
      <c r="F2276" s="276">
        <v>2</v>
      </c>
      <c r="G2276" s="243">
        <f t="shared" si="36"/>
        <v>110</v>
      </c>
      <c r="H2276" s="244"/>
      <c r="I2276" s="71" t="e">
        <f>IF(COUNTIF((rName rData),H2276),"","Name Error!")</f>
        <v>#NAME?</v>
      </c>
    </row>
    <row r="2277" spans="2:9" s="126" customFormat="1" ht="15" customHeight="1" x14ac:dyDescent="0.25">
      <c r="B2277" s="271" t="s">
        <v>331</v>
      </c>
      <c r="C2277" s="272" t="s">
        <v>330</v>
      </c>
      <c r="D2277" s="275" t="s">
        <v>216</v>
      </c>
      <c r="E2277" s="275">
        <v>41580.034097222226</v>
      </c>
      <c r="F2277" s="276">
        <v>2</v>
      </c>
      <c r="G2277" s="243">
        <f t="shared" si="36"/>
        <v>110</v>
      </c>
      <c r="H2277" s="244"/>
      <c r="I2277" s="71" t="e">
        <f>IF(COUNTIF((rName rData),H2277),"","Name Error!")</f>
        <v>#NAME?</v>
      </c>
    </row>
    <row r="2278" spans="2:9" s="126" customFormat="1" ht="15" customHeight="1" x14ac:dyDescent="0.25">
      <c r="B2278" s="271" t="s">
        <v>333</v>
      </c>
      <c r="C2278" s="272" t="s">
        <v>332</v>
      </c>
      <c r="D2278" s="275" t="s">
        <v>216</v>
      </c>
      <c r="E2278" s="275">
        <v>41580.049872685187</v>
      </c>
      <c r="F2278" s="276">
        <v>1</v>
      </c>
      <c r="G2278" s="243">
        <f t="shared" si="36"/>
        <v>110</v>
      </c>
      <c r="H2278" s="244"/>
      <c r="I2278" s="71" t="e">
        <f>IF(COUNTIF((rName rData),H2278),"","Name Error!")</f>
        <v>#NAME?</v>
      </c>
    </row>
    <row r="2279" spans="2:9" s="126" customFormat="1" ht="15" customHeight="1" x14ac:dyDescent="0.25">
      <c r="B2279" s="271" t="s">
        <v>339</v>
      </c>
      <c r="C2279" s="272" t="s">
        <v>338</v>
      </c>
      <c r="D2279" s="275" t="s">
        <v>216</v>
      </c>
      <c r="E2279" s="275">
        <v>41580.100173611114</v>
      </c>
      <c r="F2279" s="276">
        <v>1</v>
      </c>
      <c r="G2279" s="243">
        <f t="shared" si="36"/>
        <v>110</v>
      </c>
      <c r="H2279" s="244"/>
      <c r="I2279" s="71" t="e">
        <f>IF(COUNTIF((rName rData),H2279),"","Name Error!")</f>
        <v>#NAME?</v>
      </c>
    </row>
    <row r="2280" spans="2:9" s="126" customFormat="1" ht="15" customHeight="1" x14ac:dyDescent="0.25">
      <c r="B2280" s="271" t="s">
        <v>345</v>
      </c>
      <c r="C2280" s="272" t="s">
        <v>344</v>
      </c>
      <c r="D2280" s="275" t="s">
        <v>216</v>
      </c>
      <c r="E2280" s="275">
        <v>41580.155624999999</v>
      </c>
      <c r="F2280" s="276">
        <v>1</v>
      </c>
      <c r="G2280" s="243">
        <f t="shared" si="36"/>
        <v>110</v>
      </c>
      <c r="H2280" s="244"/>
      <c r="I2280" s="71" t="e">
        <f>IF(COUNTIF((rName rData),H2280),"","Name Error!")</f>
        <v>#NAME?</v>
      </c>
    </row>
    <row r="2281" spans="2:9" s="126" customFormat="1" ht="15" customHeight="1" x14ac:dyDescent="0.25">
      <c r="B2281" s="271" t="s">
        <v>324</v>
      </c>
      <c r="C2281" s="272" t="s">
        <v>323</v>
      </c>
      <c r="D2281" s="275" t="s">
        <v>216</v>
      </c>
      <c r="E2281" s="275">
        <v>41580.159004629626</v>
      </c>
      <c r="F2281" s="276">
        <v>2</v>
      </c>
      <c r="G2281" s="243">
        <f t="shared" si="36"/>
        <v>110</v>
      </c>
      <c r="H2281" s="244"/>
      <c r="I2281" s="71" t="e">
        <f>IF(COUNTIF((rName rData),H2281),"","Name Error!")</f>
        <v>#NAME?</v>
      </c>
    </row>
    <row r="2282" spans="2:9" s="126" customFormat="1" ht="15" customHeight="1" x14ac:dyDescent="0.25">
      <c r="B2282" s="271" t="s">
        <v>371</v>
      </c>
      <c r="C2282" s="272" t="s">
        <v>370</v>
      </c>
      <c r="D2282" s="275" t="s">
        <v>216</v>
      </c>
      <c r="E2282" s="275">
        <v>41580.252291666664</v>
      </c>
      <c r="F2282" s="276">
        <v>2</v>
      </c>
      <c r="G2282" s="243">
        <f t="shared" si="36"/>
        <v>110</v>
      </c>
      <c r="H2282" s="244"/>
      <c r="I2282" s="71" t="e">
        <f>IF(COUNTIF((rName rData),H2282),"","Name Error!")</f>
        <v>#NAME?</v>
      </c>
    </row>
    <row r="2283" spans="2:9" s="126" customFormat="1" ht="15" customHeight="1" x14ac:dyDescent="0.25">
      <c r="B2283" s="271" t="s">
        <v>356</v>
      </c>
      <c r="C2283" s="272" t="s">
        <v>355</v>
      </c>
      <c r="D2283" s="275" t="s">
        <v>216</v>
      </c>
      <c r="E2283" s="275">
        <v>41580.30096064815</v>
      </c>
      <c r="F2283" s="276">
        <v>1</v>
      </c>
      <c r="G2283" s="243">
        <f t="shared" si="36"/>
        <v>110</v>
      </c>
      <c r="H2283" s="244"/>
      <c r="I2283" s="71" t="e">
        <f>IF(COUNTIF((rName rData),H2283),"","Name Error!")</f>
        <v>#NAME?</v>
      </c>
    </row>
    <row r="2284" spans="2:9" s="126" customFormat="1" ht="15" customHeight="1" x14ac:dyDescent="0.25">
      <c r="B2284" s="271" t="s">
        <v>322</v>
      </c>
      <c r="C2284" s="272" t="s">
        <v>321</v>
      </c>
      <c r="D2284" s="275" t="s">
        <v>216</v>
      </c>
      <c r="E2284" s="275">
        <v>41580.312847222223</v>
      </c>
      <c r="F2284" s="276">
        <v>4</v>
      </c>
      <c r="G2284" s="243">
        <f t="shared" si="36"/>
        <v>110</v>
      </c>
      <c r="H2284" s="244"/>
      <c r="I2284" s="71" t="e">
        <f>IF(COUNTIF((rName rData),H2284),"","Name Error!")</f>
        <v>#NAME?</v>
      </c>
    </row>
    <row r="2285" spans="2:9" s="126" customFormat="1" ht="15" customHeight="1" x14ac:dyDescent="0.25">
      <c r="B2285" s="271" t="s">
        <v>352</v>
      </c>
      <c r="C2285" s="272" t="s">
        <v>351</v>
      </c>
      <c r="D2285" s="275" t="s">
        <v>216</v>
      </c>
      <c r="E2285" s="275">
        <v>41580.31827546296</v>
      </c>
      <c r="F2285" s="276">
        <v>3</v>
      </c>
      <c r="G2285" s="243">
        <f t="shared" si="36"/>
        <v>110</v>
      </c>
      <c r="H2285" s="244"/>
      <c r="I2285" s="71" t="e">
        <f>IF(COUNTIF((rName rData),H2285),"","Name Error!")</f>
        <v>#NAME?</v>
      </c>
    </row>
    <row r="2286" spans="2:9" s="126" customFormat="1" ht="15" customHeight="1" x14ac:dyDescent="0.25">
      <c r="B2286" s="271" t="s">
        <v>365</v>
      </c>
      <c r="C2286" s="272" t="s">
        <v>364</v>
      </c>
      <c r="D2286" s="275" t="s">
        <v>216</v>
      </c>
      <c r="E2286" s="275">
        <v>41580.324641203704</v>
      </c>
      <c r="F2286" s="276">
        <v>1</v>
      </c>
      <c r="G2286" s="243">
        <f t="shared" si="36"/>
        <v>110</v>
      </c>
      <c r="H2286" s="244"/>
      <c r="I2286" s="71" t="e">
        <f>IF(COUNTIF((rName rData),H2286),"","Name Error!")</f>
        <v>#NAME?</v>
      </c>
    </row>
    <row r="2287" spans="2:9" s="126" customFormat="1" ht="15" customHeight="1" x14ac:dyDescent="0.25">
      <c r="B2287" s="271" t="s">
        <v>320</v>
      </c>
      <c r="C2287" s="272" t="s">
        <v>319</v>
      </c>
      <c r="D2287" s="275" t="s">
        <v>216</v>
      </c>
      <c r="E2287" s="275">
        <v>41580.381249999999</v>
      </c>
      <c r="F2287" s="276">
        <v>2</v>
      </c>
      <c r="G2287" s="243">
        <f t="shared" si="36"/>
        <v>110</v>
      </c>
      <c r="H2287" s="244"/>
      <c r="I2287" s="71" t="e">
        <f>IF(COUNTIF((rName rData),H2287),"","Name Error!")</f>
        <v>#NAME?</v>
      </c>
    </row>
    <row r="2288" spans="2:9" s="126" customFormat="1" ht="15" customHeight="1" x14ac:dyDescent="0.25">
      <c r="B2288" s="271" t="s">
        <v>350</v>
      </c>
      <c r="C2288" s="272" t="s">
        <v>349</v>
      </c>
      <c r="D2288" s="275" t="s">
        <v>216</v>
      </c>
      <c r="E2288" s="275">
        <v>41580.406689814816</v>
      </c>
      <c r="F2288" s="276">
        <v>1</v>
      </c>
      <c r="G2288" s="243">
        <f t="shared" si="36"/>
        <v>110</v>
      </c>
      <c r="H2288" s="244"/>
      <c r="I2288" s="71" t="e">
        <f>IF(COUNTIF((rName rData),H2288),"","Name Error!")</f>
        <v>#NAME?</v>
      </c>
    </row>
    <row r="2289" spans="2:9" s="126" customFormat="1" ht="15" customHeight="1" x14ac:dyDescent="0.25">
      <c r="B2289" s="271" t="s">
        <v>362</v>
      </c>
      <c r="C2289" s="272" t="s">
        <v>361</v>
      </c>
      <c r="D2289" s="275" t="s">
        <v>216</v>
      </c>
      <c r="E2289" s="275">
        <v>41580.435879629629</v>
      </c>
      <c r="F2289" s="276">
        <v>2</v>
      </c>
      <c r="G2289" s="243">
        <f t="shared" si="36"/>
        <v>110</v>
      </c>
      <c r="H2289" s="244"/>
      <c r="I2289" s="71" t="e">
        <f>IF(COUNTIF((rName rData),H2289),"","Name Error!")</f>
        <v>#NAME?</v>
      </c>
    </row>
    <row r="2290" spans="2:9" s="126" customFormat="1" ht="15" customHeight="1" x14ac:dyDescent="0.25">
      <c r="B2290" s="271" t="s">
        <v>358</v>
      </c>
      <c r="C2290" s="272" t="s">
        <v>357</v>
      </c>
      <c r="D2290" s="275" t="s">
        <v>216</v>
      </c>
      <c r="E2290" s="275">
        <v>41580.839675925927</v>
      </c>
      <c r="F2290" s="276">
        <v>1</v>
      </c>
      <c r="G2290" s="243">
        <f t="shared" si="36"/>
        <v>110</v>
      </c>
      <c r="H2290" s="244"/>
      <c r="I2290" s="71" t="e">
        <f>IF(COUNTIF((rName rData),H2290),"","Name Error!")</f>
        <v>#NAME?</v>
      </c>
    </row>
    <row r="2291" spans="2:9" s="126" customFormat="1" ht="15" customHeight="1" x14ac:dyDescent="0.25">
      <c r="B2291" s="271" t="s">
        <v>331</v>
      </c>
      <c r="C2291" s="272" t="s">
        <v>330</v>
      </c>
      <c r="D2291" s="275" t="s">
        <v>216</v>
      </c>
      <c r="E2291" s="275">
        <v>41581.536828703705</v>
      </c>
      <c r="F2291" s="276">
        <v>2</v>
      </c>
      <c r="G2291" s="243">
        <f t="shared" si="36"/>
        <v>110</v>
      </c>
      <c r="H2291" s="244"/>
      <c r="I2291" s="71" t="e">
        <f>IF(COUNTIF((rName rData),H2291),"","Name Error!")</f>
        <v>#NAME?</v>
      </c>
    </row>
    <row r="2292" spans="2:9" s="126" customFormat="1" ht="15" customHeight="1" x14ac:dyDescent="0.25">
      <c r="B2292" s="271" t="s">
        <v>333</v>
      </c>
      <c r="C2292" s="272" t="s">
        <v>332</v>
      </c>
      <c r="D2292" s="275" t="s">
        <v>216</v>
      </c>
      <c r="E2292" s="275">
        <v>41581.751180555555</v>
      </c>
      <c r="F2292" s="276">
        <v>2</v>
      </c>
      <c r="G2292" s="243">
        <f t="shared" si="36"/>
        <v>110</v>
      </c>
      <c r="H2292" s="244"/>
      <c r="I2292" s="71" t="e">
        <f>IF(COUNTIF((rName rData),H2292),"","Name Error!")</f>
        <v>#NAME?</v>
      </c>
    </row>
    <row r="2293" spans="2:9" s="126" customFormat="1" ht="15" customHeight="1" x14ac:dyDescent="0.25">
      <c r="B2293" s="271" t="s">
        <v>322</v>
      </c>
      <c r="C2293" s="272" t="s">
        <v>321</v>
      </c>
      <c r="D2293" s="275" t="s">
        <v>216</v>
      </c>
      <c r="E2293" s="275">
        <v>41582.489710648151</v>
      </c>
      <c r="F2293" s="276">
        <v>1</v>
      </c>
      <c r="G2293" s="243">
        <f t="shared" si="36"/>
        <v>110</v>
      </c>
      <c r="H2293" s="244"/>
      <c r="I2293" s="71" t="e">
        <f>IF(COUNTIF((rName rData),H2293),"","Name Error!")</f>
        <v>#NAME?</v>
      </c>
    </row>
    <row r="2294" spans="2:9" s="126" customFormat="1" ht="15" customHeight="1" x14ac:dyDescent="0.25">
      <c r="B2294" s="271" t="s">
        <v>367</v>
      </c>
      <c r="C2294" s="272" t="s">
        <v>366</v>
      </c>
      <c r="D2294" s="275" t="s">
        <v>216</v>
      </c>
      <c r="E2294" s="275">
        <v>41582.508368055554</v>
      </c>
      <c r="F2294" s="276">
        <v>1</v>
      </c>
      <c r="G2294" s="243">
        <f t="shared" si="36"/>
        <v>110</v>
      </c>
      <c r="H2294" s="244"/>
      <c r="I2294" s="71" t="e">
        <f>IF(COUNTIF((rName rData),H2294),"","Name Error!")</f>
        <v>#NAME?</v>
      </c>
    </row>
    <row r="2295" spans="2:9" s="126" customFormat="1" ht="15" customHeight="1" x14ac:dyDescent="0.25">
      <c r="B2295" s="271" t="s">
        <v>331</v>
      </c>
      <c r="C2295" s="272" t="s">
        <v>330</v>
      </c>
      <c r="D2295" s="275" t="s">
        <v>216</v>
      </c>
      <c r="E2295" s="275">
        <v>41582.900891203702</v>
      </c>
      <c r="F2295" s="276">
        <v>1</v>
      </c>
      <c r="G2295" s="243">
        <f t="shared" si="36"/>
        <v>110</v>
      </c>
      <c r="H2295" s="244"/>
      <c r="I2295" s="71" t="e">
        <f>IF(COUNTIF((rName rData),H2295),"","Name Error!")</f>
        <v>#NAME?</v>
      </c>
    </row>
    <row r="2296" spans="2:9" s="126" customFormat="1" ht="15" customHeight="1" x14ac:dyDescent="0.25">
      <c r="B2296" s="271" t="s">
        <v>333</v>
      </c>
      <c r="C2296" s="272" t="s">
        <v>332</v>
      </c>
      <c r="D2296" s="275" t="s">
        <v>216</v>
      </c>
      <c r="E2296" s="275">
        <v>41584.283703703702</v>
      </c>
      <c r="F2296" s="276">
        <v>1</v>
      </c>
      <c r="G2296" s="243">
        <f t="shared" si="36"/>
        <v>110</v>
      </c>
      <c r="H2296" s="244"/>
      <c r="I2296" s="71" t="e">
        <f>IF(COUNTIF((rName rData),H2296),"","Name Error!")</f>
        <v>#NAME?</v>
      </c>
    </row>
    <row r="2297" spans="2:9" s="126" customFormat="1" ht="15" customHeight="1" x14ac:dyDescent="0.25">
      <c r="B2297" s="271" t="s">
        <v>350</v>
      </c>
      <c r="C2297" s="272" t="s">
        <v>349</v>
      </c>
      <c r="D2297" s="275" t="s">
        <v>216</v>
      </c>
      <c r="E2297" s="275">
        <v>41584.428773148145</v>
      </c>
      <c r="F2297" s="276">
        <v>2</v>
      </c>
      <c r="G2297" s="243">
        <f t="shared" si="36"/>
        <v>110</v>
      </c>
      <c r="H2297" s="244"/>
      <c r="I2297" s="71" t="e">
        <f>IF(COUNTIF((rName rData),H2297),"","Name Error!")</f>
        <v>#NAME?</v>
      </c>
    </row>
    <row r="2298" spans="2:9" s="126" customFormat="1" ht="15" customHeight="1" x14ac:dyDescent="0.25">
      <c r="B2298" s="271" t="s">
        <v>354</v>
      </c>
      <c r="C2298" s="272" t="s">
        <v>353</v>
      </c>
      <c r="D2298" s="275" t="s">
        <v>216</v>
      </c>
      <c r="E2298" s="275">
        <v>41584.569050925929</v>
      </c>
      <c r="F2298" s="276">
        <v>1</v>
      </c>
      <c r="G2298" s="243">
        <f t="shared" si="36"/>
        <v>110</v>
      </c>
      <c r="H2298" s="244"/>
      <c r="I2298" s="71" t="e">
        <f>IF(COUNTIF((rName rData),H2298),"","Name Error!")</f>
        <v>#NAME?</v>
      </c>
    </row>
    <row r="2299" spans="2:9" s="126" customFormat="1" ht="15" customHeight="1" x14ac:dyDescent="0.25">
      <c r="B2299" s="271" t="s">
        <v>371</v>
      </c>
      <c r="C2299" s="272" t="s">
        <v>370</v>
      </c>
      <c r="D2299" s="275" t="s">
        <v>216</v>
      </c>
      <c r="E2299" s="275">
        <v>41584.791412037041</v>
      </c>
      <c r="F2299" s="276">
        <v>1</v>
      </c>
      <c r="G2299" s="243">
        <f t="shared" si="36"/>
        <v>110</v>
      </c>
      <c r="H2299" s="244"/>
      <c r="I2299" s="71" t="e">
        <f>IF(COUNTIF((rName rData),H2299),"","Name Error!")</f>
        <v>#NAME?</v>
      </c>
    </row>
    <row r="2300" spans="2:9" s="126" customFormat="1" ht="15" customHeight="1" x14ac:dyDescent="0.25">
      <c r="B2300" s="271" t="s">
        <v>358</v>
      </c>
      <c r="C2300" s="272" t="s">
        <v>357</v>
      </c>
      <c r="D2300" s="275" t="s">
        <v>216</v>
      </c>
      <c r="E2300" s="275">
        <v>41585.397881944446</v>
      </c>
      <c r="F2300" s="276">
        <v>1</v>
      </c>
      <c r="G2300" s="243">
        <f t="shared" si="36"/>
        <v>110</v>
      </c>
      <c r="H2300" s="244"/>
      <c r="I2300" s="71" t="e">
        <f>IF(COUNTIF((rName rData),H2300),"","Name Error!")</f>
        <v>#NAME?</v>
      </c>
    </row>
    <row r="2301" spans="2:9" s="126" customFormat="1" ht="15" customHeight="1" x14ac:dyDescent="0.25">
      <c r="B2301" s="271" t="s">
        <v>322</v>
      </c>
      <c r="C2301" s="272" t="s">
        <v>321</v>
      </c>
      <c r="D2301" s="275" t="s">
        <v>216</v>
      </c>
      <c r="E2301" s="275">
        <v>41585.522812499999</v>
      </c>
      <c r="F2301" s="276">
        <v>1</v>
      </c>
      <c r="G2301" s="243">
        <f t="shared" si="36"/>
        <v>110</v>
      </c>
      <c r="H2301" s="244"/>
      <c r="I2301" s="71" t="e">
        <f>IF(COUNTIF((rName rData),H2301),"","Name Error!")</f>
        <v>#NAME?</v>
      </c>
    </row>
    <row r="2302" spans="2:9" s="126" customFormat="1" ht="15" customHeight="1" x14ac:dyDescent="0.25">
      <c r="B2302" s="271" t="s">
        <v>331</v>
      </c>
      <c r="C2302" s="272" t="s">
        <v>330</v>
      </c>
      <c r="D2302" s="275" t="s">
        <v>216</v>
      </c>
      <c r="E2302" s="275">
        <v>41585.977719907409</v>
      </c>
      <c r="F2302" s="276">
        <v>1</v>
      </c>
      <c r="G2302" s="243">
        <f t="shared" si="36"/>
        <v>110</v>
      </c>
      <c r="H2302" s="244"/>
      <c r="I2302" s="71" t="e">
        <f>IF(COUNTIF((rName rData),H2302),"","Name Error!")</f>
        <v>#NAME?</v>
      </c>
    </row>
    <row r="2303" spans="2:9" s="126" customFormat="1" ht="15" customHeight="1" x14ac:dyDescent="0.25">
      <c r="B2303" s="271" t="s">
        <v>279</v>
      </c>
      <c r="C2303" s="272" t="s">
        <v>280</v>
      </c>
      <c r="D2303" s="275" t="s">
        <v>216</v>
      </c>
      <c r="E2303" s="275">
        <v>41586.501030092593</v>
      </c>
      <c r="F2303" s="276">
        <v>1</v>
      </c>
      <c r="G2303" s="243">
        <f t="shared" si="36"/>
        <v>110</v>
      </c>
      <c r="H2303" s="244"/>
      <c r="I2303" s="71" t="e">
        <f>IF(COUNTIF((rName rData),H2303),"","Name Error!")</f>
        <v>#NAME?</v>
      </c>
    </row>
    <row r="2304" spans="2:9" s="126" customFormat="1" ht="15" customHeight="1" x14ac:dyDescent="0.25">
      <c r="B2304" s="271" t="s">
        <v>335</v>
      </c>
      <c r="C2304" s="272" t="s">
        <v>334</v>
      </c>
      <c r="D2304" s="275" t="s">
        <v>216</v>
      </c>
      <c r="E2304" s="275">
        <v>41586.669270833336</v>
      </c>
      <c r="F2304" s="276">
        <v>1</v>
      </c>
      <c r="G2304" s="243">
        <f t="shared" si="36"/>
        <v>110</v>
      </c>
      <c r="H2304" s="244"/>
      <c r="I2304" s="71" t="e">
        <f>IF(COUNTIF((rName rData),H2304),"","Name Error!")</f>
        <v>#NAME?</v>
      </c>
    </row>
    <row r="2305" spans="2:9" s="126" customFormat="1" ht="15" customHeight="1" x14ac:dyDescent="0.25">
      <c r="B2305" s="271" t="s">
        <v>267</v>
      </c>
      <c r="C2305" s="272" t="s">
        <v>268</v>
      </c>
      <c r="D2305" s="275" t="s">
        <v>216</v>
      </c>
      <c r="E2305" s="275">
        <v>41586.793194444443</v>
      </c>
      <c r="F2305" s="276">
        <v>2</v>
      </c>
      <c r="G2305" s="243">
        <f t="shared" si="36"/>
        <v>110</v>
      </c>
      <c r="H2305" s="244"/>
      <c r="I2305" s="71" t="e">
        <f>IF(COUNTIF((rName rData),H2305),"","Name Error!")</f>
        <v>#NAME?</v>
      </c>
    </row>
    <row r="2306" spans="2:9" s="126" customFormat="1" ht="15" customHeight="1" x14ac:dyDescent="0.25">
      <c r="B2306" s="271" t="s">
        <v>358</v>
      </c>
      <c r="C2306" s="272" t="s">
        <v>357</v>
      </c>
      <c r="D2306" s="275" t="s">
        <v>216</v>
      </c>
      <c r="E2306" s="275">
        <v>41587.699733796297</v>
      </c>
      <c r="F2306" s="276">
        <v>1</v>
      </c>
      <c r="G2306" s="243">
        <f t="shared" si="36"/>
        <v>111</v>
      </c>
      <c r="H2306" s="244"/>
      <c r="I2306" s="71" t="e">
        <f>IF(COUNTIF((rName rData),H2306),"","Name Error!")</f>
        <v>#NAME?</v>
      </c>
    </row>
    <row r="2307" spans="2:9" s="126" customFormat="1" ht="15" customHeight="1" x14ac:dyDescent="0.25">
      <c r="B2307" s="271" t="s">
        <v>267</v>
      </c>
      <c r="C2307" s="272" t="s">
        <v>268</v>
      </c>
      <c r="D2307" s="275" t="s">
        <v>216</v>
      </c>
      <c r="E2307" s="275">
        <v>41587.915231481478</v>
      </c>
      <c r="F2307" s="276">
        <v>1</v>
      </c>
      <c r="G2307" s="243">
        <f t="shared" si="36"/>
        <v>111</v>
      </c>
      <c r="H2307" s="244"/>
      <c r="I2307" s="71" t="e">
        <f>IF(COUNTIF((rName rData),H2307),"","Name Error!")</f>
        <v>#NAME?</v>
      </c>
    </row>
    <row r="2308" spans="2:9" s="126" customFormat="1" ht="15" customHeight="1" x14ac:dyDescent="0.25">
      <c r="B2308" s="271" t="s">
        <v>267</v>
      </c>
      <c r="C2308" s="272" t="s">
        <v>268</v>
      </c>
      <c r="D2308" s="275" t="s">
        <v>216</v>
      </c>
      <c r="E2308" s="275">
        <v>41588.383668981478</v>
      </c>
      <c r="F2308" s="276">
        <v>3</v>
      </c>
      <c r="G2308" s="243">
        <f t="shared" si="36"/>
        <v>111</v>
      </c>
      <c r="H2308" s="244"/>
      <c r="I2308" s="71" t="e">
        <f>IF(COUNTIF((rName rData),H2308),"","Name Error!")</f>
        <v>#NAME?</v>
      </c>
    </row>
    <row r="2309" spans="2:9" s="126" customFormat="1" ht="15" customHeight="1" x14ac:dyDescent="0.25">
      <c r="B2309" s="271" t="s">
        <v>335</v>
      </c>
      <c r="C2309" s="272" t="s">
        <v>334</v>
      </c>
      <c r="D2309" s="275" t="s">
        <v>216</v>
      </c>
      <c r="E2309" s="275">
        <v>41588.645509259259</v>
      </c>
      <c r="F2309" s="276">
        <v>1</v>
      </c>
      <c r="G2309" s="243">
        <f t="shared" si="36"/>
        <v>111</v>
      </c>
      <c r="H2309" s="244"/>
      <c r="I2309" s="71" t="e">
        <f>IF(COUNTIF((rName rData),H2309),"","Name Error!")</f>
        <v>#NAME?</v>
      </c>
    </row>
    <row r="2310" spans="2:9" s="126" customFormat="1" ht="15" customHeight="1" x14ac:dyDescent="0.25">
      <c r="B2310" s="271" t="s">
        <v>371</v>
      </c>
      <c r="C2310" s="272" t="s">
        <v>370</v>
      </c>
      <c r="D2310" s="275" t="s">
        <v>216</v>
      </c>
      <c r="E2310" s="275">
        <v>41588.974317129629</v>
      </c>
      <c r="F2310" s="276">
        <v>1</v>
      </c>
      <c r="G2310" s="243">
        <f t="shared" si="36"/>
        <v>111</v>
      </c>
      <c r="H2310" s="244"/>
      <c r="I2310" s="71" t="e">
        <f>IF(COUNTIF((rName rData),H2310),"","Name Error!")</f>
        <v>#NAME?</v>
      </c>
    </row>
    <row r="2311" spans="2:9" s="126" customFormat="1" ht="15" customHeight="1" x14ac:dyDescent="0.25">
      <c r="B2311" s="271" t="s">
        <v>358</v>
      </c>
      <c r="C2311" s="272" t="s">
        <v>357</v>
      </c>
      <c r="D2311" s="275" t="s">
        <v>216</v>
      </c>
      <c r="E2311" s="275">
        <v>41588.998703703706</v>
      </c>
      <c r="F2311" s="276">
        <v>1</v>
      </c>
      <c r="G2311" s="243">
        <f t="shared" si="36"/>
        <v>111</v>
      </c>
      <c r="H2311" s="244"/>
      <c r="I2311" s="71" t="e">
        <f>IF(COUNTIF((rName rData),H2311),"","Name Error!")</f>
        <v>#NAME?</v>
      </c>
    </row>
    <row r="2312" spans="2:9" s="126" customFormat="1" ht="15" customHeight="1" x14ac:dyDescent="0.25">
      <c r="B2312" s="271" t="s">
        <v>358</v>
      </c>
      <c r="C2312" s="272" t="s">
        <v>357</v>
      </c>
      <c r="D2312" s="275" t="s">
        <v>216</v>
      </c>
      <c r="E2312" s="275">
        <v>41589.624664351853</v>
      </c>
      <c r="F2312" s="276">
        <v>3</v>
      </c>
      <c r="G2312" s="243">
        <f t="shared" si="36"/>
        <v>111</v>
      </c>
      <c r="H2312" s="244"/>
      <c r="I2312" s="71" t="e">
        <f>IF(COUNTIF((rName rData),H2312),"","Name Error!")</f>
        <v>#NAME?</v>
      </c>
    </row>
    <row r="2313" spans="2:9" s="126" customFormat="1" ht="15" customHeight="1" x14ac:dyDescent="0.25">
      <c r="B2313" s="271" t="s">
        <v>331</v>
      </c>
      <c r="C2313" s="272" t="s">
        <v>330</v>
      </c>
      <c r="D2313" s="275" t="s">
        <v>216</v>
      </c>
      <c r="E2313" s="275">
        <v>41590.651331018518</v>
      </c>
      <c r="F2313" s="276">
        <v>1</v>
      </c>
      <c r="G2313" s="243">
        <f t="shared" si="36"/>
        <v>111</v>
      </c>
      <c r="H2313" s="244"/>
      <c r="I2313" s="71" t="e">
        <f>IF(COUNTIF((rName rData),H2313),"","Name Error!")</f>
        <v>#NAME?</v>
      </c>
    </row>
    <row r="2314" spans="2:9" s="126" customFormat="1" ht="15" customHeight="1" x14ac:dyDescent="0.25">
      <c r="B2314" s="271" t="s">
        <v>358</v>
      </c>
      <c r="C2314" s="272" t="s">
        <v>357</v>
      </c>
      <c r="D2314" s="275" t="s">
        <v>216</v>
      </c>
      <c r="E2314" s="275">
        <v>41590.789305555554</v>
      </c>
      <c r="F2314" s="276">
        <v>1</v>
      </c>
      <c r="G2314" s="243">
        <f t="shared" ref="G2314:G2377" si="37">TRUNC((E2314-start)/7)+1</f>
        <v>111</v>
      </c>
      <c r="H2314" s="244"/>
      <c r="I2314" s="71" t="e">
        <f>IF(COUNTIF((rName rData),H2314),"","Name Error!")</f>
        <v>#NAME?</v>
      </c>
    </row>
    <row r="2315" spans="2:9" s="126" customFormat="1" ht="15" customHeight="1" x14ac:dyDescent="0.25">
      <c r="B2315" s="271" t="s">
        <v>358</v>
      </c>
      <c r="C2315" s="272" t="s">
        <v>357</v>
      </c>
      <c r="D2315" s="275" t="s">
        <v>216</v>
      </c>
      <c r="E2315" s="275">
        <v>41592.454432870371</v>
      </c>
      <c r="F2315" s="276">
        <v>2</v>
      </c>
      <c r="G2315" s="243">
        <f t="shared" si="37"/>
        <v>111</v>
      </c>
      <c r="H2315" s="244"/>
      <c r="I2315" s="71" t="e">
        <f>IF(COUNTIF((rName rData),H2315),"","Name Error!")</f>
        <v>#NAME?</v>
      </c>
    </row>
    <row r="2316" spans="2:9" s="126" customFormat="1" ht="15" customHeight="1" x14ac:dyDescent="0.25">
      <c r="B2316" s="271" t="s">
        <v>367</v>
      </c>
      <c r="C2316" s="272" t="s">
        <v>366</v>
      </c>
      <c r="D2316" s="275" t="s">
        <v>216</v>
      </c>
      <c r="E2316" s="275">
        <v>41592.509074074071</v>
      </c>
      <c r="F2316" s="276">
        <v>1</v>
      </c>
      <c r="G2316" s="243">
        <f t="shared" si="37"/>
        <v>111</v>
      </c>
      <c r="H2316" s="244"/>
      <c r="I2316" s="71" t="e">
        <f>IF(COUNTIF((rName rData),H2316),"","Name Error!")</f>
        <v>#NAME?</v>
      </c>
    </row>
    <row r="2317" spans="2:9" s="126" customFormat="1" ht="15" customHeight="1" x14ac:dyDescent="0.25">
      <c r="B2317" s="271" t="s">
        <v>354</v>
      </c>
      <c r="C2317" s="272" t="s">
        <v>353</v>
      </c>
      <c r="D2317" s="275" t="s">
        <v>216</v>
      </c>
      <c r="E2317" s="275">
        <v>41592.621666666666</v>
      </c>
      <c r="F2317" s="276">
        <v>1</v>
      </c>
      <c r="G2317" s="243">
        <f t="shared" si="37"/>
        <v>111</v>
      </c>
      <c r="H2317" s="244"/>
      <c r="I2317" s="71" t="e">
        <f>IF(COUNTIF((rName rData),H2317),"","Name Error!")</f>
        <v>#NAME?</v>
      </c>
    </row>
    <row r="2318" spans="2:9" s="126" customFormat="1" ht="15" customHeight="1" x14ac:dyDescent="0.25">
      <c r="B2318" s="271" t="s">
        <v>322</v>
      </c>
      <c r="C2318" s="272" t="s">
        <v>321</v>
      </c>
      <c r="D2318" s="275" t="s">
        <v>216</v>
      </c>
      <c r="E2318" s="275">
        <v>41592.661805555559</v>
      </c>
      <c r="F2318" s="276">
        <v>2</v>
      </c>
      <c r="G2318" s="243">
        <f t="shared" si="37"/>
        <v>111</v>
      </c>
      <c r="H2318" s="244"/>
      <c r="I2318" s="71" t="e">
        <f>IF(COUNTIF((rName rData),H2318),"","Name Error!")</f>
        <v>#NAME?</v>
      </c>
    </row>
    <row r="2319" spans="2:9" s="126" customFormat="1" ht="15" customHeight="1" x14ac:dyDescent="0.25">
      <c r="B2319" s="271" t="s">
        <v>341</v>
      </c>
      <c r="C2319" s="272" t="s">
        <v>340</v>
      </c>
      <c r="D2319" s="275" t="s">
        <v>216</v>
      </c>
      <c r="E2319" s="275">
        <v>41593.538240740738</v>
      </c>
      <c r="F2319" s="276">
        <v>1</v>
      </c>
      <c r="G2319" s="243">
        <f t="shared" si="37"/>
        <v>111</v>
      </c>
      <c r="H2319" s="244"/>
      <c r="I2319" s="71" t="e">
        <f>IF(COUNTIF((rName rData),H2319),"","Name Error!")</f>
        <v>#NAME?</v>
      </c>
    </row>
    <row r="2320" spans="2:9" s="126" customFormat="1" ht="15" customHeight="1" x14ac:dyDescent="0.25">
      <c r="B2320" s="271" t="s">
        <v>358</v>
      </c>
      <c r="C2320" s="272" t="s">
        <v>357</v>
      </c>
      <c r="D2320" s="275" t="s">
        <v>216</v>
      </c>
      <c r="E2320" s="275">
        <v>41593.833472222221</v>
      </c>
      <c r="F2320" s="276">
        <v>1</v>
      </c>
      <c r="G2320" s="243">
        <f t="shared" si="37"/>
        <v>111</v>
      </c>
      <c r="H2320" s="244"/>
      <c r="I2320" s="71" t="e">
        <f>IF(COUNTIF((rName rData),H2320),"","Name Error!")</f>
        <v>#NAME?</v>
      </c>
    </row>
    <row r="2321" spans="2:9" s="126" customFormat="1" ht="15" customHeight="1" x14ac:dyDescent="0.25">
      <c r="B2321" s="271" t="s">
        <v>328</v>
      </c>
      <c r="C2321" s="272" t="s">
        <v>327</v>
      </c>
      <c r="D2321" s="275" t="s">
        <v>216</v>
      </c>
      <c r="E2321" s="275">
        <v>41594.155115740738</v>
      </c>
      <c r="F2321" s="276">
        <v>1</v>
      </c>
      <c r="G2321" s="243">
        <f t="shared" si="37"/>
        <v>112</v>
      </c>
      <c r="H2321" s="244"/>
      <c r="I2321" s="71" t="e">
        <f>IF(COUNTIF((rName rData),H2321),"","Name Error!")</f>
        <v>#NAME?</v>
      </c>
    </row>
    <row r="2322" spans="2:9" s="126" customFormat="1" ht="15" customHeight="1" x14ac:dyDescent="0.25">
      <c r="B2322" s="271" t="s">
        <v>333</v>
      </c>
      <c r="C2322" s="272" t="s">
        <v>332</v>
      </c>
      <c r="D2322" s="275" t="s">
        <v>216</v>
      </c>
      <c r="E2322" s="275">
        <v>41594.155810185184</v>
      </c>
      <c r="F2322" s="276">
        <v>1</v>
      </c>
      <c r="G2322" s="243">
        <f t="shared" si="37"/>
        <v>112</v>
      </c>
      <c r="H2322" s="244"/>
      <c r="I2322" s="71" t="e">
        <f>IF(COUNTIF((rName rData),H2322),"","Name Error!")</f>
        <v>#NAME?</v>
      </c>
    </row>
    <row r="2323" spans="2:9" s="126" customFormat="1" ht="15" customHeight="1" x14ac:dyDescent="0.25">
      <c r="B2323" s="271" t="s">
        <v>371</v>
      </c>
      <c r="C2323" s="272" t="s">
        <v>370</v>
      </c>
      <c r="D2323" s="275" t="s">
        <v>216</v>
      </c>
      <c r="E2323" s="275">
        <v>41594.667094907411</v>
      </c>
      <c r="F2323" s="276">
        <v>1</v>
      </c>
      <c r="G2323" s="243">
        <f t="shared" si="37"/>
        <v>112</v>
      </c>
      <c r="H2323" s="244"/>
      <c r="I2323" s="71" t="e">
        <f>IF(COUNTIF((rName rData),H2323),"","Name Error!")</f>
        <v>#NAME?</v>
      </c>
    </row>
    <row r="2324" spans="2:9" s="126" customFormat="1" ht="15" customHeight="1" x14ac:dyDescent="0.25">
      <c r="B2324" s="271" t="s">
        <v>345</v>
      </c>
      <c r="C2324" s="272" t="s">
        <v>344</v>
      </c>
      <c r="D2324" s="275" t="s">
        <v>216</v>
      </c>
      <c r="E2324" s="275">
        <v>41594.667187500003</v>
      </c>
      <c r="F2324" s="276">
        <v>1</v>
      </c>
      <c r="G2324" s="243">
        <f t="shared" si="37"/>
        <v>112</v>
      </c>
      <c r="H2324" s="244"/>
      <c r="I2324" s="71" t="e">
        <f>IF(COUNTIF((rName rData),H2324),"","Name Error!")</f>
        <v>#NAME?</v>
      </c>
    </row>
    <row r="2325" spans="2:9" s="126" customFormat="1" ht="15" customHeight="1" x14ac:dyDescent="0.25">
      <c r="B2325" s="271" t="s">
        <v>341</v>
      </c>
      <c r="C2325" s="272" t="s">
        <v>340</v>
      </c>
      <c r="D2325" s="275" t="s">
        <v>216</v>
      </c>
      <c r="E2325" s="275">
        <v>41594.947569444441</v>
      </c>
      <c r="F2325" s="276">
        <v>1</v>
      </c>
      <c r="G2325" s="243">
        <f t="shared" si="37"/>
        <v>112</v>
      </c>
      <c r="H2325" s="244"/>
      <c r="I2325" s="71" t="e">
        <f>IF(COUNTIF((rName rData),H2325),"","Name Error!")</f>
        <v>#NAME?</v>
      </c>
    </row>
    <row r="2326" spans="2:9" s="126" customFormat="1" ht="15" customHeight="1" x14ac:dyDescent="0.25">
      <c r="B2326" s="271" t="s">
        <v>352</v>
      </c>
      <c r="C2326" s="272" t="s">
        <v>351</v>
      </c>
      <c r="D2326" s="275" t="s">
        <v>216</v>
      </c>
      <c r="E2326" s="275">
        <v>41595.524780092594</v>
      </c>
      <c r="F2326" s="276">
        <v>1</v>
      </c>
      <c r="G2326" s="243">
        <f t="shared" si="37"/>
        <v>112</v>
      </c>
      <c r="H2326" s="244"/>
      <c r="I2326" s="71" t="e">
        <f>IF(COUNTIF((rName rData),H2326),"","Name Error!")</f>
        <v>#NAME?</v>
      </c>
    </row>
    <row r="2327" spans="2:9" s="126" customFormat="1" ht="15" customHeight="1" x14ac:dyDescent="0.25">
      <c r="B2327" s="271" t="s">
        <v>356</v>
      </c>
      <c r="C2327" s="272" t="s">
        <v>355</v>
      </c>
      <c r="D2327" s="275" t="s">
        <v>216</v>
      </c>
      <c r="E2327" s="275">
        <v>41595.67150462963</v>
      </c>
      <c r="F2327" s="276">
        <v>1</v>
      </c>
      <c r="G2327" s="243">
        <f t="shared" si="37"/>
        <v>112</v>
      </c>
      <c r="H2327" s="244"/>
      <c r="I2327" s="71" t="e">
        <f>IF(COUNTIF((rName rData),H2327),"","Name Error!")</f>
        <v>#NAME?</v>
      </c>
    </row>
    <row r="2328" spans="2:9" s="126" customFormat="1" ht="15" customHeight="1" x14ac:dyDescent="0.25">
      <c r="B2328" s="271" t="s">
        <v>358</v>
      </c>
      <c r="C2328" s="272" t="s">
        <v>357</v>
      </c>
      <c r="D2328" s="275" t="s">
        <v>216</v>
      </c>
      <c r="E2328" s="275">
        <v>41595.845821759256</v>
      </c>
      <c r="F2328" s="276">
        <v>1</v>
      </c>
      <c r="G2328" s="243">
        <f t="shared" si="37"/>
        <v>112</v>
      </c>
      <c r="H2328" s="244"/>
      <c r="I2328" s="71" t="e">
        <f>IF(COUNTIF((rName rData),H2328),"","Name Error!")</f>
        <v>#NAME?</v>
      </c>
    </row>
    <row r="2329" spans="2:9" s="126" customFormat="1" ht="15" customHeight="1" x14ac:dyDescent="0.25">
      <c r="B2329" s="271" t="s">
        <v>331</v>
      </c>
      <c r="C2329" s="272" t="s">
        <v>330</v>
      </c>
      <c r="D2329" s="275" t="s">
        <v>216</v>
      </c>
      <c r="E2329" s="275">
        <v>41596.506736111114</v>
      </c>
      <c r="F2329" s="276">
        <v>1</v>
      </c>
      <c r="G2329" s="243">
        <f t="shared" si="37"/>
        <v>112</v>
      </c>
      <c r="H2329" s="244"/>
      <c r="I2329" s="71" t="e">
        <f>IF(COUNTIF((rName rData),H2329),"","Name Error!")</f>
        <v>#NAME?</v>
      </c>
    </row>
    <row r="2330" spans="2:9" s="126" customFormat="1" ht="15" customHeight="1" x14ac:dyDescent="0.25">
      <c r="B2330" s="271" t="s">
        <v>337</v>
      </c>
      <c r="C2330" s="272" t="s">
        <v>336</v>
      </c>
      <c r="D2330" s="275" t="s">
        <v>216</v>
      </c>
      <c r="E2330" s="275">
        <v>41596.574444444443</v>
      </c>
      <c r="F2330" s="276">
        <v>1</v>
      </c>
      <c r="G2330" s="243">
        <f t="shared" si="37"/>
        <v>112</v>
      </c>
      <c r="H2330" s="244"/>
      <c r="I2330" s="71" t="e">
        <f>IF(COUNTIF((rName rData),H2330),"","Name Error!")</f>
        <v>#NAME?</v>
      </c>
    </row>
    <row r="2331" spans="2:9" s="126" customFormat="1" ht="15" customHeight="1" x14ac:dyDescent="0.25">
      <c r="B2331" s="271" t="s">
        <v>350</v>
      </c>
      <c r="C2331" s="272" t="s">
        <v>349</v>
      </c>
      <c r="D2331" s="275" t="s">
        <v>216</v>
      </c>
      <c r="E2331" s="275">
        <v>41596.63622685185</v>
      </c>
      <c r="F2331" s="276">
        <v>1</v>
      </c>
      <c r="G2331" s="243">
        <f t="shared" si="37"/>
        <v>112</v>
      </c>
      <c r="H2331" s="244"/>
      <c r="I2331" s="71" t="e">
        <f>IF(COUNTIF((rName rData),H2331),"","Name Error!")</f>
        <v>#NAME?</v>
      </c>
    </row>
    <row r="2332" spans="2:9" s="126" customFormat="1" ht="15" customHeight="1" x14ac:dyDescent="0.25">
      <c r="B2332" s="271" t="s">
        <v>322</v>
      </c>
      <c r="C2332" s="272" t="s">
        <v>321</v>
      </c>
      <c r="D2332" s="275" t="s">
        <v>216</v>
      </c>
      <c r="E2332" s="275">
        <v>41596.691608796296</v>
      </c>
      <c r="F2332" s="276">
        <v>1</v>
      </c>
      <c r="G2332" s="243">
        <f t="shared" si="37"/>
        <v>112</v>
      </c>
      <c r="H2332" s="244"/>
      <c r="I2332" s="71" t="e">
        <f>IF(COUNTIF((rName rData),H2332),"","Name Error!")</f>
        <v>#NAME?</v>
      </c>
    </row>
    <row r="2333" spans="2:9" s="126" customFormat="1" ht="15" customHeight="1" x14ac:dyDescent="0.25">
      <c r="B2333" s="271" t="s">
        <v>358</v>
      </c>
      <c r="C2333" s="272" t="s">
        <v>357</v>
      </c>
      <c r="D2333" s="275" t="s">
        <v>216</v>
      </c>
      <c r="E2333" s="275">
        <v>41596.780787037038</v>
      </c>
      <c r="F2333" s="276">
        <v>1</v>
      </c>
      <c r="G2333" s="243">
        <f t="shared" si="37"/>
        <v>112</v>
      </c>
      <c r="H2333" s="244"/>
      <c r="I2333" s="71" t="e">
        <f>IF(COUNTIF((rName rData),H2333),"","Name Error!")</f>
        <v>#NAME?</v>
      </c>
    </row>
    <row r="2334" spans="2:9" s="126" customFormat="1" ht="15" customHeight="1" x14ac:dyDescent="0.25">
      <c r="B2334" s="271" t="s">
        <v>371</v>
      </c>
      <c r="C2334" s="272" t="s">
        <v>370</v>
      </c>
      <c r="D2334" s="275" t="s">
        <v>216</v>
      </c>
      <c r="E2334" s="275">
        <v>41596.860069444447</v>
      </c>
      <c r="F2334" s="276">
        <v>1</v>
      </c>
      <c r="G2334" s="243">
        <f t="shared" si="37"/>
        <v>112</v>
      </c>
      <c r="H2334" s="244"/>
      <c r="I2334" s="71" t="e">
        <f>IF(COUNTIF((rName rData),H2334),"","Name Error!")</f>
        <v>#NAME?</v>
      </c>
    </row>
    <row r="2335" spans="2:9" s="126" customFormat="1" ht="15" customHeight="1" x14ac:dyDescent="0.25">
      <c r="B2335" s="271" t="s">
        <v>356</v>
      </c>
      <c r="C2335" s="272" t="s">
        <v>355</v>
      </c>
      <c r="D2335" s="275" t="s">
        <v>216</v>
      </c>
      <c r="E2335" s="275">
        <v>41596.875034722223</v>
      </c>
      <c r="F2335" s="276">
        <v>1</v>
      </c>
      <c r="G2335" s="243">
        <f t="shared" si="37"/>
        <v>112</v>
      </c>
      <c r="H2335" s="244"/>
      <c r="I2335" s="71" t="e">
        <f>IF(COUNTIF((rName rData),H2335),"","Name Error!")</f>
        <v>#NAME?</v>
      </c>
    </row>
    <row r="2336" spans="2:9" s="126" customFormat="1" ht="15" customHeight="1" x14ac:dyDescent="0.25">
      <c r="B2336" s="271" t="s">
        <v>367</v>
      </c>
      <c r="C2336" s="272" t="s">
        <v>366</v>
      </c>
      <c r="D2336" s="275" t="s">
        <v>216</v>
      </c>
      <c r="E2336" s="275">
        <v>41597.027430555558</v>
      </c>
      <c r="F2336" s="276">
        <v>2</v>
      </c>
      <c r="G2336" s="243">
        <f t="shared" si="37"/>
        <v>112</v>
      </c>
      <c r="H2336" s="244"/>
      <c r="I2336" s="71" t="e">
        <f>IF(COUNTIF((rName rData),H2336),"","Name Error!")</f>
        <v>#NAME?</v>
      </c>
    </row>
    <row r="2337" spans="2:9" s="126" customFormat="1" ht="15" customHeight="1" x14ac:dyDescent="0.25">
      <c r="B2337" s="271" t="s">
        <v>356</v>
      </c>
      <c r="C2337" s="272" t="s">
        <v>355</v>
      </c>
      <c r="D2337" s="275" t="s">
        <v>216</v>
      </c>
      <c r="E2337" s="275">
        <v>41597.481828703705</v>
      </c>
      <c r="F2337" s="276">
        <v>1</v>
      </c>
      <c r="G2337" s="243">
        <f t="shared" si="37"/>
        <v>112</v>
      </c>
      <c r="H2337" s="244"/>
      <c r="I2337" s="71" t="e">
        <f>IF(COUNTIF((rName rData),H2337),"","Name Error!")</f>
        <v>#NAME?</v>
      </c>
    </row>
    <row r="2338" spans="2:9" s="126" customFormat="1" ht="15" customHeight="1" x14ac:dyDescent="0.25">
      <c r="B2338" s="271" t="s">
        <v>331</v>
      </c>
      <c r="C2338" s="272" t="s">
        <v>330</v>
      </c>
      <c r="D2338" s="275" t="s">
        <v>216</v>
      </c>
      <c r="E2338" s="275">
        <v>41597.521678240744</v>
      </c>
      <c r="F2338" s="276">
        <v>2</v>
      </c>
      <c r="G2338" s="243">
        <f t="shared" si="37"/>
        <v>112</v>
      </c>
      <c r="H2338" s="244"/>
      <c r="I2338" s="71" t="e">
        <f>IF(COUNTIF((rName rData),H2338),"","Name Error!")</f>
        <v>#NAME?</v>
      </c>
    </row>
    <row r="2339" spans="2:9" s="126" customFormat="1" ht="15" customHeight="1" x14ac:dyDescent="0.25">
      <c r="B2339" s="271" t="s">
        <v>354</v>
      </c>
      <c r="C2339" s="272" t="s">
        <v>353</v>
      </c>
      <c r="D2339" s="275" t="s">
        <v>216</v>
      </c>
      <c r="E2339" s="275">
        <v>41597.673020833332</v>
      </c>
      <c r="F2339" s="276">
        <v>1</v>
      </c>
      <c r="G2339" s="243">
        <f t="shared" si="37"/>
        <v>112</v>
      </c>
      <c r="H2339" s="244"/>
      <c r="I2339" s="71" t="e">
        <f>IF(COUNTIF((rName rData),H2339),"","Name Error!")</f>
        <v>#NAME?</v>
      </c>
    </row>
    <row r="2340" spans="2:9" s="126" customFormat="1" ht="15" customHeight="1" x14ac:dyDescent="0.25">
      <c r="B2340" s="271" t="s">
        <v>267</v>
      </c>
      <c r="C2340" s="272" t="s">
        <v>268</v>
      </c>
      <c r="D2340" s="275" t="s">
        <v>216</v>
      </c>
      <c r="E2340" s="275">
        <v>41597.756666666668</v>
      </c>
      <c r="F2340" s="276">
        <v>1</v>
      </c>
      <c r="G2340" s="243">
        <f t="shared" si="37"/>
        <v>112</v>
      </c>
      <c r="H2340" s="244"/>
      <c r="I2340" s="71" t="e">
        <f>IF(COUNTIF((rName rData),H2340),"","Name Error!")</f>
        <v>#NAME?</v>
      </c>
    </row>
    <row r="2341" spans="2:9" s="126" customFormat="1" ht="15" customHeight="1" x14ac:dyDescent="0.25">
      <c r="B2341" s="271" t="s">
        <v>322</v>
      </c>
      <c r="C2341" s="272" t="s">
        <v>321</v>
      </c>
      <c r="D2341" s="275" t="s">
        <v>216</v>
      </c>
      <c r="E2341" s="275">
        <v>41597.807754629626</v>
      </c>
      <c r="F2341" s="276">
        <v>1</v>
      </c>
      <c r="G2341" s="243">
        <f t="shared" si="37"/>
        <v>112</v>
      </c>
      <c r="H2341" s="244"/>
      <c r="I2341" s="71" t="e">
        <f>IF(COUNTIF((rName rData),H2341),"","Name Error!")</f>
        <v>#NAME?</v>
      </c>
    </row>
    <row r="2342" spans="2:9" s="126" customFormat="1" ht="15" customHeight="1" x14ac:dyDescent="0.25">
      <c r="B2342" s="271" t="s">
        <v>367</v>
      </c>
      <c r="C2342" s="272" t="s">
        <v>366</v>
      </c>
      <c r="D2342" s="275" t="s">
        <v>216</v>
      </c>
      <c r="E2342" s="275">
        <v>41598.110543981478</v>
      </c>
      <c r="F2342" s="276">
        <v>2</v>
      </c>
      <c r="G2342" s="243">
        <f t="shared" si="37"/>
        <v>112</v>
      </c>
      <c r="H2342" s="244"/>
      <c r="I2342" s="71" t="e">
        <f>IF(COUNTIF((rName rData),H2342),"","Name Error!")</f>
        <v>#NAME?</v>
      </c>
    </row>
    <row r="2343" spans="2:9" s="126" customFormat="1" ht="15" customHeight="1" x14ac:dyDescent="0.25">
      <c r="B2343" s="271" t="s">
        <v>341</v>
      </c>
      <c r="C2343" s="272" t="s">
        <v>340</v>
      </c>
      <c r="D2343" s="275" t="s">
        <v>216</v>
      </c>
      <c r="E2343" s="275">
        <v>41598.455787037034</v>
      </c>
      <c r="F2343" s="276">
        <v>2</v>
      </c>
      <c r="G2343" s="243">
        <f t="shared" si="37"/>
        <v>112</v>
      </c>
      <c r="H2343" s="244"/>
      <c r="I2343" s="71" t="e">
        <f>IF(COUNTIF((rName rData),H2343),"","Name Error!")</f>
        <v>#NAME?</v>
      </c>
    </row>
    <row r="2344" spans="2:9" s="126" customFormat="1" ht="15" customHeight="1" x14ac:dyDescent="0.25">
      <c r="B2344" s="271" t="s">
        <v>339</v>
      </c>
      <c r="C2344" s="272" t="s">
        <v>338</v>
      </c>
      <c r="D2344" s="275" t="s">
        <v>216</v>
      </c>
      <c r="E2344" s="275">
        <v>41598.52615740741</v>
      </c>
      <c r="F2344" s="276">
        <v>1</v>
      </c>
      <c r="G2344" s="243">
        <f t="shared" si="37"/>
        <v>112</v>
      </c>
      <c r="H2344" s="244"/>
      <c r="I2344" s="71" t="e">
        <f>IF(COUNTIF((rName rData),H2344),"","Name Error!")</f>
        <v>#NAME?</v>
      </c>
    </row>
    <row r="2345" spans="2:9" s="126" customFormat="1" ht="15" customHeight="1" x14ac:dyDescent="0.25">
      <c r="B2345" s="271" t="s">
        <v>356</v>
      </c>
      <c r="C2345" s="272" t="s">
        <v>355</v>
      </c>
      <c r="D2345" s="275" t="s">
        <v>216</v>
      </c>
      <c r="E2345" s="275">
        <v>41598.628020833334</v>
      </c>
      <c r="F2345" s="276">
        <v>2</v>
      </c>
      <c r="G2345" s="243">
        <f t="shared" si="37"/>
        <v>112</v>
      </c>
      <c r="H2345" s="244"/>
      <c r="I2345" s="71" t="e">
        <f>IF(COUNTIF((rName rData),H2345),"","Name Error!")</f>
        <v>#NAME?</v>
      </c>
    </row>
    <row r="2346" spans="2:9" s="126" customFormat="1" ht="15" customHeight="1" x14ac:dyDescent="0.25">
      <c r="B2346" s="271" t="s">
        <v>362</v>
      </c>
      <c r="C2346" s="272" t="s">
        <v>361</v>
      </c>
      <c r="D2346" s="275" t="s">
        <v>216</v>
      </c>
      <c r="E2346" s="275">
        <v>41598.765509259261</v>
      </c>
      <c r="F2346" s="276">
        <v>1</v>
      </c>
      <c r="G2346" s="243">
        <f t="shared" si="37"/>
        <v>112</v>
      </c>
      <c r="H2346" s="244"/>
      <c r="I2346" s="71" t="e">
        <f>IF(COUNTIF((rName rData),H2346),"","Name Error!")</f>
        <v>#NAME?</v>
      </c>
    </row>
    <row r="2347" spans="2:9" s="126" customFormat="1" ht="15" customHeight="1" x14ac:dyDescent="0.25">
      <c r="B2347" s="271" t="s">
        <v>267</v>
      </c>
      <c r="C2347" s="272" t="s">
        <v>268</v>
      </c>
      <c r="D2347" s="275" t="s">
        <v>216</v>
      </c>
      <c r="E2347" s="275">
        <v>41598.776817129627</v>
      </c>
      <c r="F2347" s="276">
        <v>1</v>
      </c>
      <c r="G2347" s="243">
        <f t="shared" si="37"/>
        <v>112</v>
      </c>
      <c r="H2347" s="244"/>
      <c r="I2347" s="71" t="e">
        <f>IF(COUNTIF((rName rData),H2347),"","Name Error!")</f>
        <v>#NAME?</v>
      </c>
    </row>
    <row r="2348" spans="2:9" s="126" customFormat="1" ht="15" customHeight="1" x14ac:dyDescent="0.25">
      <c r="B2348" s="271" t="s">
        <v>365</v>
      </c>
      <c r="C2348" s="272" t="s">
        <v>364</v>
      </c>
      <c r="D2348" s="275" t="s">
        <v>216</v>
      </c>
      <c r="E2348" s="275">
        <v>41598.790648148148</v>
      </c>
      <c r="F2348" s="276">
        <v>1</v>
      </c>
      <c r="G2348" s="243">
        <f t="shared" si="37"/>
        <v>112</v>
      </c>
      <c r="H2348" s="244"/>
      <c r="I2348" s="71" t="e">
        <f>IF(COUNTIF((rName rData),H2348),"","Name Error!")</f>
        <v>#NAME?</v>
      </c>
    </row>
    <row r="2349" spans="2:9" s="126" customFormat="1" ht="15" customHeight="1" x14ac:dyDescent="0.25">
      <c r="B2349" s="271" t="s">
        <v>371</v>
      </c>
      <c r="C2349" s="272" t="s">
        <v>370</v>
      </c>
      <c r="D2349" s="275" t="s">
        <v>216</v>
      </c>
      <c r="E2349" s="275">
        <v>41598.793078703704</v>
      </c>
      <c r="F2349" s="276">
        <v>1</v>
      </c>
      <c r="G2349" s="243">
        <f t="shared" si="37"/>
        <v>112</v>
      </c>
      <c r="H2349" s="244"/>
      <c r="I2349" s="71" t="e">
        <f>IF(COUNTIF((rName rData),H2349),"","Name Error!")</f>
        <v>#NAME?</v>
      </c>
    </row>
    <row r="2350" spans="2:9" s="126" customFormat="1" ht="15" customHeight="1" x14ac:dyDescent="0.25">
      <c r="B2350" s="271" t="s">
        <v>322</v>
      </c>
      <c r="C2350" s="272" t="s">
        <v>321</v>
      </c>
      <c r="D2350" s="275" t="s">
        <v>216</v>
      </c>
      <c r="E2350" s="275">
        <v>41598.838622685187</v>
      </c>
      <c r="F2350" s="276">
        <v>1</v>
      </c>
      <c r="G2350" s="243">
        <f t="shared" si="37"/>
        <v>112</v>
      </c>
      <c r="H2350" s="244"/>
      <c r="I2350" s="71" t="e">
        <f>IF(COUNTIF((rName rData),H2350),"","Name Error!")</f>
        <v>#NAME?</v>
      </c>
    </row>
    <row r="2351" spans="2:9" s="126" customFormat="1" ht="15" customHeight="1" x14ac:dyDescent="0.25">
      <c r="B2351" s="271" t="s">
        <v>358</v>
      </c>
      <c r="C2351" s="272" t="s">
        <v>357</v>
      </c>
      <c r="D2351" s="275" t="s">
        <v>216</v>
      </c>
      <c r="E2351" s="275">
        <v>41598.860925925925</v>
      </c>
      <c r="F2351" s="276">
        <v>1</v>
      </c>
      <c r="G2351" s="243">
        <f t="shared" si="37"/>
        <v>112</v>
      </c>
      <c r="H2351" s="244"/>
      <c r="I2351" s="71" t="e">
        <f>IF(COUNTIF((rName rData),H2351),"","Name Error!")</f>
        <v>#NAME?</v>
      </c>
    </row>
    <row r="2352" spans="2:9" s="126" customFormat="1" ht="15" customHeight="1" x14ac:dyDescent="0.25">
      <c r="B2352" s="271" t="s">
        <v>328</v>
      </c>
      <c r="C2352" s="272" t="s">
        <v>327</v>
      </c>
      <c r="D2352" s="275" t="s">
        <v>216</v>
      </c>
      <c r="E2352" s="275">
        <v>41598.862337962964</v>
      </c>
      <c r="F2352" s="276">
        <v>1</v>
      </c>
      <c r="G2352" s="243">
        <f t="shared" si="37"/>
        <v>112</v>
      </c>
      <c r="H2352" s="244"/>
      <c r="I2352" s="71" t="e">
        <f>IF(COUNTIF((rName rData),H2352),"","Name Error!")</f>
        <v>#NAME?</v>
      </c>
    </row>
    <row r="2353" spans="2:9" s="126" customFormat="1" ht="15" customHeight="1" x14ac:dyDescent="0.25">
      <c r="B2353" s="271" t="s">
        <v>354</v>
      </c>
      <c r="C2353" s="272" t="s">
        <v>353</v>
      </c>
      <c r="D2353" s="275" t="s">
        <v>216</v>
      </c>
      <c r="E2353" s="275">
        <v>41599.279710648145</v>
      </c>
      <c r="F2353" s="276">
        <v>1</v>
      </c>
      <c r="G2353" s="243">
        <f t="shared" si="37"/>
        <v>112</v>
      </c>
      <c r="H2353" s="244"/>
      <c r="I2353" s="71" t="e">
        <f>IF(COUNTIF((rName rData),H2353),"","Name Error!")</f>
        <v>#NAME?</v>
      </c>
    </row>
    <row r="2354" spans="2:9" s="126" customFormat="1" ht="15" customHeight="1" x14ac:dyDescent="0.25">
      <c r="B2354" s="271" t="s">
        <v>322</v>
      </c>
      <c r="C2354" s="272" t="s">
        <v>321</v>
      </c>
      <c r="D2354" s="275" t="s">
        <v>216</v>
      </c>
      <c r="E2354" s="275">
        <v>41599.362766203703</v>
      </c>
      <c r="F2354" s="276">
        <v>4</v>
      </c>
      <c r="G2354" s="243">
        <f t="shared" si="37"/>
        <v>112</v>
      </c>
      <c r="H2354" s="244"/>
      <c r="I2354" s="71" t="e">
        <f>IF(COUNTIF((rName rData),H2354),"","Name Error!")</f>
        <v>#NAME?</v>
      </c>
    </row>
    <row r="2355" spans="2:9" s="126" customFormat="1" ht="15" customHeight="1" x14ac:dyDescent="0.25">
      <c r="B2355" s="271" t="s">
        <v>331</v>
      </c>
      <c r="C2355" s="272" t="s">
        <v>330</v>
      </c>
      <c r="D2355" s="275" t="s">
        <v>216</v>
      </c>
      <c r="E2355" s="275">
        <v>41599.507824074077</v>
      </c>
      <c r="F2355" s="276">
        <v>3</v>
      </c>
      <c r="G2355" s="243">
        <f t="shared" si="37"/>
        <v>112</v>
      </c>
      <c r="H2355" s="244"/>
      <c r="I2355" s="71" t="e">
        <f>IF(COUNTIF((rName rData),H2355),"","Name Error!")</f>
        <v>#NAME?</v>
      </c>
    </row>
    <row r="2356" spans="2:9" s="126" customFormat="1" ht="15" customHeight="1" x14ac:dyDescent="0.25">
      <c r="B2356" s="271" t="s">
        <v>267</v>
      </c>
      <c r="C2356" s="272" t="s">
        <v>268</v>
      </c>
      <c r="D2356" s="275" t="s">
        <v>216</v>
      </c>
      <c r="E2356" s="275">
        <v>41599.759768518517</v>
      </c>
      <c r="F2356" s="276">
        <v>2</v>
      </c>
      <c r="G2356" s="243">
        <f t="shared" si="37"/>
        <v>112</v>
      </c>
      <c r="H2356" s="244"/>
      <c r="I2356" s="71" t="e">
        <f>IF(COUNTIF((rName rData),H2356),"","Name Error!")</f>
        <v>#NAME?</v>
      </c>
    </row>
    <row r="2357" spans="2:9" s="126" customFormat="1" ht="15" customHeight="1" x14ac:dyDescent="0.25">
      <c r="B2357" s="271" t="s">
        <v>367</v>
      </c>
      <c r="C2357" s="272" t="s">
        <v>366</v>
      </c>
      <c r="D2357" s="275" t="s">
        <v>216</v>
      </c>
      <c r="E2357" s="275">
        <v>41600.129583333335</v>
      </c>
      <c r="F2357" s="276">
        <v>1</v>
      </c>
      <c r="G2357" s="243">
        <f t="shared" si="37"/>
        <v>112</v>
      </c>
      <c r="H2357" s="244"/>
      <c r="I2357" s="71" t="e">
        <f>IF(COUNTIF((rName rData),H2357),"","Name Error!")</f>
        <v>#NAME?</v>
      </c>
    </row>
    <row r="2358" spans="2:9" s="126" customFormat="1" ht="15" customHeight="1" x14ac:dyDescent="0.25">
      <c r="B2358" s="271" t="s">
        <v>331</v>
      </c>
      <c r="C2358" s="272" t="s">
        <v>330</v>
      </c>
      <c r="D2358" s="275" t="s">
        <v>216</v>
      </c>
      <c r="E2358" s="275">
        <v>41600.158703703702</v>
      </c>
      <c r="F2358" s="276">
        <v>1</v>
      </c>
      <c r="G2358" s="243">
        <f t="shared" si="37"/>
        <v>112</v>
      </c>
      <c r="H2358" s="244"/>
      <c r="I2358" s="71" t="e">
        <f>IF(COUNTIF((rName rData),H2358),"","Name Error!")</f>
        <v>#NAME?</v>
      </c>
    </row>
    <row r="2359" spans="2:9" s="126" customFormat="1" ht="15" customHeight="1" x14ac:dyDescent="0.25">
      <c r="B2359" s="271" t="s">
        <v>279</v>
      </c>
      <c r="C2359" s="272" t="s">
        <v>280</v>
      </c>
      <c r="D2359" s="275" t="s">
        <v>216</v>
      </c>
      <c r="E2359" s="275">
        <v>41600.488576388889</v>
      </c>
      <c r="F2359" s="276">
        <v>1</v>
      </c>
      <c r="G2359" s="243">
        <f t="shared" si="37"/>
        <v>112</v>
      </c>
      <c r="H2359" s="244"/>
      <c r="I2359" s="71" t="e">
        <f>IF(COUNTIF((rName rData),H2359),"","Name Error!")</f>
        <v>#NAME?</v>
      </c>
    </row>
    <row r="2360" spans="2:9" s="126" customFormat="1" ht="15" customHeight="1" x14ac:dyDescent="0.25">
      <c r="B2360" s="271" t="s">
        <v>267</v>
      </c>
      <c r="C2360" s="272" t="s">
        <v>268</v>
      </c>
      <c r="D2360" s="275" t="s">
        <v>216</v>
      </c>
      <c r="E2360" s="275">
        <v>41600.721331018518</v>
      </c>
      <c r="F2360" s="276">
        <v>1</v>
      </c>
      <c r="G2360" s="243">
        <f t="shared" si="37"/>
        <v>112</v>
      </c>
      <c r="H2360" s="244"/>
      <c r="I2360" s="71" t="e">
        <f>IF(COUNTIF((rName rData),H2360),"","Name Error!")</f>
        <v>#NAME?</v>
      </c>
    </row>
    <row r="2361" spans="2:9" s="126" customFormat="1" ht="15" customHeight="1" x14ac:dyDescent="0.25">
      <c r="B2361" s="271" t="s">
        <v>324</v>
      </c>
      <c r="C2361" s="272" t="s">
        <v>323</v>
      </c>
      <c r="D2361" s="275" t="s">
        <v>216</v>
      </c>
      <c r="E2361" s="275">
        <v>41600.947118055556</v>
      </c>
      <c r="F2361" s="276">
        <v>1</v>
      </c>
      <c r="G2361" s="243">
        <f t="shared" si="37"/>
        <v>112</v>
      </c>
      <c r="H2361" s="244"/>
      <c r="I2361" s="71" t="e">
        <f>IF(COUNTIF((rName rData),H2361),"","Name Error!")</f>
        <v>#NAME?</v>
      </c>
    </row>
    <row r="2362" spans="2:9" s="126" customFormat="1" ht="15" customHeight="1" x14ac:dyDescent="0.25">
      <c r="B2362" s="271" t="s">
        <v>328</v>
      </c>
      <c r="C2362" s="272" t="s">
        <v>327</v>
      </c>
      <c r="D2362" s="275" t="s">
        <v>216</v>
      </c>
      <c r="E2362" s="275">
        <v>41601.036921296298</v>
      </c>
      <c r="F2362" s="276">
        <v>4</v>
      </c>
      <c r="G2362" s="243">
        <f t="shared" si="37"/>
        <v>113</v>
      </c>
      <c r="H2362" s="244"/>
      <c r="I2362" s="71" t="e">
        <f>IF(COUNTIF((rName rData),H2362),"","Name Error!")</f>
        <v>#NAME?</v>
      </c>
    </row>
    <row r="2363" spans="2:9" s="126" customFormat="1" ht="15" customHeight="1" x14ac:dyDescent="0.25">
      <c r="B2363" s="271" t="s">
        <v>337</v>
      </c>
      <c r="C2363" s="272" t="s">
        <v>336</v>
      </c>
      <c r="D2363" s="275" t="s">
        <v>216</v>
      </c>
      <c r="E2363" s="275">
        <v>41601.502210648148</v>
      </c>
      <c r="F2363" s="276">
        <v>1</v>
      </c>
      <c r="G2363" s="243">
        <f t="shared" si="37"/>
        <v>113</v>
      </c>
      <c r="H2363" s="244"/>
      <c r="I2363" s="71" t="e">
        <f>IF(COUNTIF((rName rData),H2363),"","Name Error!")</f>
        <v>#NAME?</v>
      </c>
    </row>
    <row r="2364" spans="2:9" s="126" customFormat="1" ht="15" customHeight="1" x14ac:dyDescent="0.25">
      <c r="B2364" s="271" t="s">
        <v>352</v>
      </c>
      <c r="C2364" s="272" t="s">
        <v>351</v>
      </c>
      <c r="D2364" s="275" t="s">
        <v>216</v>
      </c>
      <c r="E2364" s="275">
        <v>41601.534236111111</v>
      </c>
      <c r="F2364" s="276">
        <v>2</v>
      </c>
      <c r="G2364" s="243">
        <f t="shared" si="37"/>
        <v>113</v>
      </c>
      <c r="H2364" s="244"/>
      <c r="I2364" s="71" t="e">
        <f>IF(COUNTIF((rName rData),H2364),"","Name Error!")</f>
        <v>#NAME?</v>
      </c>
    </row>
    <row r="2365" spans="2:9" s="126" customFormat="1" ht="15" customHeight="1" x14ac:dyDescent="0.25">
      <c r="B2365" s="271" t="s">
        <v>333</v>
      </c>
      <c r="C2365" s="272" t="s">
        <v>332</v>
      </c>
      <c r="D2365" s="275" t="s">
        <v>216</v>
      </c>
      <c r="E2365" s="275">
        <v>41601.584930555553</v>
      </c>
      <c r="F2365" s="276">
        <v>1</v>
      </c>
      <c r="G2365" s="243">
        <f t="shared" si="37"/>
        <v>113</v>
      </c>
      <c r="H2365" s="244"/>
      <c r="I2365" s="71" t="e">
        <f>IF(COUNTIF((rName rData),H2365),"","Name Error!")</f>
        <v>#NAME?</v>
      </c>
    </row>
    <row r="2366" spans="2:9" s="126" customFormat="1" ht="15" customHeight="1" x14ac:dyDescent="0.25">
      <c r="B2366" s="271" t="s">
        <v>356</v>
      </c>
      <c r="C2366" s="272" t="s">
        <v>355</v>
      </c>
      <c r="D2366" s="275" t="s">
        <v>216</v>
      </c>
      <c r="E2366" s="275">
        <v>41601.666562500002</v>
      </c>
      <c r="F2366" s="276">
        <v>1</v>
      </c>
      <c r="G2366" s="243">
        <f t="shared" si="37"/>
        <v>113</v>
      </c>
      <c r="H2366" s="244"/>
      <c r="I2366" s="71" t="e">
        <f>IF(COUNTIF((rName rData),H2366),"","Name Error!")</f>
        <v>#NAME?</v>
      </c>
    </row>
    <row r="2367" spans="2:9" s="126" customFormat="1" ht="15" customHeight="1" x14ac:dyDescent="0.25">
      <c r="B2367" s="271" t="s">
        <v>267</v>
      </c>
      <c r="C2367" s="272" t="s">
        <v>268</v>
      </c>
      <c r="D2367" s="275" t="s">
        <v>216</v>
      </c>
      <c r="E2367" s="275">
        <v>41601.830833333333</v>
      </c>
      <c r="F2367" s="276">
        <v>1</v>
      </c>
      <c r="G2367" s="243">
        <f t="shared" si="37"/>
        <v>113</v>
      </c>
      <c r="H2367" s="244"/>
      <c r="I2367" s="71" t="e">
        <f>IF(COUNTIF((rName rData),H2367),"","Name Error!")</f>
        <v>#NAME?</v>
      </c>
    </row>
    <row r="2368" spans="2:9" s="126" customFormat="1" ht="15" customHeight="1" x14ac:dyDescent="0.25">
      <c r="B2368" s="271" t="s">
        <v>331</v>
      </c>
      <c r="C2368" s="272" t="s">
        <v>330</v>
      </c>
      <c r="D2368" s="275" t="s">
        <v>216</v>
      </c>
      <c r="E2368" s="275">
        <v>41601.901446759257</v>
      </c>
      <c r="F2368" s="276">
        <v>1</v>
      </c>
      <c r="G2368" s="243">
        <f t="shared" si="37"/>
        <v>113</v>
      </c>
      <c r="H2368" s="244"/>
      <c r="I2368" s="71" t="e">
        <f>IF(COUNTIF((rName rData),H2368),"","Name Error!")</f>
        <v>#NAME?</v>
      </c>
    </row>
    <row r="2369" spans="2:9" s="126" customFormat="1" ht="15" customHeight="1" x14ac:dyDescent="0.25">
      <c r="B2369" s="271" t="s">
        <v>367</v>
      </c>
      <c r="C2369" s="272" t="s">
        <v>366</v>
      </c>
      <c r="D2369" s="275" t="s">
        <v>216</v>
      </c>
      <c r="E2369" s="275">
        <v>41602.116712962961</v>
      </c>
      <c r="F2369" s="276">
        <v>2</v>
      </c>
      <c r="G2369" s="243">
        <f t="shared" si="37"/>
        <v>113</v>
      </c>
      <c r="H2369" s="244"/>
      <c r="I2369" s="71" t="e">
        <f>IF(COUNTIF((rName rData),H2369),"","Name Error!")</f>
        <v>#NAME?</v>
      </c>
    </row>
    <row r="2370" spans="2:9" s="126" customFormat="1" ht="15" customHeight="1" x14ac:dyDescent="0.25">
      <c r="B2370" s="271" t="s">
        <v>322</v>
      </c>
      <c r="C2370" s="272" t="s">
        <v>321</v>
      </c>
      <c r="D2370" s="275" t="s">
        <v>216</v>
      </c>
      <c r="E2370" s="275">
        <v>41602.393750000003</v>
      </c>
      <c r="F2370" s="276">
        <v>1</v>
      </c>
      <c r="G2370" s="243">
        <f t="shared" si="37"/>
        <v>113</v>
      </c>
      <c r="H2370" s="244"/>
      <c r="I2370" s="71" t="e">
        <f>IF(COUNTIF((rName rData),H2370),"","Name Error!")</f>
        <v>#NAME?</v>
      </c>
    </row>
    <row r="2371" spans="2:9" s="126" customFormat="1" ht="15" customHeight="1" x14ac:dyDescent="0.25">
      <c r="B2371" s="271" t="s">
        <v>356</v>
      </c>
      <c r="C2371" s="272" t="s">
        <v>355</v>
      </c>
      <c r="D2371" s="275" t="s">
        <v>216</v>
      </c>
      <c r="E2371" s="275">
        <v>41602.452199074076</v>
      </c>
      <c r="F2371" s="276">
        <v>7</v>
      </c>
      <c r="G2371" s="243">
        <f t="shared" si="37"/>
        <v>113</v>
      </c>
      <c r="H2371" s="244"/>
      <c r="I2371" s="71" t="e">
        <f>IF(COUNTIF((rName rData),H2371),"","Name Error!")</f>
        <v>#NAME?</v>
      </c>
    </row>
    <row r="2372" spans="2:9" s="126" customFormat="1" ht="15" customHeight="1" x14ac:dyDescent="0.25">
      <c r="B2372" s="271" t="s">
        <v>362</v>
      </c>
      <c r="C2372" s="272" t="s">
        <v>361</v>
      </c>
      <c r="D2372" s="275" t="s">
        <v>216</v>
      </c>
      <c r="E2372" s="275">
        <v>41602.456990740742</v>
      </c>
      <c r="F2372" s="276">
        <v>1</v>
      </c>
      <c r="G2372" s="243">
        <f t="shared" si="37"/>
        <v>113</v>
      </c>
      <c r="H2372" s="244"/>
      <c r="I2372" s="71" t="e">
        <f>IF(COUNTIF((rName rData),H2372),"","Name Error!")</f>
        <v>#NAME?</v>
      </c>
    </row>
    <row r="2373" spans="2:9" s="126" customFormat="1" ht="15" customHeight="1" x14ac:dyDescent="0.25">
      <c r="B2373" s="271" t="s">
        <v>339</v>
      </c>
      <c r="C2373" s="272" t="s">
        <v>338</v>
      </c>
      <c r="D2373" s="275" t="s">
        <v>216</v>
      </c>
      <c r="E2373" s="275">
        <v>41602.561388888891</v>
      </c>
      <c r="F2373" s="276">
        <v>2</v>
      </c>
      <c r="G2373" s="243">
        <f t="shared" si="37"/>
        <v>113</v>
      </c>
      <c r="H2373" s="244"/>
      <c r="I2373" s="71" t="e">
        <f>IF(COUNTIF((rName rData),H2373),"","Name Error!")</f>
        <v>#NAME?</v>
      </c>
    </row>
    <row r="2374" spans="2:9" s="126" customFormat="1" ht="15" customHeight="1" x14ac:dyDescent="0.25">
      <c r="B2374" s="271" t="s">
        <v>279</v>
      </c>
      <c r="C2374" s="272" t="s">
        <v>280</v>
      </c>
      <c r="D2374" s="275" t="s">
        <v>216</v>
      </c>
      <c r="E2374" s="275">
        <v>41602.596631944441</v>
      </c>
      <c r="F2374" s="276">
        <v>1</v>
      </c>
      <c r="G2374" s="243">
        <f t="shared" si="37"/>
        <v>113</v>
      </c>
      <c r="H2374" s="244"/>
      <c r="I2374" s="71" t="e">
        <f>IF(COUNTIF((rName rData),H2374),"","Name Error!")</f>
        <v>#NAME?</v>
      </c>
    </row>
    <row r="2375" spans="2:9" s="126" customFormat="1" ht="15" customHeight="1" x14ac:dyDescent="0.25">
      <c r="B2375" s="271" t="s">
        <v>352</v>
      </c>
      <c r="C2375" s="272" t="s">
        <v>351</v>
      </c>
      <c r="D2375" s="275" t="s">
        <v>216</v>
      </c>
      <c r="E2375" s="275">
        <v>41602.602326388886</v>
      </c>
      <c r="F2375" s="276">
        <v>2</v>
      </c>
      <c r="G2375" s="243">
        <f t="shared" si="37"/>
        <v>113</v>
      </c>
      <c r="H2375" s="244"/>
      <c r="I2375" s="71" t="e">
        <f>IF(COUNTIF((rName rData),H2375),"","Name Error!")</f>
        <v>#NAME?</v>
      </c>
    </row>
    <row r="2376" spans="2:9" s="126" customFormat="1" ht="15" customHeight="1" x14ac:dyDescent="0.25">
      <c r="B2376" s="271" t="s">
        <v>335</v>
      </c>
      <c r="C2376" s="272" t="s">
        <v>334</v>
      </c>
      <c r="D2376" s="275" t="s">
        <v>216</v>
      </c>
      <c r="E2376" s="275">
        <v>41602.610381944447</v>
      </c>
      <c r="F2376" s="276">
        <v>3</v>
      </c>
      <c r="G2376" s="243">
        <f t="shared" si="37"/>
        <v>113</v>
      </c>
      <c r="H2376" s="244"/>
      <c r="I2376" s="71" t="e">
        <f>IF(COUNTIF((rName rData),H2376),"","Name Error!")</f>
        <v>#NAME?</v>
      </c>
    </row>
    <row r="2377" spans="2:9" s="126" customFormat="1" ht="15" customHeight="1" x14ac:dyDescent="0.25">
      <c r="B2377" s="271" t="s">
        <v>345</v>
      </c>
      <c r="C2377" s="272" t="s">
        <v>344</v>
      </c>
      <c r="D2377" s="275" t="s">
        <v>216</v>
      </c>
      <c r="E2377" s="275">
        <v>41602.613969907405</v>
      </c>
      <c r="F2377" s="276">
        <v>1</v>
      </c>
      <c r="G2377" s="243">
        <f t="shared" si="37"/>
        <v>113</v>
      </c>
      <c r="H2377" s="244"/>
      <c r="I2377" s="71" t="e">
        <f>IF(COUNTIF((rName rData),H2377),"","Name Error!")</f>
        <v>#NAME?</v>
      </c>
    </row>
    <row r="2378" spans="2:9" s="126" customFormat="1" ht="15" customHeight="1" x14ac:dyDescent="0.25">
      <c r="B2378" s="271" t="s">
        <v>371</v>
      </c>
      <c r="C2378" s="272" t="s">
        <v>370</v>
      </c>
      <c r="D2378" s="275" t="s">
        <v>216</v>
      </c>
      <c r="E2378" s="275">
        <v>41602.619212962964</v>
      </c>
      <c r="F2378" s="276">
        <v>2</v>
      </c>
      <c r="G2378" s="243">
        <f t="shared" ref="G2378:G2441" si="38">TRUNC((E2378-start)/7)+1</f>
        <v>113</v>
      </c>
      <c r="H2378" s="244"/>
      <c r="I2378" s="71" t="e">
        <f>IF(COUNTIF((rName rData),H2378),"","Name Error!")</f>
        <v>#NAME?</v>
      </c>
    </row>
    <row r="2379" spans="2:9" s="126" customFormat="1" ht="15" customHeight="1" x14ac:dyDescent="0.25">
      <c r="B2379" s="271" t="s">
        <v>324</v>
      </c>
      <c r="C2379" s="272" t="s">
        <v>323</v>
      </c>
      <c r="D2379" s="275" t="s">
        <v>216</v>
      </c>
      <c r="E2379" s="275">
        <v>41602.622430555559</v>
      </c>
      <c r="F2379" s="276">
        <v>1</v>
      </c>
      <c r="G2379" s="243">
        <f t="shared" si="38"/>
        <v>113</v>
      </c>
      <c r="H2379" s="244"/>
      <c r="I2379" s="71" t="e">
        <f>IF(COUNTIF((rName rData),H2379),"","Name Error!")</f>
        <v>#NAME?</v>
      </c>
    </row>
    <row r="2380" spans="2:9" s="126" customFormat="1" ht="15" customHeight="1" x14ac:dyDescent="0.25">
      <c r="B2380" s="271" t="s">
        <v>358</v>
      </c>
      <c r="C2380" s="272" t="s">
        <v>357</v>
      </c>
      <c r="D2380" s="275" t="s">
        <v>216</v>
      </c>
      <c r="E2380" s="275">
        <v>41602.635937500003</v>
      </c>
      <c r="F2380" s="276">
        <v>2</v>
      </c>
      <c r="G2380" s="243">
        <f t="shared" si="38"/>
        <v>113</v>
      </c>
      <c r="H2380" s="244"/>
      <c r="I2380" s="71" t="e">
        <f>IF(COUNTIF((rName rData),H2380),"","Name Error!")</f>
        <v>#NAME?</v>
      </c>
    </row>
    <row r="2381" spans="2:9" s="126" customFormat="1" ht="15" customHeight="1" x14ac:dyDescent="0.25">
      <c r="B2381" s="271" t="s">
        <v>365</v>
      </c>
      <c r="C2381" s="272" t="s">
        <v>364</v>
      </c>
      <c r="D2381" s="275" t="s">
        <v>216</v>
      </c>
      <c r="E2381" s="275">
        <v>41602.756736111114</v>
      </c>
      <c r="F2381" s="276">
        <v>3</v>
      </c>
      <c r="G2381" s="243">
        <f t="shared" si="38"/>
        <v>113</v>
      </c>
      <c r="H2381" s="244"/>
      <c r="I2381" s="71" t="e">
        <f>IF(COUNTIF((rName rData),H2381),"","Name Error!")</f>
        <v>#NAME?</v>
      </c>
    </row>
    <row r="2382" spans="2:9" s="126" customFormat="1" ht="15" customHeight="1" x14ac:dyDescent="0.25">
      <c r="B2382" s="271" t="s">
        <v>341</v>
      </c>
      <c r="C2382" s="272" t="s">
        <v>340</v>
      </c>
      <c r="D2382" s="275" t="s">
        <v>216</v>
      </c>
      <c r="E2382" s="275">
        <v>41602.818379629629</v>
      </c>
      <c r="F2382" s="276">
        <v>1</v>
      </c>
      <c r="G2382" s="243">
        <f t="shared" si="38"/>
        <v>113</v>
      </c>
      <c r="H2382" s="244"/>
      <c r="I2382" s="71" t="e">
        <f>IF(COUNTIF((rName rData),H2382),"","Name Error!")</f>
        <v>#NAME?</v>
      </c>
    </row>
    <row r="2383" spans="2:9" s="126" customFormat="1" ht="15" customHeight="1" x14ac:dyDescent="0.25">
      <c r="B2383" s="271" t="s">
        <v>320</v>
      </c>
      <c r="C2383" s="272" t="s">
        <v>319</v>
      </c>
      <c r="D2383" s="275" t="s">
        <v>216</v>
      </c>
      <c r="E2383" s="275">
        <v>41602.878634259258</v>
      </c>
      <c r="F2383" s="276">
        <v>1</v>
      </c>
      <c r="G2383" s="243">
        <f t="shared" si="38"/>
        <v>113</v>
      </c>
      <c r="H2383" s="244"/>
      <c r="I2383" s="71" t="e">
        <f>IF(COUNTIF((rName rData),H2383),"","Name Error!")</f>
        <v>#NAME?</v>
      </c>
    </row>
    <row r="2384" spans="2:9" s="126" customFormat="1" ht="15" customHeight="1" x14ac:dyDescent="0.25">
      <c r="B2384" s="271" t="s">
        <v>337</v>
      </c>
      <c r="C2384" s="272" t="s">
        <v>336</v>
      </c>
      <c r="D2384" s="275" t="s">
        <v>216</v>
      </c>
      <c r="E2384" s="275">
        <v>41602.88453703704</v>
      </c>
      <c r="F2384" s="276">
        <v>1</v>
      </c>
      <c r="G2384" s="243">
        <f t="shared" si="38"/>
        <v>113</v>
      </c>
      <c r="H2384" s="244"/>
      <c r="I2384" s="71" t="e">
        <f>IF(COUNTIF((rName rData),H2384),"","Name Error!")</f>
        <v>#NAME?</v>
      </c>
    </row>
    <row r="2385" spans="2:9" s="126" customFormat="1" ht="15" customHeight="1" x14ac:dyDescent="0.25">
      <c r="B2385" s="271" t="s">
        <v>328</v>
      </c>
      <c r="C2385" s="272" t="s">
        <v>327</v>
      </c>
      <c r="D2385" s="275" t="s">
        <v>216</v>
      </c>
      <c r="E2385" s="275">
        <v>41602.892858796295</v>
      </c>
      <c r="F2385" s="276">
        <v>1</v>
      </c>
      <c r="G2385" s="243">
        <f t="shared" si="38"/>
        <v>113</v>
      </c>
      <c r="H2385" s="244"/>
      <c r="I2385" s="71" t="e">
        <f>IF(COUNTIF((rName rData),H2385),"","Name Error!")</f>
        <v>#NAME?</v>
      </c>
    </row>
    <row r="2386" spans="2:9" s="126" customFormat="1" ht="15" customHeight="1" x14ac:dyDescent="0.25">
      <c r="B2386" s="271" t="s">
        <v>367</v>
      </c>
      <c r="C2386" s="272" t="s">
        <v>366</v>
      </c>
      <c r="D2386" s="275" t="s">
        <v>216</v>
      </c>
      <c r="E2386" s="275">
        <v>41603.024907407409</v>
      </c>
      <c r="F2386" s="276">
        <v>1</v>
      </c>
      <c r="G2386" s="243">
        <f t="shared" si="38"/>
        <v>113</v>
      </c>
      <c r="H2386" s="244"/>
      <c r="I2386" s="71" t="e">
        <f>IF(COUNTIF((rName rData),H2386),"","Name Error!")</f>
        <v>#NAME?</v>
      </c>
    </row>
    <row r="2387" spans="2:9" s="126" customFormat="1" ht="15" customHeight="1" x14ac:dyDescent="0.25">
      <c r="B2387" s="271" t="s">
        <v>333</v>
      </c>
      <c r="C2387" s="272" t="s">
        <v>332</v>
      </c>
      <c r="D2387" s="275" t="s">
        <v>216</v>
      </c>
      <c r="E2387" s="275">
        <v>41603.359467592592</v>
      </c>
      <c r="F2387" s="276">
        <v>2</v>
      </c>
      <c r="G2387" s="243">
        <f t="shared" si="38"/>
        <v>113</v>
      </c>
      <c r="H2387" s="244"/>
      <c r="I2387" s="71" t="e">
        <f>IF(COUNTIF((rName rData),H2387),"","Name Error!")</f>
        <v>#NAME?</v>
      </c>
    </row>
    <row r="2388" spans="2:9" s="126" customFormat="1" ht="15" customHeight="1" x14ac:dyDescent="0.25">
      <c r="B2388" s="271" t="s">
        <v>279</v>
      </c>
      <c r="C2388" s="272" t="s">
        <v>280</v>
      </c>
      <c r="D2388" s="275" t="s">
        <v>216</v>
      </c>
      <c r="E2388" s="275">
        <v>41603.458136574074</v>
      </c>
      <c r="F2388" s="276">
        <v>1</v>
      </c>
      <c r="G2388" s="243">
        <f t="shared" si="38"/>
        <v>113</v>
      </c>
      <c r="H2388" s="244"/>
      <c r="I2388" s="71" t="e">
        <f>IF(COUNTIF((rName rData),H2388),"","Name Error!")</f>
        <v>#NAME?</v>
      </c>
    </row>
    <row r="2389" spans="2:9" s="126" customFormat="1" ht="15" customHeight="1" x14ac:dyDescent="0.25">
      <c r="B2389" s="271" t="s">
        <v>267</v>
      </c>
      <c r="C2389" s="272" t="s">
        <v>268</v>
      </c>
      <c r="D2389" s="275" t="s">
        <v>216</v>
      </c>
      <c r="E2389" s="275">
        <v>41603.477384259262</v>
      </c>
      <c r="F2389" s="276">
        <v>2</v>
      </c>
      <c r="G2389" s="243">
        <f t="shared" si="38"/>
        <v>113</v>
      </c>
      <c r="H2389" s="244"/>
      <c r="I2389" s="71" t="e">
        <f>IF(COUNTIF((rName rData),H2389),"","Name Error!")</f>
        <v>#NAME?</v>
      </c>
    </row>
    <row r="2390" spans="2:9" s="126" customFormat="1" ht="15" customHeight="1" x14ac:dyDescent="0.25">
      <c r="B2390" s="271" t="s">
        <v>331</v>
      </c>
      <c r="C2390" s="272" t="s">
        <v>330</v>
      </c>
      <c r="D2390" s="275" t="s">
        <v>216</v>
      </c>
      <c r="E2390" s="275">
        <v>41603.760740740741</v>
      </c>
      <c r="F2390" s="276">
        <v>1</v>
      </c>
      <c r="G2390" s="243">
        <f t="shared" si="38"/>
        <v>113</v>
      </c>
      <c r="H2390" s="244"/>
      <c r="I2390" s="71" t="e">
        <f>IF(COUNTIF((rName rData),H2390),"","Name Error!")</f>
        <v>#NAME?</v>
      </c>
    </row>
    <row r="2391" spans="2:9" s="126" customFormat="1" ht="15" customHeight="1" x14ac:dyDescent="0.25">
      <c r="B2391" s="271" t="s">
        <v>358</v>
      </c>
      <c r="C2391" s="272" t="s">
        <v>357</v>
      </c>
      <c r="D2391" s="275" t="s">
        <v>216</v>
      </c>
      <c r="E2391" s="275">
        <v>41603.864444444444</v>
      </c>
      <c r="F2391" s="276">
        <v>1</v>
      </c>
      <c r="G2391" s="243">
        <f t="shared" si="38"/>
        <v>113</v>
      </c>
      <c r="H2391" s="244"/>
      <c r="I2391" s="71" t="e">
        <f>IF(COUNTIF((rName rData),H2391),"","Name Error!")</f>
        <v>#NAME?</v>
      </c>
    </row>
    <row r="2392" spans="2:9" s="126" customFormat="1" ht="15" customHeight="1" x14ac:dyDescent="0.25">
      <c r="B2392" s="271" t="s">
        <v>345</v>
      </c>
      <c r="C2392" s="272" t="s">
        <v>344</v>
      </c>
      <c r="D2392" s="275" t="s">
        <v>216</v>
      </c>
      <c r="E2392" s="275">
        <v>41603.904120370367</v>
      </c>
      <c r="F2392" s="276">
        <v>1</v>
      </c>
      <c r="G2392" s="243">
        <f t="shared" si="38"/>
        <v>113</v>
      </c>
      <c r="H2392" s="244"/>
      <c r="I2392" s="71" t="e">
        <f>IF(COUNTIF((rName rData),H2392),"","Name Error!")</f>
        <v>#NAME?</v>
      </c>
    </row>
    <row r="2393" spans="2:9" s="126" customFormat="1" ht="15" customHeight="1" x14ac:dyDescent="0.25">
      <c r="B2393" s="271" t="s">
        <v>328</v>
      </c>
      <c r="C2393" s="272" t="s">
        <v>327</v>
      </c>
      <c r="D2393" s="275" t="s">
        <v>216</v>
      </c>
      <c r="E2393" s="275">
        <v>41604.020497685182</v>
      </c>
      <c r="F2393" s="276">
        <v>1</v>
      </c>
      <c r="G2393" s="243">
        <f t="shared" si="38"/>
        <v>113</v>
      </c>
      <c r="H2393" s="244"/>
      <c r="I2393" s="71" t="e">
        <f>IF(COUNTIF((rName rData),H2393),"","Name Error!")</f>
        <v>#NAME?</v>
      </c>
    </row>
    <row r="2394" spans="2:9" s="126" customFormat="1" ht="15" customHeight="1" x14ac:dyDescent="0.25">
      <c r="B2394" s="271" t="s">
        <v>322</v>
      </c>
      <c r="C2394" s="272" t="s">
        <v>321</v>
      </c>
      <c r="D2394" s="275" t="s">
        <v>216</v>
      </c>
      <c r="E2394" s="275">
        <v>41604.462210648147</v>
      </c>
      <c r="F2394" s="276">
        <v>1</v>
      </c>
      <c r="G2394" s="243">
        <f t="shared" si="38"/>
        <v>113</v>
      </c>
      <c r="H2394" s="244"/>
      <c r="I2394" s="71" t="e">
        <f>IF(COUNTIF((rName rData),H2394),"","Name Error!")</f>
        <v>#NAME?</v>
      </c>
    </row>
    <row r="2395" spans="2:9" s="126" customFormat="1" ht="15" customHeight="1" x14ac:dyDescent="0.25">
      <c r="B2395" s="271" t="s">
        <v>324</v>
      </c>
      <c r="C2395" s="272" t="s">
        <v>323</v>
      </c>
      <c r="D2395" s="275" t="s">
        <v>216</v>
      </c>
      <c r="E2395" s="275">
        <v>41604.533680555556</v>
      </c>
      <c r="F2395" s="276">
        <v>1</v>
      </c>
      <c r="G2395" s="243">
        <f t="shared" si="38"/>
        <v>113</v>
      </c>
      <c r="H2395" s="244"/>
      <c r="I2395" s="71" t="e">
        <f>IF(COUNTIF((rName rData),H2395),"","Name Error!")</f>
        <v>#NAME?</v>
      </c>
    </row>
    <row r="2396" spans="2:9" s="126" customFormat="1" ht="15" customHeight="1" x14ac:dyDescent="0.25">
      <c r="B2396" s="271" t="s">
        <v>341</v>
      </c>
      <c r="C2396" s="272" t="s">
        <v>340</v>
      </c>
      <c r="D2396" s="275" t="s">
        <v>216</v>
      </c>
      <c r="E2396" s="275">
        <v>41604.673935185187</v>
      </c>
      <c r="F2396" s="276">
        <v>3</v>
      </c>
      <c r="G2396" s="243">
        <f t="shared" si="38"/>
        <v>113</v>
      </c>
      <c r="H2396" s="244"/>
      <c r="I2396" s="71" t="e">
        <f>IF(COUNTIF((rName rData),H2396),"","Name Error!")</f>
        <v>#NAME?</v>
      </c>
    </row>
    <row r="2397" spans="2:9" s="126" customFormat="1" ht="15" customHeight="1" x14ac:dyDescent="0.25">
      <c r="B2397" s="271" t="s">
        <v>365</v>
      </c>
      <c r="C2397" s="272" t="s">
        <v>364</v>
      </c>
      <c r="D2397" s="275" t="s">
        <v>216</v>
      </c>
      <c r="E2397" s="275">
        <v>41604.914131944446</v>
      </c>
      <c r="F2397" s="276">
        <v>1</v>
      </c>
      <c r="G2397" s="243">
        <f t="shared" si="38"/>
        <v>113</v>
      </c>
      <c r="H2397" s="244"/>
      <c r="I2397" s="71" t="e">
        <f>IF(COUNTIF((rName rData),H2397),"","Name Error!")</f>
        <v>#NAME?</v>
      </c>
    </row>
    <row r="2398" spans="2:9" s="126" customFormat="1" ht="15" customHeight="1" x14ac:dyDescent="0.25">
      <c r="B2398" s="271" t="s">
        <v>367</v>
      </c>
      <c r="C2398" s="272" t="s">
        <v>366</v>
      </c>
      <c r="D2398" s="275" t="s">
        <v>216</v>
      </c>
      <c r="E2398" s="275">
        <v>41604.956365740742</v>
      </c>
      <c r="F2398" s="276">
        <v>1</v>
      </c>
      <c r="G2398" s="243">
        <f t="shared" si="38"/>
        <v>113</v>
      </c>
      <c r="H2398" s="244"/>
      <c r="I2398" s="71" t="e">
        <f>IF(COUNTIF((rName rData),H2398),"","Name Error!")</f>
        <v>#NAME?</v>
      </c>
    </row>
    <row r="2399" spans="2:9" s="126" customFormat="1" ht="15" customHeight="1" x14ac:dyDescent="0.25">
      <c r="B2399" s="271" t="s">
        <v>328</v>
      </c>
      <c r="C2399" s="272" t="s">
        <v>327</v>
      </c>
      <c r="D2399" s="275" t="s">
        <v>216</v>
      </c>
      <c r="E2399" s="275">
        <v>41605.049710648149</v>
      </c>
      <c r="F2399" s="276">
        <v>1</v>
      </c>
      <c r="G2399" s="243">
        <f t="shared" si="38"/>
        <v>113</v>
      </c>
      <c r="H2399" s="244"/>
      <c r="I2399" s="71" t="e">
        <f>IF(COUNTIF((rName rData),H2399),"","Name Error!")</f>
        <v>#NAME?</v>
      </c>
    </row>
    <row r="2400" spans="2:9" s="126" customFormat="1" ht="15" customHeight="1" x14ac:dyDescent="0.25">
      <c r="B2400" s="271" t="s">
        <v>267</v>
      </c>
      <c r="C2400" s="272" t="s">
        <v>268</v>
      </c>
      <c r="D2400" s="275" t="s">
        <v>216</v>
      </c>
      <c r="E2400" s="275">
        <v>41605.664641203701</v>
      </c>
      <c r="F2400" s="276">
        <v>1</v>
      </c>
      <c r="G2400" s="243">
        <f t="shared" si="38"/>
        <v>113</v>
      </c>
      <c r="H2400" s="244"/>
      <c r="I2400" s="71" t="e">
        <f>IF(COUNTIF((rName rData),H2400),"","Name Error!")</f>
        <v>#NAME?</v>
      </c>
    </row>
    <row r="2401" spans="2:9" s="126" customFormat="1" ht="15" customHeight="1" x14ac:dyDescent="0.25">
      <c r="B2401" s="271" t="s">
        <v>367</v>
      </c>
      <c r="C2401" s="272" t="s">
        <v>366</v>
      </c>
      <c r="D2401" s="275" t="s">
        <v>216</v>
      </c>
      <c r="E2401" s="275">
        <v>41605.82880787037</v>
      </c>
      <c r="F2401" s="276">
        <v>1</v>
      </c>
      <c r="G2401" s="243">
        <f t="shared" si="38"/>
        <v>113</v>
      </c>
      <c r="H2401" s="244"/>
      <c r="I2401" s="71" t="e">
        <f>IF(COUNTIF((rName rData),H2401),"","Name Error!")</f>
        <v>#NAME?</v>
      </c>
    </row>
    <row r="2402" spans="2:9" s="126" customFormat="1" ht="15" customHeight="1" x14ac:dyDescent="0.25">
      <c r="B2402" s="271" t="s">
        <v>367</v>
      </c>
      <c r="C2402" s="272" t="s">
        <v>366</v>
      </c>
      <c r="D2402" s="275" t="s">
        <v>216</v>
      </c>
      <c r="E2402" s="275">
        <v>41606.020787037036</v>
      </c>
      <c r="F2402" s="276">
        <v>3</v>
      </c>
      <c r="G2402" s="243">
        <f t="shared" si="38"/>
        <v>113</v>
      </c>
      <c r="H2402" s="244"/>
      <c r="I2402" s="71" t="e">
        <f>IF(COUNTIF((rName rData),H2402),"","Name Error!")</f>
        <v>#NAME?</v>
      </c>
    </row>
    <row r="2403" spans="2:9" s="126" customFormat="1" ht="15" customHeight="1" x14ac:dyDescent="0.25">
      <c r="B2403" s="271" t="s">
        <v>328</v>
      </c>
      <c r="C2403" s="272" t="s">
        <v>327</v>
      </c>
      <c r="D2403" s="275" t="s">
        <v>216</v>
      </c>
      <c r="E2403" s="275">
        <v>41606.130335648151</v>
      </c>
      <c r="F2403" s="276">
        <v>1</v>
      </c>
      <c r="G2403" s="243">
        <f t="shared" si="38"/>
        <v>113</v>
      </c>
      <c r="H2403" s="244"/>
      <c r="I2403" s="71" t="e">
        <f>IF(COUNTIF((rName rData),H2403),"","Name Error!")</f>
        <v>#NAME?</v>
      </c>
    </row>
    <row r="2404" spans="2:9" s="126" customFormat="1" ht="15" customHeight="1" x14ac:dyDescent="0.25">
      <c r="B2404" s="271" t="s">
        <v>358</v>
      </c>
      <c r="C2404" s="272" t="s">
        <v>357</v>
      </c>
      <c r="D2404" s="275" t="s">
        <v>216</v>
      </c>
      <c r="E2404" s="275">
        <v>41606.460868055554</v>
      </c>
      <c r="F2404" s="276">
        <v>1</v>
      </c>
      <c r="G2404" s="243">
        <f t="shared" si="38"/>
        <v>113</v>
      </c>
      <c r="H2404" s="244"/>
      <c r="I2404" s="71" t="e">
        <f>IF(COUNTIF((rName rData),H2404),"","Name Error!")</f>
        <v>#NAME?</v>
      </c>
    </row>
    <row r="2405" spans="2:9" s="126" customFormat="1" ht="15" customHeight="1" x14ac:dyDescent="0.25">
      <c r="B2405" s="271" t="s">
        <v>331</v>
      </c>
      <c r="C2405" s="272" t="s">
        <v>330</v>
      </c>
      <c r="D2405" s="275" t="s">
        <v>216</v>
      </c>
      <c r="E2405" s="275">
        <v>41606.47755787037</v>
      </c>
      <c r="F2405" s="276">
        <v>1</v>
      </c>
      <c r="G2405" s="243">
        <f t="shared" si="38"/>
        <v>113</v>
      </c>
      <c r="H2405" s="244"/>
      <c r="I2405" s="71" t="e">
        <f>IF(COUNTIF((rName rData),H2405),"","Name Error!")</f>
        <v>#NAME?</v>
      </c>
    </row>
    <row r="2406" spans="2:9" s="126" customFormat="1" ht="15" customHeight="1" x14ac:dyDescent="0.25">
      <c r="B2406" s="271" t="s">
        <v>356</v>
      </c>
      <c r="C2406" s="272" t="s">
        <v>355</v>
      </c>
      <c r="D2406" s="275" t="s">
        <v>216</v>
      </c>
      <c r="E2406" s="275">
        <v>41606.6174537037</v>
      </c>
      <c r="F2406" s="276">
        <v>1</v>
      </c>
      <c r="G2406" s="243">
        <f t="shared" si="38"/>
        <v>113</v>
      </c>
      <c r="H2406" s="244"/>
      <c r="I2406" s="71" t="e">
        <f>IF(COUNTIF((rName rData),H2406),"","Name Error!")</f>
        <v>#NAME?</v>
      </c>
    </row>
    <row r="2407" spans="2:9" s="126" customFormat="1" ht="15" customHeight="1" x14ac:dyDescent="0.25">
      <c r="B2407" s="271" t="s">
        <v>267</v>
      </c>
      <c r="C2407" s="272" t="s">
        <v>268</v>
      </c>
      <c r="D2407" s="275" t="s">
        <v>216</v>
      </c>
      <c r="E2407" s="275">
        <v>41606.745787037034</v>
      </c>
      <c r="F2407" s="276">
        <v>1</v>
      </c>
      <c r="G2407" s="243">
        <f t="shared" si="38"/>
        <v>113</v>
      </c>
      <c r="H2407" s="244"/>
      <c r="I2407" s="71" t="e">
        <f>IF(COUNTIF((rName rData),H2407),"","Name Error!")</f>
        <v>#NAME?</v>
      </c>
    </row>
    <row r="2408" spans="2:9" s="126" customFormat="1" ht="15" customHeight="1" x14ac:dyDescent="0.25">
      <c r="B2408" s="271" t="s">
        <v>365</v>
      </c>
      <c r="C2408" s="272" t="s">
        <v>364</v>
      </c>
      <c r="D2408" s="275" t="s">
        <v>216</v>
      </c>
      <c r="E2408" s="275">
        <v>41606.955266203702</v>
      </c>
      <c r="F2408" s="276">
        <v>1</v>
      </c>
      <c r="G2408" s="243">
        <f t="shared" si="38"/>
        <v>113</v>
      </c>
      <c r="H2408" s="244"/>
      <c r="I2408" s="71" t="e">
        <f>IF(COUNTIF((rName rData),H2408),"","Name Error!")</f>
        <v>#NAME?</v>
      </c>
    </row>
    <row r="2409" spans="2:9" s="126" customFormat="1" ht="15" customHeight="1" x14ac:dyDescent="0.25">
      <c r="B2409" s="271" t="s">
        <v>328</v>
      </c>
      <c r="C2409" s="272" t="s">
        <v>327</v>
      </c>
      <c r="D2409" s="275" t="s">
        <v>216</v>
      </c>
      <c r="E2409" s="275">
        <v>41607.004918981482</v>
      </c>
      <c r="F2409" s="276">
        <v>1</v>
      </c>
      <c r="G2409" s="243">
        <f t="shared" si="38"/>
        <v>113</v>
      </c>
      <c r="H2409" s="244"/>
      <c r="I2409" s="71" t="e">
        <f>IF(COUNTIF((rName rData),H2409),"","Name Error!")</f>
        <v>#NAME?</v>
      </c>
    </row>
    <row r="2410" spans="2:9" s="126" customFormat="1" ht="15" customHeight="1" x14ac:dyDescent="0.25">
      <c r="B2410" s="271" t="s">
        <v>367</v>
      </c>
      <c r="C2410" s="272" t="s">
        <v>366</v>
      </c>
      <c r="D2410" s="275" t="s">
        <v>216</v>
      </c>
      <c r="E2410" s="275">
        <v>41607.101631944446</v>
      </c>
      <c r="F2410" s="276">
        <v>1</v>
      </c>
      <c r="G2410" s="243">
        <f t="shared" si="38"/>
        <v>113</v>
      </c>
      <c r="H2410" s="244"/>
      <c r="I2410" s="71" t="e">
        <f>IF(COUNTIF((rName rData),H2410),"","Name Error!")</f>
        <v>#NAME?</v>
      </c>
    </row>
    <row r="2411" spans="2:9" s="126" customFormat="1" ht="15" customHeight="1" x14ac:dyDescent="0.25">
      <c r="B2411" s="271" t="s">
        <v>267</v>
      </c>
      <c r="C2411" s="272" t="s">
        <v>268</v>
      </c>
      <c r="D2411" s="275" t="s">
        <v>216</v>
      </c>
      <c r="E2411" s="275">
        <v>41607.418645833335</v>
      </c>
      <c r="F2411" s="276">
        <v>3</v>
      </c>
      <c r="G2411" s="243">
        <f t="shared" si="38"/>
        <v>113</v>
      </c>
      <c r="H2411" s="244"/>
      <c r="I2411" s="71" t="e">
        <f>IF(COUNTIF((rName rData),H2411),"","Name Error!")</f>
        <v>#NAME?</v>
      </c>
    </row>
    <row r="2412" spans="2:9" s="126" customFormat="1" ht="15" customHeight="1" x14ac:dyDescent="0.25">
      <c r="B2412" s="271" t="s">
        <v>331</v>
      </c>
      <c r="C2412" s="272" t="s">
        <v>330</v>
      </c>
      <c r="D2412" s="275" t="s">
        <v>216</v>
      </c>
      <c r="E2412" s="275">
        <v>41607.671956018516</v>
      </c>
      <c r="F2412" s="276">
        <v>1</v>
      </c>
      <c r="G2412" s="243">
        <f t="shared" si="38"/>
        <v>113</v>
      </c>
      <c r="H2412" s="244"/>
      <c r="I2412" s="71" t="e">
        <f>IF(COUNTIF((rName rData),H2412),"","Name Error!")</f>
        <v>#NAME?</v>
      </c>
    </row>
    <row r="2413" spans="2:9" s="126" customFormat="1" ht="15" customHeight="1" x14ac:dyDescent="0.25">
      <c r="B2413" s="271" t="s">
        <v>362</v>
      </c>
      <c r="C2413" s="272" t="s">
        <v>361</v>
      </c>
      <c r="D2413" s="275" t="s">
        <v>216</v>
      </c>
      <c r="E2413" s="275">
        <v>41608.539953703701</v>
      </c>
      <c r="F2413" s="276">
        <v>2</v>
      </c>
      <c r="G2413" s="243">
        <f t="shared" si="38"/>
        <v>114</v>
      </c>
      <c r="H2413" s="244"/>
      <c r="I2413" s="71" t="e">
        <f>IF(COUNTIF((rName rData),H2413),"","Name Error!")</f>
        <v>#NAME?</v>
      </c>
    </row>
    <row r="2414" spans="2:9" s="126" customFormat="1" ht="15" customHeight="1" x14ac:dyDescent="0.25">
      <c r="B2414" s="271" t="s">
        <v>367</v>
      </c>
      <c r="C2414" s="272" t="s">
        <v>366</v>
      </c>
      <c r="D2414" s="275" t="s">
        <v>216</v>
      </c>
      <c r="E2414" s="275">
        <v>41608.540868055556</v>
      </c>
      <c r="F2414" s="276">
        <v>1</v>
      </c>
      <c r="G2414" s="243">
        <f t="shared" si="38"/>
        <v>114</v>
      </c>
      <c r="H2414" s="244"/>
      <c r="I2414" s="71" t="e">
        <f>IF(COUNTIF((rName rData),H2414),"","Name Error!")</f>
        <v>#NAME?</v>
      </c>
    </row>
    <row r="2415" spans="2:9" s="126" customFormat="1" ht="15" customHeight="1" x14ac:dyDescent="0.25">
      <c r="B2415" s="271" t="s">
        <v>328</v>
      </c>
      <c r="C2415" s="272" t="s">
        <v>327</v>
      </c>
      <c r="D2415" s="275" t="s">
        <v>216</v>
      </c>
      <c r="E2415" s="275">
        <v>41608.550682870373</v>
      </c>
      <c r="F2415" s="276">
        <v>1</v>
      </c>
      <c r="G2415" s="243">
        <f t="shared" si="38"/>
        <v>114</v>
      </c>
      <c r="H2415" s="244"/>
      <c r="I2415" s="71" t="e">
        <f>IF(COUNTIF((rName rData),H2415),"","Name Error!")</f>
        <v>#NAME?</v>
      </c>
    </row>
    <row r="2416" spans="2:9" s="126" customFormat="1" ht="15" customHeight="1" x14ac:dyDescent="0.25">
      <c r="B2416" s="271" t="s">
        <v>352</v>
      </c>
      <c r="C2416" s="272" t="s">
        <v>351</v>
      </c>
      <c r="D2416" s="275" t="s">
        <v>216</v>
      </c>
      <c r="E2416" s="275">
        <v>41608.565740740742</v>
      </c>
      <c r="F2416" s="276">
        <v>1</v>
      </c>
      <c r="G2416" s="243">
        <f t="shared" si="38"/>
        <v>114</v>
      </c>
      <c r="H2416" s="244"/>
      <c r="I2416" s="71" t="e">
        <f>IF(COUNTIF((rName rData),H2416),"","Name Error!")</f>
        <v>#NAME?</v>
      </c>
    </row>
    <row r="2417" spans="2:9" s="126" customFormat="1" ht="15" customHeight="1" x14ac:dyDescent="0.25">
      <c r="B2417" s="271" t="s">
        <v>324</v>
      </c>
      <c r="C2417" s="272" t="s">
        <v>323</v>
      </c>
      <c r="D2417" s="275" t="s">
        <v>216</v>
      </c>
      <c r="E2417" s="275">
        <v>41608.586006944446</v>
      </c>
      <c r="F2417" s="276">
        <v>3</v>
      </c>
      <c r="G2417" s="243">
        <f t="shared" si="38"/>
        <v>114</v>
      </c>
      <c r="H2417" s="244"/>
      <c r="I2417" s="71" t="e">
        <f>IF(COUNTIF((rName rData),H2417),"","Name Error!")</f>
        <v>#NAME?</v>
      </c>
    </row>
    <row r="2418" spans="2:9" s="126" customFormat="1" ht="15" customHeight="1" x14ac:dyDescent="0.25">
      <c r="B2418" s="271" t="s">
        <v>331</v>
      </c>
      <c r="C2418" s="272" t="s">
        <v>330</v>
      </c>
      <c r="D2418" s="275" t="s">
        <v>216</v>
      </c>
      <c r="E2418" s="275">
        <v>41608.622199074074</v>
      </c>
      <c r="F2418" s="276">
        <v>2</v>
      </c>
      <c r="G2418" s="243">
        <f t="shared" si="38"/>
        <v>114</v>
      </c>
      <c r="H2418" s="244"/>
      <c r="I2418" s="71" t="e">
        <f>IF(COUNTIF((rName rData),H2418),"","Name Error!")</f>
        <v>#NAME?</v>
      </c>
    </row>
    <row r="2419" spans="2:9" s="126" customFormat="1" ht="15" customHeight="1" x14ac:dyDescent="0.25">
      <c r="B2419" s="271" t="s">
        <v>322</v>
      </c>
      <c r="C2419" s="272" t="s">
        <v>321</v>
      </c>
      <c r="D2419" s="275" t="s">
        <v>216</v>
      </c>
      <c r="E2419" s="275">
        <v>41608.712997685187</v>
      </c>
      <c r="F2419" s="276">
        <v>1</v>
      </c>
      <c r="G2419" s="243">
        <f t="shared" si="38"/>
        <v>114</v>
      </c>
      <c r="H2419" s="244"/>
      <c r="I2419" s="71" t="e">
        <f>IF(COUNTIF((rName rData),H2419),"","Name Error!")</f>
        <v>#NAME?</v>
      </c>
    </row>
    <row r="2420" spans="2:9" s="126" customFormat="1" ht="15" customHeight="1" x14ac:dyDescent="0.25">
      <c r="B2420" s="271" t="s">
        <v>339</v>
      </c>
      <c r="C2420" s="272" t="s">
        <v>338</v>
      </c>
      <c r="D2420" s="275" t="s">
        <v>216</v>
      </c>
      <c r="E2420" s="275">
        <v>41608.781655092593</v>
      </c>
      <c r="F2420" s="276">
        <v>1</v>
      </c>
      <c r="G2420" s="243">
        <f t="shared" si="38"/>
        <v>114</v>
      </c>
      <c r="H2420" s="244"/>
      <c r="I2420" s="71" t="e">
        <f>IF(COUNTIF((rName rData),H2420),"","Name Error!")</f>
        <v>#NAME?</v>
      </c>
    </row>
    <row r="2421" spans="2:9" s="126" customFormat="1" ht="15" customHeight="1" x14ac:dyDescent="0.25">
      <c r="B2421" s="271" t="s">
        <v>341</v>
      </c>
      <c r="C2421" s="272" t="s">
        <v>340</v>
      </c>
      <c r="D2421" s="275" t="s">
        <v>216</v>
      </c>
      <c r="E2421" s="275">
        <v>41608.885810185187</v>
      </c>
      <c r="F2421" s="276">
        <v>1</v>
      </c>
      <c r="G2421" s="243">
        <f t="shared" si="38"/>
        <v>114</v>
      </c>
      <c r="H2421" s="244"/>
      <c r="I2421" s="71" t="e">
        <f>IF(COUNTIF((rName rData),H2421),"","Name Error!")</f>
        <v>#NAME?</v>
      </c>
    </row>
    <row r="2422" spans="2:9" s="126" customFormat="1" ht="15" customHeight="1" x14ac:dyDescent="0.25">
      <c r="B2422" s="271" t="s">
        <v>333</v>
      </c>
      <c r="C2422" s="272" t="s">
        <v>332</v>
      </c>
      <c r="D2422" s="275" t="s">
        <v>216</v>
      </c>
      <c r="E2422" s="275">
        <v>41609.197372685187</v>
      </c>
      <c r="F2422" s="276">
        <v>1</v>
      </c>
      <c r="G2422" s="243">
        <f t="shared" si="38"/>
        <v>114</v>
      </c>
      <c r="H2422" s="244"/>
      <c r="I2422" s="71" t="e">
        <f>IF(COUNTIF((rName rData),H2422),"","Name Error!")</f>
        <v>#NAME?</v>
      </c>
    </row>
    <row r="2423" spans="2:9" s="126" customFormat="1" ht="15" customHeight="1" x14ac:dyDescent="0.25">
      <c r="B2423" s="271" t="s">
        <v>356</v>
      </c>
      <c r="C2423" s="272" t="s">
        <v>355</v>
      </c>
      <c r="D2423" s="275" t="s">
        <v>216</v>
      </c>
      <c r="E2423" s="275">
        <v>41609.350995370369</v>
      </c>
      <c r="F2423" s="276">
        <v>2</v>
      </c>
      <c r="G2423" s="243">
        <f t="shared" si="38"/>
        <v>114</v>
      </c>
      <c r="H2423" s="244"/>
      <c r="I2423" s="71" t="e">
        <f>IF(COUNTIF((rName rData),H2423),"","Name Error!")</f>
        <v>#NAME?</v>
      </c>
    </row>
    <row r="2424" spans="2:9" s="126" customFormat="1" ht="15" customHeight="1" x14ac:dyDescent="0.25">
      <c r="B2424" s="271" t="s">
        <v>352</v>
      </c>
      <c r="C2424" s="272" t="s">
        <v>351</v>
      </c>
      <c r="D2424" s="275" t="s">
        <v>216</v>
      </c>
      <c r="E2424" s="275">
        <v>41609.479166666664</v>
      </c>
      <c r="F2424" s="276">
        <v>2</v>
      </c>
      <c r="G2424" s="243">
        <f t="shared" si="38"/>
        <v>114</v>
      </c>
      <c r="H2424" s="244"/>
      <c r="I2424" s="71" t="e">
        <f>IF(COUNTIF((rName rData),H2424),"","Name Error!")</f>
        <v>#NAME?</v>
      </c>
    </row>
    <row r="2425" spans="2:9" s="126" customFormat="1" ht="15" customHeight="1" x14ac:dyDescent="0.25">
      <c r="B2425" s="271" t="s">
        <v>324</v>
      </c>
      <c r="C2425" s="272" t="s">
        <v>323</v>
      </c>
      <c r="D2425" s="275" t="s">
        <v>216</v>
      </c>
      <c r="E2425" s="275">
        <v>41609.589837962965</v>
      </c>
      <c r="F2425" s="276">
        <v>2</v>
      </c>
      <c r="G2425" s="243">
        <f t="shared" si="38"/>
        <v>114</v>
      </c>
      <c r="H2425" s="244"/>
      <c r="I2425" s="71" t="e">
        <f>IF(COUNTIF((rName rData),H2425),"","Name Error!")</f>
        <v>#NAME?</v>
      </c>
    </row>
    <row r="2426" spans="2:9" s="126" customFormat="1" ht="15" customHeight="1" x14ac:dyDescent="0.25">
      <c r="B2426" s="271" t="s">
        <v>337</v>
      </c>
      <c r="C2426" s="272" t="s">
        <v>336</v>
      </c>
      <c r="D2426" s="275" t="s">
        <v>216</v>
      </c>
      <c r="E2426" s="275">
        <v>41609.668854166666</v>
      </c>
      <c r="F2426" s="276">
        <v>1</v>
      </c>
      <c r="G2426" s="243">
        <f t="shared" si="38"/>
        <v>114</v>
      </c>
      <c r="H2426" s="244"/>
      <c r="I2426" s="71" t="e">
        <f>IF(COUNTIF((rName rData),H2426),"","Name Error!")</f>
        <v>#NAME?</v>
      </c>
    </row>
    <row r="2427" spans="2:9" s="126" customFormat="1" ht="15" customHeight="1" x14ac:dyDescent="0.25">
      <c r="B2427" s="271" t="s">
        <v>341</v>
      </c>
      <c r="C2427" s="272" t="s">
        <v>340</v>
      </c>
      <c r="D2427" s="275" t="s">
        <v>216</v>
      </c>
      <c r="E2427" s="275">
        <v>41609.742615740739</v>
      </c>
      <c r="F2427" s="276">
        <v>1</v>
      </c>
      <c r="G2427" s="243">
        <f t="shared" si="38"/>
        <v>114</v>
      </c>
      <c r="H2427" s="244"/>
      <c r="I2427" s="71" t="e">
        <f>IF(COUNTIF((rName rData),H2427),"","Name Error!")</f>
        <v>#NAME?</v>
      </c>
    </row>
    <row r="2428" spans="2:9" s="126" customFormat="1" ht="15" customHeight="1" x14ac:dyDescent="0.25">
      <c r="B2428" s="271" t="s">
        <v>331</v>
      </c>
      <c r="C2428" s="272" t="s">
        <v>330</v>
      </c>
      <c r="D2428" s="275" t="s">
        <v>216</v>
      </c>
      <c r="E2428" s="275">
        <v>41609.751562500001</v>
      </c>
      <c r="F2428" s="276">
        <v>1</v>
      </c>
      <c r="G2428" s="243">
        <f t="shared" si="38"/>
        <v>114</v>
      </c>
      <c r="H2428" s="244"/>
      <c r="I2428" s="71" t="e">
        <f>IF(COUNTIF((rName rData),H2428),"","Name Error!")</f>
        <v>#NAME?</v>
      </c>
    </row>
    <row r="2429" spans="2:9" s="126" customFormat="1" ht="15" customHeight="1" x14ac:dyDescent="0.25">
      <c r="B2429" s="271" t="s">
        <v>328</v>
      </c>
      <c r="C2429" s="272" t="s">
        <v>327</v>
      </c>
      <c r="D2429" s="275" t="s">
        <v>216</v>
      </c>
      <c r="E2429" s="275">
        <v>41609.800879629627</v>
      </c>
      <c r="F2429" s="276">
        <v>2</v>
      </c>
      <c r="G2429" s="243">
        <f t="shared" si="38"/>
        <v>114</v>
      </c>
      <c r="H2429" s="244"/>
      <c r="I2429" s="71" t="e">
        <f>IF(COUNTIF((rName rData),H2429),"","Name Error!")</f>
        <v>#NAME?</v>
      </c>
    </row>
    <row r="2430" spans="2:9" s="126" customFormat="1" ht="15" customHeight="1" x14ac:dyDescent="0.25">
      <c r="B2430" s="271" t="s">
        <v>322</v>
      </c>
      <c r="C2430" s="272" t="s">
        <v>321</v>
      </c>
      <c r="D2430" s="275" t="s">
        <v>216</v>
      </c>
      <c r="E2430" s="275">
        <v>41609.81890046296</v>
      </c>
      <c r="F2430" s="276">
        <v>2</v>
      </c>
      <c r="G2430" s="243">
        <f t="shared" si="38"/>
        <v>114</v>
      </c>
      <c r="H2430" s="244"/>
      <c r="I2430" s="71" t="e">
        <f>IF(COUNTIF((rName rData),H2430),"","Name Error!")</f>
        <v>#NAME?</v>
      </c>
    </row>
    <row r="2431" spans="2:9" s="126" customFormat="1" ht="15" customHeight="1" x14ac:dyDescent="0.25">
      <c r="B2431" s="271" t="s">
        <v>358</v>
      </c>
      <c r="C2431" s="272" t="s">
        <v>357</v>
      </c>
      <c r="D2431" s="275" t="s">
        <v>216</v>
      </c>
      <c r="E2431" s="275">
        <v>41609.866388888891</v>
      </c>
      <c r="F2431" s="276">
        <v>1</v>
      </c>
      <c r="G2431" s="243">
        <f t="shared" si="38"/>
        <v>114</v>
      </c>
      <c r="H2431" s="244"/>
      <c r="I2431" s="71" t="e">
        <f>IF(COUNTIF((rName rData),H2431),"","Name Error!")</f>
        <v>#NAME?</v>
      </c>
    </row>
    <row r="2432" spans="2:9" s="126" customFormat="1" ht="15" customHeight="1" x14ac:dyDescent="0.25">
      <c r="B2432" s="271" t="s">
        <v>324</v>
      </c>
      <c r="C2432" s="272" t="s">
        <v>323</v>
      </c>
      <c r="D2432" s="275" t="s">
        <v>216</v>
      </c>
      <c r="E2432" s="275">
        <v>41610.10261574074</v>
      </c>
      <c r="F2432" s="276">
        <v>1</v>
      </c>
      <c r="G2432" s="243">
        <f t="shared" si="38"/>
        <v>114</v>
      </c>
      <c r="H2432" s="244"/>
      <c r="I2432" s="71" t="e">
        <f>IF(COUNTIF((rName rData),H2432),"","Name Error!")</f>
        <v>#NAME?</v>
      </c>
    </row>
    <row r="2433" spans="2:9" s="126" customFormat="1" ht="15" customHeight="1" x14ac:dyDescent="0.25">
      <c r="B2433" s="271" t="s">
        <v>331</v>
      </c>
      <c r="C2433" s="272" t="s">
        <v>330</v>
      </c>
      <c r="D2433" s="275" t="s">
        <v>216</v>
      </c>
      <c r="E2433" s="275">
        <v>41610.177314814813</v>
      </c>
      <c r="F2433" s="276">
        <v>2</v>
      </c>
      <c r="G2433" s="243">
        <f t="shared" si="38"/>
        <v>114</v>
      </c>
      <c r="H2433" s="244"/>
      <c r="I2433" s="71" t="e">
        <f>IF(COUNTIF((rName rData),H2433),"","Name Error!")</f>
        <v>#NAME?</v>
      </c>
    </row>
    <row r="2434" spans="2:9" s="126" customFormat="1" ht="15" customHeight="1" x14ac:dyDescent="0.25">
      <c r="B2434" s="271" t="s">
        <v>350</v>
      </c>
      <c r="C2434" s="272" t="s">
        <v>349</v>
      </c>
      <c r="D2434" s="275" t="s">
        <v>216</v>
      </c>
      <c r="E2434" s="275">
        <v>41610.496724537035</v>
      </c>
      <c r="F2434" s="276">
        <v>1</v>
      </c>
      <c r="G2434" s="243">
        <f t="shared" si="38"/>
        <v>114</v>
      </c>
      <c r="H2434" s="244"/>
      <c r="I2434" s="71" t="e">
        <f>IF(COUNTIF((rName rData),H2434),"","Name Error!")</f>
        <v>#NAME?</v>
      </c>
    </row>
    <row r="2435" spans="2:9" s="126" customFormat="1" ht="15" customHeight="1" x14ac:dyDescent="0.25">
      <c r="B2435" s="271" t="s">
        <v>333</v>
      </c>
      <c r="C2435" s="272" t="s">
        <v>332</v>
      </c>
      <c r="D2435" s="275" t="s">
        <v>216</v>
      </c>
      <c r="E2435" s="275">
        <v>41610.577106481483</v>
      </c>
      <c r="F2435" s="276">
        <v>1</v>
      </c>
      <c r="G2435" s="243">
        <f t="shared" si="38"/>
        <v>114</v>
      </c>
      <c r="H2435" s="244"/>
      <c r="I2435" s="71" t="e">
        <f>IF(COUNTIF((rName rData),H2435),"","Name Error!")</f>
        <v>#NAME?</v>
      </c>
    </row>
    <row r="2436" spans="2:9" s="126" customFormat="1" ht="15" customHeight="1" x14ac:dyDescent="0.25">
      <c r="B2436" s="271" t="s">
        <v>267</v>
      </c>
      <c r="C2436" s="272" t="s">
        <v>268</v>
      </c>
      <c r="D2436" s="275" t="s">
        <v>216</v>
      </c>
      <c r="E2436" s="275">
        <v>41610.697118055556</v>
      </c>
      <c r="F2436" s="276">
        <v>1</v>
      </c>
      <c r="G2436" s="243">
        <f t="shared" si="38"/>
        <v>114</v>
      </c>
      <c r="H2436" s="244"/>
      <c r="I2436" s="71" t="e">
        <f>IF(COUNTIF((rName rData),H2436),"","Name Error!")</f>
        <v>#NAME?</v>
      </c>
    </row>
    <row r="2437" spans="2:9" s="126" customFormat="1" ht="15" customHeight="1" x14ac:dyDescent="0.25">
      <c r="B2437" s="271" t="s">
        <v>279</v>
      </c>
      <c r="C2437" s="272" t="s">
        <v>280</v>
      </c>
      <c r="D2437" s="275" t="s">
        <v>216</v>
      </c>
      <c r="E2437" s="275">
        <v>41610.759618055556</v>
      </c>
      <c r="F2437" s="276">
        <v>2</v>
      </c>
      <c r="G2437" s="243">
        <f t="shared" si="38"/>
        <v>114</v>
      </c>
      <c r="H2437" s="244"/>
      <c r="I2437" s="71" t="e">
        <f>IF(COUNTIF((rName rData),H2437),"","Name Error!")</f>
        <v>#NAME?</v>
      </c>
    </row>
    <row r="2438" spans="2:9" s="126" customFormat="1" ht="15" customHeight="1" x14ac:dyDescent="0.25">
      <c r="B2438" s="271" t="s">
        <v>322</v>
      </c>
      <c r="C2438" s="272" t="s">
        <v>321</v>
      </c>
      <c r="D2438" s="275" t="s">
        <v>216</v>
      </c>
      <c r="E2438" s="275">
        <v>41610.76189814815</v>
      </c>
      <c r="F2438" s="276">
        <v>3</v>
      </c>
      <c r="G2438" s="243">
        <f t="shared" si="38"/>
        <v>114</v>
      </c>
      <c r="H2438" s="244"/>
      <c r="I2438" s="71" t="e">
        <f>IF(COUNTIF((rName rData),H2438),"","Name Error!")</f>
        <v>#NAME?</v>
      </c>
    </row>
    <row r="2439" spans="2:9" s="126" customFormat="1" ht="15" customHeight="1" x14ac:dyDescent="0.25">
      <c r="B2439" s="271" t="s">
        <v>328</v>
      </c>
      <c r="C2439" s="272" t="s">
        <v>327</v>
      </c>
      <c r="D2439" s="275" t="s">
        <v>216</v>
      </c>
      <c r="E2439" s="275">
        <v>41610.913344907407</v>
      </c>
      <c r="F2439" s="276">
        <v>1</v>
      </c>
      <c r="G2439" s="243">
        <f t="shared" si="38"/>
        <v>114</v>
      </c>
      <c r="H2439" s="244"/>
      <c r="I2439" s="71" t="e">
        <f>IF(COUNTIF((rName rData),H2439),"","Name Error!")</f>
        <v>#NAME?</v>
      </c>
    </row>
    <row r="2440" spans="2:9" s="126" customFormat="1" ht="15" customHeight="1" x14ac:dyDescent="0.25">
      <c r="B2440" s="271" t="s">
        <v>367</v>
      </c>
      <c r="C2440" s="272" t="s">
        <v>366</v>
      </c>
      <c r="D2440" s="275" t="s">
        <v>216</v>
      </c>
      <c r="E2440" s="275">
        <v>41611.004004629627</v>
      </c>
      <c r="F2440" s="276">
        <v>2</v>
      </c>
      <c r="G2440" s="243">
        <f t="shared" si="38"/>
        <v>114</v>
      </c>
      <c r="H2440" s="244"/>
      <c r="I2440" s="71" t="e">
        <f>IF(COUNTIF((rName rData),H2440),"","Name Error!")</f>
        <v>#NAME?</v>
      </c>
    </row>
    <row r="2441" spans="2:9" s="126" customFormat="1" ht="15" customHeight="1" x14ac:dyDescent="0.25">
      <c r="B2441" s="271" t="s">
        <v>354</v>
      </c>
      <c r="C2441" s="272" t="s">
        <v>353</v>
      </c>
      <c r="D2441" s="275" t="s">
        <v>216</v>
      </c>
      <c r="E2441" s="275">
        <v>41611.324907407405</v>
      </c>
      <c r="F2441" s="276">
        <v>1</v>
      </c>
      <c r="G2441" s="243">
        <f t="shared" si="38"/>
        <v>114</v>
      </c>
      <c r="H2441" s="244"/>
      <c r="I2441" s="71" t="e">
        <f>IF(COUNTIF((rName rData),H2441),"","Name Error!")</f>
        <v>#NAME?</v>
      </c>
    </row>
    <row r="2442" spans="2:9" s="126" customFormat="1" ht="15" customHeight="1" x14ac:dyDescent="0.25">
      <c r="B2442" s="271" t="s">
        <v>267</v>
      </c>
      <c r="C2442" s="272" t="s">
        <v>268</v>
      </c>
      <c r="D2442" s="275" t="s">
        <v>216</v>
      </c>
      <c r="E2442" s="275">
        <v>41611.350138888891</v>
      </c>
      <c r="F2442" s="276">
        <v>5</v>
      </c>
      <c r="G2442" s="243">
        <f t="shared" ref="G2442:G2505" si="39">TRUNC((E2442-start)/7)+1</f>
        <v>114</v>
      </c>
      <c r="H2442" s="244"/>
      <c r="I2442" s="71" t="e">
        <f>IF(COUNTIF((rName rData),H2442),"","Name Error!")</f>
        <v>#NAME?</v>
      </c>
    </row>
    <row r="2443" spans="2:9" s="126" customFormat="1" ht="15" customHeight="1" x14ac:dyDescent="0.25">
      <c r="B2443" s="271" t="s">
        <v>358</v>
      </c>
      <c r="C2443" s="272" t="s">
        <v>357</v>
      </c>
      <c r="D2443" s="275" t="s">
        <v>216</v>
      </c>
      <c r="E2443" s="275">
        <v>41611.434374999997</v>
      </c>
      <c r="F2443" s="276">
        <v>1</v>
      </c>
      <c r="G2443" s="243">
        <f t="shared" si="39"/>
        <v>114</v>
      </c>
      <c r="H2443" s="244"/>
      <c r="I2443" s="71" t="e">
        <f>IF(COUNTIF((rName rData),H2443),"","Name Error!")</f>
        <v>#NAME?</v>
      </c>
    </row>
    <row r="2444" spans="2:9" s="126" customFormat="1" ht="15" customHeight="1" x14ac:dyDescent="0.25">
      <c r="B2444" s="271" t="s">
        <v>333</v>
      </c>
      <c r="C2444" s="272" t="s">
        <v>332</v>
      </c>
      <c r="D2444" s="275" t="s">
        <v>216</v>
      </c>
      <c r="E2444" s="275">
        <v>41611.448761574073</v>
      </c>
      <c r="F2444" s="276">
        <v>1</v>
      </c>
      <c r="G2444" s="243">
        <f t="shared" si="39"/>
        <v>114</v>
      </c>
      <c r="H2444" s="244"/>
      <c r="I2444" s="71" t="e">
        <f>IF(COUNTIF((rName rData),H2444),"","Name Error!")</f>
        <v>#NAME?</v>
      </c>
    </row>
    <row r="2445" spans="2:9" s="126" customFormat="1" ht="15" customHeight="1" x14ac:dyDescent="0.25">
      <c r="B2445" s="271" t="s">
        <v>279</v>
      </c>
      <c r="C2445" s="272" t="s">
        <v>280</v>
      </c>
      <c r="D2445" s="275" t="s">
        <v>216</v>
      </c>
      <c r="E2445" s="275">
        <v>41611.54482638889</v>
      </c>
      <c r="F2445" s="276">
        <v>2</v>
      </c>
      <c r="G2445" s="243">
        <f t="shared" si="39"/>
        <v>114</v>
      </c>
      <c r="H2445" s="244"/>
      <c r="I2445" s="71" t="e">
        <f>IF(COUNTIF((rName rData),H2445),"","Name Error!")</f>
        <v>#NAME?</v>
      </c>
    </row>
    <row r="2446" spans="2:9" s="126" customFormat="1" ht="15" customHeight="1" x14ac:dyDescent="0.25">
      <c r="B2446" s="271" t="s">
        <v>322</v>
      </c>
      <c r="C2446" s="272" t="s">
        <v>321</v>
      </c>
      <c r="D2446" s="275" t="s">
        <v>216</v>
      </c>
      <c r="E2446" s="275">
        <v>41611.642708333333</v>
      </c>
      <c r="F2446" s="276">
        <v>3</v>
      </c>
      <c r="G2446" s="243">
        <f t="shared" si="39"/>
        <v>114</v>
      </c>
      <c r="H2446" s="244"/>
      <c r="I2446" s="71" t="e">
        <f>IF(COUNTIF((rName rData),H2446),"","Name Error!")</f>
        <v>#NAME?</v>
      </c>
    </row>
    <row r="2447" spans="2:9" s="126" customFormat="1" ht="15" customHeight="1" x14ac:dyDescent="0.25">
      <c r="B2447" s="271" t="s">
        <v>331</v>
      </c>
      <c r="C2447" s="272" t="s">
        <v>330</v>
      </c>
      <c r="D2447" s="275" t="s">
        <v>216</v>
      </c>
      <c r="E2447" s="275">
        <v>41611.650555555556</v>
      </c>
      <c r="F2447" s="276">
        <v>1</v>
      </c>
      <c r="G2447" s="243">
        <f t="shared" si="39"/>
        <v>114</v>
      </c>
      <c r="H2447" s="244"/>
      <c r="I2447" s="71" t="e">
        <f>IF(COUNTIF((rName rData),H2447),"","Name Error!")</f>
        <v>#NAME?</v>
      </c>
    </row>
    <row r="2448" spans="2:9" s="126" customFormat="1" ht="15" customHeight="1" x14ac:dyDescent="0.25">
      <c r="B2448" s="271" t="s">
        <v>350</v>
      </c>
      <c r="C2448" s="272" t="s">
        <v>349</v>
      </c>
      <c r="D2448" s="275" t="s">
        <v>216</v>
      </c>
      <c r="E2448" s="275">
        <v>41611.848460648151</v>
      </c>
      <c r="F2448" s="276">
        <v>1</v>
      </c>
      <c r="G2448" s="243">
        <f t="shared" si="39"/>
        <v>114</v>
      </c>
      <c r="H2448" s="244"/>
      <c r="I2448" s="71" t="e">
        <f>IF(COUNTIF((rName rData),H2448),"","Name Error!")</f>
        <v>#NAME?</v>
      </c>
    </row>
    <row r="2449" spans="2:9" s="126" customFormat="1" ht="15" customHeight="1" x14ac:dyDescent="0.25">
      <c r="B2449" s="271" t="s">
        <v>267</v>
      </c>
      <c r="C2449" s="272" t="s">
        <v>268</v>
      </c>
      <c r="D2449" s="275" t="s">
        <v>216</v>
      </c>
      <c r="E2449" s="275">
        <v>41612.38857638889</v>
      </c>
      <c r="F2449" s="276">
        <v>2</v>
      </c>
      <c r="G2449" s="243">
        <f t="shared" si="39"/>
        <v>114</v>
      </c>
      <c r="H2449" s="244"/>
      <c r="I2449" s="71" t="e">
        <f>IF(COUNTIF((rName rData),H2449),"","Name Error!")</f>
        <v>#NAME?</v>
      </c>
    </row>
    <row r="2450" spans="2:9" s="126" customFormat="1" ht="15" customHeight="1" x14ac:dyDescent="0.25">
      <c r="B2450" s="271" t="s">
        <v>358</v>
      </c>
      <c r="C2450" s="272" t="s">
        <v>357</v>
      </c>
      <c r="D2450" s="275" t="s">
        <v>216</v>
      </c>
      <c r="E2450" s="275">
        <v>41612.515844907408</v>
      </c>
      <c r="F2450" s="276">
        <v>2</v>
      </c>
      <c r="G2450" s="243">
        <f t="shared" si="39"/>
        <v>114</v>
      </c>
      <c r="H2450" s="244"/>
      <c r="I2450" s="71" t="e">
        <f>IF(COUNTIF((rName rData),H2450),"","Name Error!")</f>
        <v>#NAME?</v>
      </c>
    </row>
    <row r="2451" spans="2:9" s="126" customFormat="1" ht="15" customHeight="1" x14ac:dyDescent="0.25">
      <c r="B2451" s="271" t="s">
        <v>350</v>
      </c>
      <c r="C2451" s="272" t="s">
        <v>349</v>
      </c>
      <c r="D2451" s="275" t="s">
        <v>216</v>
      </c>
      <c r="E2451" s="275">
        <v>41612.524664351855</v>
      </c>
      <c r="F2451" s="276">
        <v>1</v>
      </c>
      <c r="G2451" s="243">
        <f t="shared" si="39"/>
        <v>114</v>
      </c>
      <c r="H2451" s="244"/>
      <c r="I2451" s="71" t="e">
        <f>IF(COUNTIF((rName rData),H2451),"","Name Error!")</f>
        <v>#NAME?</v>
      </c>
    </row>
    <row r="2452" spans="2:9" s="126" customFormat="1" ht="15" customHeight="1" x14ac:dyDescent="0.25">
      <c r="B2452" s="271" t="s">
        <v>354</v>
      </c>
      <c r="C2452" s="272" t="s">
        <v>353</v>
      </c>
      <c r="D2452" s="275" t="s">
        <v>216</v>
      </c>
      <c r="E2452" s="275">
        <v>41612.540520833332</v>
      </c>
      <c r="F2452" s="276">
        <v>1</v>
      </c>
      <c r="G2452" s="243">
        <f t="shared" si="39"/>
        <v>114</v>
      </c>
      <c r="H2452" s="244"/>
      <c r="I2452" s="71" t="e">
        <f>IF(COUNTIF((rName rData),H2452),"","Name Error!")</f>
        <v>#NAME?</v>
      </c>
    </row>
    <row r="2453" spans="2:9" s="126" customFormat="1" ht="15" customHeight="1" x14ac:dyDescent="0.25">
      <c r="B2453" s="271" t="s">
        <v>328</v>
      </c>
      <c r="C2453" s="272" t="s">
        <v>327</v>
      </c>
      <c r="D2453" s="275" t="s">
        <v>216</v>
      </c>
      <c r="E2453" s="275">
        <v>41612.943206018521</v>
      </c>
      <c r="F2453" s="276">
        <v>1</v>
      </c>
      <c r="G2453" s="243">
        <f t="shared" si="39"/>
        <v>114</v>
      </c>
      <c r="H2453" s="244"/>
      <c r="I2453" s="71" t="e">
        <f>IF(COUNTIF((rName rData),H2453),"","Name Error!")</f>
        <v>#NAME?</v>
      </c>
    </row>
    <row r="2454" spans="2:9" s="126" customFormat="1" ht="15" customHeight="1" x14ac:dyDescent="0.25">
      <c r="B2454" s="271" t="s">
        <v>324</v>
      </c>
      <c r="C2454" s="272" t="s">
        <v>323</v>
      </c>
      <c r="D2454" s="275" t="s">
        <v>216</v>
      </c>
      <c r="E2454" s="275">
        <v>41612.97997685185</v>
      </c>
      <c r="F2454" s="276">
        <v>1</v>
      </c>
      <c r="G2454" s="243">
        <f t="shared" si="39"/>
        <v>114</v>
      </c>
      <c r="H2454" s="244"/>
      <c r="I2454" s="71" t="e">
        <f>IF(COUNTIF((rName rData),H2454),"","Name Error!")</f>
        <v>#NAME?</v>
      </c>
    </row>
    <row r="2455" spans="2:9" s="126" customFormat="1" ht="15" customHeight="1" x14ac:dyDescent="0.25">
      <c r="B2455" s="271" t="s">
        <v>371</v>
      </c>
      <c r="C2455" s="272" t="s">
        <v>370</v>
      </c>
      <c r="D2455" s="275" t="s">
        <v>216</v>
      </c>
      <c r="E2455" s="275">
        <v>41613.295717592591</v>
      </c>
      <c r="F2455" s="276">
        <v>1</v>
      </c>
      <c r="G2455" s="243">
        <f t="shared" si="39"/>
        <v>114</v>
      </c>
      <c r="H2455" s="244"/>
      <c r="I2455" s="71" t="e">
        <f>IF(COUNTIF((rName rData),H2455),"","Name Error!")</f>
        <v>#NAME?</v>
      </c>
    </row>
    <row r="2456" spans="2:9" s="126" customFormat="1" ht="15" customHeight="1" x14ac:dyDescent="0.25">
      <c r="B2456" s="271" t="s">
        <v>267</v>
      </c>
      <c r="C2456" s="272" t="s">
        <v>268</v>
      </c>
      <c r="D2456" s="275" t="s">
        <v>216</v>
      </c>
      <c r="E2456" s="275">
        <v>41613.360798611109</v>
      </c>
      <c r="F2456" s="276">
        <v>2</v>
      </c>
      <c r="G2456" s="243">
        <f t="shared" si="39"/>
        <v>114</v>
      </c>
      <c r="H2456" s="244"/>
      <c r="I2456" s="71" t="e">
        <f>IF(COUNTIF((rName rData),H2456),"","Name Error!")</f>
        <v>#NAME?</v>
      </c>
    </row>
    <row r="2457" spans="2:9" s="126" customFormat="1" ht="15" customHeight="1" x14ac:dyDescent="0.25">
      <c r="B2457" s="271" t="s">
        <v>358</v>
      </c>
      <c r="C2457" s="272" t="s">
        <v>357</v>
      </c>
      <c r="D2457" s="275" t="s">
        <v>216</v>
      </c>
      <c r="E2457" s="275">
        <v>41613.40315972222</v>
      </c>
      <c r="F2457" s="276">
        <v>4</v>
      </c>
      <c r="G2457" s="243">
        <f t="shared" si="39"/>
        <v>114</v>
      </c>
      <c r="H2457" s="244"/>
      <c r="I2457" s="71" t="e">
        <f>IF(COUNTIF((rName rData),H2457),"","Name Error!")</f>
        <v>#NAME?</v>
      </c>
    </row>
    <row r="2458" spans="2:9" s="126" customFormat="1" ht="15" customHeight="1" x14ac:dyDescent="0.25">
      <c r="B2458" s="271" t="s">
        <v>324</v>
      </c>
      <c r="C2458" s="272" t="s">
        <v>323</v>
      </c>
      <c r="D2458" s="275" t="s">
        <v>216</v>
      </c>
      <c r="E2458" s="275">
        <v>41613.619826388887</v>
      </c>
      <c r="F2458" s="276">
        <v>4</v>
      </c>
      <c r="G2458" s="243">
        <f t="shared" si="39"/>
        <v>114</v>
      </c>
      <c r="H2458" s="244"/>
      <c r="I2458" s="71" t="e">
        <f>IF(COUNTIF((rName rData),H2458),"","Name Error!")</f>
        <v>#NAME?</v>
      </c>
    </row>
    <row r="2459" spans="2:9" s="126" customFormat="1" ht="15" customHeight="1" x14ac:dyDescent="0.25">
      <c r="B2459" s="271" t="s">
        <v>337</v>
      </c>
      <c r="C2459" s="272" t="s">
        <v>336</v>
      </c>
      <c r="D2459" s="275" t="s">
        <v>216</v>
      </c>
      <c r="E2459" s="275">
        <v>41613.911064814813</v>
      </c>
      <c r="F2459" s="276">
        <v>1</v>
      </c>
      <c r="G2459" s="243">
        <f t="shared" si="39"/>
        <v>114</v>
      </c>
      <c r="H2459" s="244"/>
      <c r="I2459" s="71" t="e">
        <f>IF(COUNTIF((rName rData),H2459),"","Name Error!")</f>
        <v>#NAME?</v>
      </c>
    </row>
    <row r="2460" spans="2:9" s="126" customFormat="1" ht="15" customHeight="1" x14ac:dyDescent="0.25">
      <c r="B2460" s="271" t="s">
        <v>341</v>
      </c>
      <c r="C2460" s="272" t="s">
        <v>340</v>
      </c>
      <c r="D2460" s="275" t="s">
        <v>216</v>
      </c>
      <c r="E2460" s="275">
        <v>41613.924768518518</v>
      </c>
      <c r="F2460" s="276">
        <v>1</v>
      </c>
      <c r="G2460" s="243">
        <f t="shared" si="39"/>
        <v>114</v>
      </c>
      <c r="H2460" s="244"/>
      <c r="I2460" s="71" t="e">
        <f>IF(COUNTIF((rName rData),H2460),"","Name Error!")</f>
        <v>#NAME?</v>
      </c>
    </row>
    <row r="2461" spans="2:9" s="126" customFormat="1" ht="15" customHeight="1" x14ac:dyDescent="0.25">
      <c r="B2461" s="271" t="s">
        <v>328</v>
      </c>
      <c r="C2461" s="272" t="s">
        <v>327</v>
      </c>
      <c r="D2461" s="275" t="s">
        <v>216</v>
      </c>
      <c r="E2461" s="275">
        <v>41613.969687500001</v>
      </c>
      <c r="F2461" s="276">
        <v>1</v>
      </c>
      <c r="G2461" s="243">
        <f t="shared" si="39"/>
        <v>114</v>
      </c>
      <c r="H2461" s="244"/>
      <c r="I2461" s="71" t="e">
        <f>IF(COUNTIF((rName rData),H2461),"","Name Error!")</f>
        <v>#NAME?</v>
      </c>
    </row>
    <row r="2462" spans="2:9" s="126" customFormat="1" ht="15" customHeight="1" x14ac:dyDescent="0.25">
      <c r="B2462" s="271" t="s">
        <v>358</v>
      </c>
      <c r="C2462" s="272" t="s">
        <v>357</v>
      </c>
      <c r="D2462" s="275" t="s">
        <v>216</v>
      </c>
      <c r="E2462" s="275">
        <v>41614.38853009259</v>
      </c>
      <c r="F2462" s="276">
        <v>3</v>
      </c>
      <c r="G2462" s="243">
        <f t="shared" si="39"/>
        <v>114</v>
      </c>
      <c r="H2462" s="244"/>
      <c r="I2462" s="71" t="e">
        <f>IF(COUNTIF((rName rData),H2462),"","Name Error!")</f>
        <v>#NAME?</v>
      </c>
    </row>
    <row r="2463" spans="2:9" s="126" customFormat="1" ht="15" customHeight="1" x14ac:dyDescent="0.25">
      <c r="B2463" s="271" t="s">
        <v>354</v>
      </c>
      <c r="C2463" s="272" t="s">
        <v>353</v>
      </c>
      <c r="D2463" s="275" t="s">
        <v>216</v>
      </c>
      <c r="E2463" s="275">
        <v>41614.534930555557</v>
      </c>
      <c r="F2463" s="276">
        <v>2</v>
      </c>
      <c r="G2463" s="243">
        <f t="shared" si="39"/>
        <v>114</v>
      </c>
      <c r="H2463" s="244"/>
      <c r="I2463" s="71" t="e">
        <f>IF(COUNTIF((rName rData),H2463),"","Name Error!")</f>
        <v>#NAME?</v>
      </c>
    </row>
    <row r="2464" spans="2:9" s="126" customFormat="1" ht="15" customHeight="1" x14ac:dyDescent="0.25">
      <c r="B2464" s="271" t="s">
        <v>322</v>
      </c>
      <c r="C2464" s="272" t="s">
        <v>321</v>
      </c>
      <c r="D2464" s="275" t="s">
        <v>216</v>
      </c>
      <c r="E2464" s="275">
        <v>41614.705127314817</v>
      </c>
      <c r="F2464" s="276">
        <v>2</v>
      </c>
      <c r="G2464" s="243">
        <f t="shared" si="39"/>
        <v>114</v>
      </c>
      <c r="H2464" s="244"/>
      <c r="I2464" s="71" t="e">
        <f>IF(COUNTIF((rName rData),H2464),"","Name Error!")</f>
        <v>#NAME?</v>
      </c>
    </row>
    <row r="2465" spans="2:9" s="126" customFormat="1" ht="15" customHeight="1" x14ac:dyDescent="0.25">
      <c r="B2465" s="271" t="s">
        <v>267</v>
      </c>
      <c r="C2465" s="272" t="s">
        <v>268</v>
      </c>
      <c r="D2465" s="275" t="s">
        <v>216</v>
      </c>
      <c r="E2465" s="275">
        <v>41614.727268518516</v>
      </c>
      <c r="F2465" s="276">
        <v>1</v>
      </c>
      <c r="G2465" s="243">
        <f t="shared" si="39"/>
        <v>114</v>
      </c>
      <c r="H2465" s="244"/>
      <c r="I2465" s="71" t="e">
        <f>IF(COUNTIF((rName rData),H2465),"","Name Error!")</f>
        <v>#NAME?</v>
      </c>
    </row>
    <row r="2466" spans="2:9" s="126" customFormat="1" ht="15" customHeight="1" x14ac:dyDescent="0.25">
      <c r="B2466" s="271" t="s">
        <v>337</v>
      </c>
      <c r="C2466" s="272" t="s">
        <v>336</v>
      </c>
      <c r="D2466" s="275" t="s">
        <v>216</v>
      </c>
      <c r="E2466" s="275">
        <v>41614.800937499997</v>
      </c>
      <c r="F2466" s="276">
        <v>1</v>
      </c>
      <c r="G2466" s="243">
        <f t="shared" si="39"/>
        <v>114</v>
      </c>
      <c r="H2466" s="244"/>
      <c r="I2466" s="71" t="e">
        <f>IF(COUNTIF((rName rData),H2466),"","Name Error!")</f>
        <v>#NAME?</v>
      </c>
    </row>
    <row r="2467" spans="2:9" s="126" customFormat="1" ht="15" customHeight="1" x14ac:dyDescent="0.25">
      <c r="B2467" s="271" t="s">
        <v>365</v>
      </c>
      <c r="C2467" s="272" t="s">
        <v>364</v>
      </c>
      <c r="D2467" s="275" t="s">
        <v>216</v>
      </c>
      <c r="E2467" s="275">
        <v>41614.820462962962</v>
      </c>
      <c r="F2467" s="276">
        <v>2</v>
      </c>
      <c r="G2467" s="243">
        <f t="shared" si="39"/>
        <v>114</v>
      </c>
      <c r="H2467" s="244"/>
      <c r="I2467" s="71" t="e">
        <f>IF(COUNTIF((rName rData),H2467),"","Name Error!")</f>
        <v>#NAME?</v>
      </c>
    </row>
    <row r="2468" spans="2:9" s="126" customFormat="1" ht="15" customHeight="1" x14ac:dyDescent="0.25">
      <c r="B2468" s="271" t="s">
        <v>367</v>
      </c>
      <c r="C2468" s="272" t="s">
        <v>366</v>
      </c>
      <c r="D2468" s="275" t="s">
        <v>216</v>
      </c>
      <c r="E2468" s="275">
        <v>41615.092743055553</v>
      </c>
      <c r="F2468" s="276">
        <v>2</v>
      </c>
      <c r="G2468" s="243">
        <f t="shared" si="39"/>
        <v>115</v>
      </c>
      <c r="H2468" s="244"/>
      <c r="I2468" s="71" t="e">
        <f>IF(COUNTIF((rName rData),H2468),"","Name Error!")</f>
        <v>#NAME?</v>
      </c>
    </row>
    <row r="2469" spans="2:9" s="126" customFormat="1" ht="15" customHeight="1" x14ac:dyDescent="0.25">
      <c r="B2469" s="271" t="s">
        <v>358</v>
      </c>
      <c r="C2469" s="272" t="s">
        <v>357</v>
      </c>
      <c r="D2469" s="275" t="s">
        <v>216</v>
      </c>
      <c r="E2469" s="275">
        <v>41615.360266203701</v>
      </c>
      <c r="F2469" s="276">
        <v>2</v>
      </c>
      <c r="G2469" s="243">
        <f t="shared" si="39"/>
        <v>115</v>
      </c>
      <c r="H2469" s="244"/>
      <c r="I2469" s="71" t="e">
        <f>IF(COUNTIF((rName rData),H2469),"","Name Error!")</f>
        <v>#NAME?</v>
      </c>
    </row>
    <row r="2470" spans="2:9" s="126" customFormat="1" ht="15" customHeight="1" x14ac:dyDescent="0.25">
      <c r="B2470" s="271" t="s">
        <v>267</v>
      </c>
      <c r="C2470" s="272" t="s">
        <v>268</v>
      </c>
      <c r="D2470" s="275" t="s">
        <v>216</v>
      </c>
      <c r="E2470" s="275">
        <v>41615.448437500003</v>
      </c>
      <c r="F2470" s="276">
        <v>5</v>
      </c>
      <c r="G2470" s="243">
        <f t="shared" si="39"/>
        <v>115</v>
      </c>
      <c r="H2470" s="244"/>
      <c r="I2470" s="71" t="e">
        <f>IF(COUNTIF((rName rData),H2470),"","Name Error!")</f>
        <v>#NAME?</v>
      </c>
    </row>
    <row r="2471" spans="2:9" s="126" customFormat="1" ht="15" customHeight="1" x14ac:dyDescent="0.25">
      <c r="B2471" s="271" t="s">
        <v>341</v>
      </c>
      <c r="C2471" s="272" t="s">
        <v>340</v>
      </c>
      <c r="D2471" s="275" t="s">
        <v>216</v>
      </c>
      <c r="E2471" s="275">
        <v>41615.479270833333</v>
      </c>
      <c r="F2471" s="276">
        <v>2</v>
      </c>
      <c r="G2471" s="243">
        <f t="shared" si="39"/>
        <v>115</v>
      </c>
      <c r="H2471" s="244"/>
      <c r="I2471" s="71" t="e">
        <f>IF(COUNTIF((rName rData),H2471),"","Name Error!")</f>
        <v>#NAME?</v>
      </c>
    </row>
    <row r="2472" spans="2:9" s="126" customFormat="1" ht="15" customHeight="1" x14ac:dyDescent="0.25">
      <c r="B2472" s="271" t="s">
        <v>322</v>
      </c>
      <c r="C2472" s="272" t="s">
        <v>321</v>
      </c>
      <c r="D2472" s="275" t="s">
        <v>216</v>
      </c>
      <c r="E2472" s="275">
        <v>41615.496539351851</v>
      </c>
      <c r="F2472" s="276">
        <v>4</v>
      </c>
      <c r="G2472" s="243">
        <f t="shared" si="39"/>
        <v>115</v>
      </c>
      <c r="H2472" s="244"/>
      <c r="I2472" s="71" t="e">
        <f>IF(COUNTIF((rName rData),H2472),"","Name Error!")</f>
        <v>#NAME?</v>
      </c>
    </row>
    <row r="2473" spans="2:9" s="126" customFormat="1" ht="15" customHeight="1" x14ac:dyDescent="0.25">
      <c r="B2473" s="271" t="s">
        <v>354</v>
      </c>
      <c r="C2473" s="272" t="s">
        <v>353</v>
      </c>
      <c r="D2473" s="275" t="s">
        <v>216</v>
      </c>
      <c r="E2473" s="275">
        <v>41615.567488425928</v>
      </c>
      <c r="F2473" s="276">
        <v>1</v>
      </c>
      <c r="G2473" s="243">
        <f t="shared" si="39"/>
        <v>115</v>
      </c>
      <c r="H2473" s="244"/>
      <c r="I2473" s="71" t="e">
        <f>IF(COUNTIF((rName rData),H2473),"","Name Error!")</f>
        <v>#NAME?</v>
      </c>
    </row>
    <row r="2474" spans="2:9" s="126" customFormat="1" ht="15" customHeight="1" x14ac:dyDescent="0.25">
      <c r="B2474" s="271" t="s">
        <v>324</v>
      </c>
      <c r="C2474" s="272" t="s">
        <v>323</v>
      </c>
      <c r="D2474" s="275" t="s">
        <v>216</v>
      </c>
      <c r="E2474" s="275">
        <v>41615.63181712963</v>
      </c>
      <c r="F2474" s="276">
        <v>2</v>
      </c>
      <c r="G2474" s="243">
        <f t="shared" si="39"/>
        <v>115</v>
      </c>
      <c r="H2474" s="244"/>
      <c r="I2474" s="71" t="e">
        <f>IF(COUNTIF((rName rData),H2474),"","Name Error!")</f>
        <v>#NAME?</v>
      </c>
    </row>
    <row r="2475" spans="2:9" s="126" customFormat="1" ht="15" customHeight="1" x14ac:dyDescent="0.25">
      <c r="B2475" s="271" t="s">
        <v>328</v>
      </c>
      <c r="C2475" s="272" t="s">
        <v>327</v>
      </c>
      <c r="D2475" s="275" t="s">
        <v>216</v>
      </c>
      <c r="E2475" s="275">
        <v>41615.653969907406</v>
      </c>
      <c r="F2475" s="276">
        <v>3</v>
      </c>
      <c r="G2475" s="243">
        <f t="shared" si="39"/>
        <v>115</v>
      </c>
      <c r="H2475" s="244"/>
      <c r="I2475" s="71" t="e">
        <f>IF(COUNTIF((rName rData),H2475),"","Name Error!")</f>
        <v>#NAME?</v>
      </c>
    </row>
    <row r="2476" spans="2:9" s="126" customFormat="1" ht="15" customHeight="1" x14ac:dyDescent="0.25">
      <c r="B2476" s="271" t="s">
        <v>352</v>
      </c>
      <c r="C2476" s="272" t="s">
        <v>351</v>
      </c>
      <c r="D2476" s="275" t="s">
        <v>216</v>
      </c>
      <c r="E2476" s="275">
        <v>41615.671643518515</v>
      </c>
      <c r="F2476" s="276">
        <v>1</v>
      </c>
      <c r="G2476" s="243">
        <f t="shared" si="39"/>
        <v>115</v>
      </c>
      <c r="H2476" s="244"/>
      <c r="I2476" s="71" t="e">
        <f>IF(COUNTIF((rName rData),H2476),"","Name Error!")</f>
        <v>#NAME?</v>
      </c>
    </row>
    <row r="2477" spans="2:9" s="126" customFormat="1" ht="15" customHeight="1" x14ac:dyDescent="0.25">
      <c r="B2477" s="271" t="s">
        <v>337</v>
      </c>
      <c r="C2477" s="272" t="s">
        <v>336</v>
      </c>
      <c r="D2477" s="275" t="s">
        <v>216</v>
      </c>
      <c r="E2477" s="275">
        <v>41615.825520833336</v>
      </c>
      <c r="F2477" s="276">
        <v>2</v>
      </c>
      <c r="G2477" s="243">
        <f t="shared" si="39"/>
        <v>115</v>
      </c>
      <c r="H2477" s="244"/>
      <c r="I2477" s="71" t="e">
        <f>IF(COUNTIF((rName rData),H2477),"","Name Error!")</f>
        <v>#NAME?</v>
      </c>
    </row>
    <row r="2478" spans="2:9" s="126" customFormat="1" ht="15" customHeight="1" x14ac:dyDescent="0.25">
      <c r="B2478" s="271" t="s">
        <v>362</v>
      </c>
      <c r="C2478" s="272" t="s">
        <v>361</v>
      </c>
      <c r="D2478" s="275" t="s">
        <v>216</v>
      </c>
      <c r="E2478" s="275">
        <v>41615.905300925922</v>
      </c>
      <c r="F2478" s="276">
        <v>1</v>
      </c>
      <c r="G2478" s="243">
        <f t="shared" si="39"/>
        <v>115</v>
      </c>
      <c r="H2478" s="244"/>
      <c r="I2478" s="71" t="e">
        <f>IF(COUNTIF((rName rData),H2478),"","Name Error!")</f>
        <v>#NAME?</v>
      </c>
    </row>
    <row r="2479" spans="2:9" s="126" customFormat="1" ht="15" customHeight="1" x14ac:dyDescent="0.25">
      <c r="B2479" s="271" t="s">
        <v>341</v>
      </c>
      <c r="C2479" s="272" t="s">
        <v>340</v>
      </c>
      <c r="D2479" s="275" t="s">
        <v>216</v>
      </c>
      <c r="E2479" s="275">
        <v>41616.003553240742</v>
      </c>
      <c r="F2479" s="276">
        <v>5</v>
      </c>
      <c r="G2479" s="243">
        <f t="shared" si="39"/>
        <v>115</v>
      </c>
      <c r="H2479" s="244"/>
      <c r="I2479" s="71" t="e">
        <f>IF(COUNTIF((rName rData),H2479),"","Name Error!")</f>
        <v>#NAME?</v>
      </c>
    </row>
    <row r="2480" spans="2:9" s="126" customFormat="1" ht="15" customHeight="1" x14ac:dyDescent="0.25">
      <c r="B2480" s="271" t="s">
        <v>335</v>
      </c>
      <c r="C2480" s="272" t="s">
        <v>334</v>
      </c>
      <c r="D2480" s="275" t="s">
        <v>216</v>
      </c>
      <c r="E2480" s="275">
        <v>41616.403321759259</v>
      </c>
      <c r="F2480" s="276">
        <v>1</v>
      </c>
      <c r="G2480" s="243">
        <f t="shared" si="39"/>
        <v>115</v>
      </c>
      <c r="H2480" s="244"/>
      <c r="I2480" s="71" t="e">
        <f>IF(COUNTIF((rName rData),H2480),"","Name Error!")</f>
        <v>#NAME?</v>
      </c>
    </row>
    <row r="2481" spans="2:9" s="126" customFormat="1" ht="15" customHeight="1" x14ac:dyDescent="0.25">
      <c r="B2481" s="271" t="s">
        <v>267</v>
      </c>
      <c r="C2481" s="272" t="s">
        <v>268</v>
      </c>
      <c r="D2481" s="275" t="s">
        <v>216</v>
      </c>
      <c r="E2481" s="275">
        <v>41616.426493055558</v>
      </c>
      <c r="F2481" s="276">
        <v>4</v>
      </c>
      <c r="G2481" s="243">
        <f t="shared" si="39"/>
        <v>115</v>
      </c>
      <c r="H2481" s="244"/>
      <c r="I2481" s="71" t="e">
        <f>IF(COUNTIF((rName rData),H2481),"","Name Error!")</f>
        <v>#NAME?</v>
      </c>
    </row>
    <row r="2482" spans="2:9" s="126" customFormat="1" ht="15" customHeight="1" x14ac:dyDescent="0.25">
      <c r="B2482" s="271" t="s">
        <v>356</v>
      </c>
      <c r="C2482" s="272" t="s">
        <v>355</v>
      </c>
      <c r="D2482" s="275" t="s">
        <v>216</v>
      </c>
      <c r="E2482" s="275">
        <v>41616.52107638889</v>
      </c>
      <c r="F2482" s="276">
        <v>1</v>
      </c>
      <c r="G2482" s="243">
        <f t="shared" si="39"/>
        <v>115</v>
      </c>
      <c r="H2482" s="244"/>
      <c r="I2482" s="71" t="e">
        <f>IF(COUNTIF((rName rData),H2482),"","Name Error!")</f>
        <v>#NAME?</v>
      </c>
    </row>
    <row r="2483" spans="2:9" s="126" customFormat="1" ht="15" customHeight="1" x14ac:dyDescent="0.25">
      <c r="B2483" s="271" t="s">
        <v>362</v>
      </c>
      <c r="C2483" s="272" t="s">
        <v>361</v>
      </c>
      <c r="D2483" s="275" t="s">
        <v>216</v>
      </c>
      <c r="E2483" s="275">
        <v>41616.542939814812</v>
      </c>
      <c r="F2483" s="276">
        <v>2</v>
      </c>
      <c r="G2483" s="243">
        <f t="shared" si="39"/>
        <v>115</v>
      </c>
      <c r="H2483" s="244"/>
      <c r="I2483" s="71" t="e">
        <f>IF(COUNTIF((rName rData),H2483),"","Name Error!")</f>
        <v>#NAME?</v>
      </c>
    </row>
    <row r="2484" spans="2:9" s="126" customFormat="1" ht="15" customHeight="1" x14ac:dyDescent="0.25">
      <c r="B2484" s="271" t="s">
        <v>337</v>
      </c>
      <c r="C2484" s="272" t="s">
        <v>336</v>
      </c>
      <c r="D2484" s="275" t="s">
        <v>216</v>
      </c>
      <c r="E2484" s="275">
        <v>41616.563483796293</v>
      </c>
      <c r="F2484" s="276">
        <v>1</v>
      </c>
      <c r="G2484" s="243">
        <f t="shared" si="39"/>
        <v>115</v>
      </c>
      <c r="H2484" s="244"/>
      <c r="I2484" s="71" t="e">
        <f>IF(COUNTIF((rName rData),H2484),"","Name Error!")</f>
        <v>#NAME?</v>
      </c>
    </row>
    <row r="2485" spans="2:9" s="126" customFormat="1" ht="15" customHeight="1" x14ac:dyDescent="0.25">
      <c r="B2485" s="271" t="s">
        <v>324</v>
      </c>
      <c r="C2485" s="272" t="s">
        <v>323</v>
      </c>
      <c r="D2485" s="275" t="s">
        <v>216</v>
      </c>
      <c r="E2485" s="275">
        <v>41616.597500000003</v>
      </c>
      <c r="F2485" s="276">
        <v>2</v>
      </c>
      <c r="G2485" s="243">
        <f t="shared" si="39"/>
        <v>115</v>
      </c>
      <c r="H2485" s="244"/>
      <c r="I2485" s="71" t="e">
        <f>IF(COUNTIF((rName rData),H2485),"","Name Error!")</f>
        <v>#NAME?</v>
      </c>
    </row>
    <row r="2486" spans="2:9" s="126" customFormat="1" ht="15" customHeight="1" x14ac:dyDescent="0.25">
      <c r="B2486" s="271" t="s">
        <v>367</v>
      </c>
      <c r="C2486" s="272" t="s">
        <v>366</v>
      </c>
      <c r="D2486" s="275" t="s">
        <v>216</v>
      </c>
      <c r="E2486" s="275">
        <v>41616.649351851855</v>
      </c>
      <c r="F2486" s="276">
        <v>2</v>
      </c>
      <c r="G2486" s="243">
        <f t="shared" si="39"/>
        <v>115</v>
      </c>
      <c r="H2486" s="244"/>
      <c r="I2486" s="71" t="e">
        <f>IF(COUNTIF((rName rData),H2486),"","Name Error!")</f>
        <v>#NAME?</v>
      </c>
    </row>
    <row r="2487" spans="2:9" s="126" customFormat="1" ht="15" customHeight="1" x14ac:dyDescent="0.25">
      <c r="B2487" s="271" t="s">
        <v>331</v>
      </c>
      <c r="C2487" s="272" t="s">
        <v>330</v>
      </c>
      <c r="D2487" s="275" t="s">
        <v>216</v>
      </c>
      <c r="E2487" s="275">
        <v>41616.677499999998</v>
      </c>
      <c r="F2487" s="276">
        <v>3</v>
      </c>
      <c r="G2487" s="243">
        <f t="shared" si="39"/>
        <v>115</v>
      </c>
      <c r="H2487" s="244"/>
      <c r="I2487" s="71" t="e">
        <f>IF(COUNTIF((rName rData),H2487),"","Name Error!")</f>
        <v>#NAME?</v>
      </c>
    </row>
    <row r="2488" spans="2:9" s="126" customFormat="1" ht="15" customHeight="1" x14ac:dyDescent="0.25">
      <c r="B2488" s="271" t="s">
        <v>352</v>
      </c>
      <c r="C2488" s="272" t="s">
        <v>351</v>
      </c>
      <c r="D2488" s="275" t="s">
        <v>216</v>
      </c>
      <c r="E2488" s="275">
        <v>41616.686655092592</v>
      </c>
      <c r="F2488" s="276">
        <v>1</v>
      </c>
      <c r="G2488" s="243">
        <f t="shared" si="39"/>
        <v>115</v>
      </c>
      <c r="H2488" s="244"/>
      <c r="I2488" s="71" t="e">
        <f>IF(COUNTIF((rName rData),H2488),"","Name Error!")</f>
        <v>#NAME?</v>
      </c>
    </row>
    <row r="2489" spans="2:9" s="126" customFormat="1" ht="15" customHeight="1" x14ac:dyDescent="0.25">
      <c r="B2489" s="271" t="s">
        <v>350</v>
      </c>
      <c r="C2489" s="272" t="s">
        <v>349</v>
      </c>
      <c r="D2489" s="275" t="s">
        <v>216</v>
      </c>
      <c r="E2489" s="275">
        <v>41616.689432870371</v>
      </c>
      <c r="F2489" s="276">
        <v>1</v>
      </c>
      <c r="G2489" s="243">
        <f t="shared" si="39"/>
        <v>115</v>
      </c>
      <c r="H2489" s="244"/>
      <c r="I2489" s="71" t="e">
        <f>IF(COUNTIF((rName rData),H2489),"","Name Error!")</f>
        <v>#NAME?</v>
      </c>
    </row>
    <row r="2490" spans="2:9" s="126" customFormat="1" ht="15" customHeight="1" x14ac:dyDescent="0.25">
      <c r="B2490" s="271" t="s">
        <v>322</v>
      </c>
      <c r="C2490" s="272" t="s">
        <v>321</v>
      </c>
      <c r="D2490" s="275" t="s">
        <v>216</v>
      </c>
      <c r="E2490" s="275">
        <v>41616.727361111109</v>
      </c>
      <c r="F2490" s="276">
        <v>2</v>
      </c>
      <c r="G2490" s="243">
        <f t="shared" si="39"/>
        <v>115</v>
      </c>
      <c r="H2490" s="244"/>
      <c r="I2490" s="71" t="e">
        <f>IF(COUNTIF((rName rData),H2490),"","Name Error!")</f>
        <v>#NAME?</v>
      </c>
    </row>
    <row r="2491" spans="2:9" s="126" customFormat="1" ht="15" customHeight="1" x14ac:dyDescent="0.25">
      <c r="B2491" s="271" t="s">
        <v>365</v>
      </c>
      <c r="C2491" s="272" t="s">
        <v>364</v>
      </c>
      <c r="D2491" s="275" t="s">
        <v>216</v>
      </c>
      <c r="E2491" s="275">
        <v>41616.793252314812</v>
      </c>
      <c r="F2491" s="276">
        <v>1</v>
      </c>
      <c r="G2491" s="243">
        <f t="shared" si="39"/>
        <v>115</v>
      </c>
      <c r="H2491" s="244"/>
      <c r="I2491" s="71" t="e">
        <f>IF(COUNTIF((rName rData),H2491),"","Name Error!")</f>
        <v>#NAME?</v>
      </c>
    </row>
    <row r="2492" spans="2:9" s="126" customFormat="1" ht="15" customHeight="1" x14ac:dyDescent="0.25">
      <c r="B2492" s="271" t="s">
        <v>328</v>
      </c>
      <c r="C2492" s="272" t="s">
        <v>327</v>
      </c>
      <c r="D2492" s="275" t="s">
        <v>216</v>
      </c>
      <c r="E2492" s="275">
        <v>41616.842812499999</v>
      </c>
      <c r="F2492" s="276">
        <v>1</v>
      </c>
      <c r="G2492" s="243">
        <f t="shared" si="39"/>
        <v>115</v>
      </c>
      <c r="H2492" s="244"/>
      <c r="I2492" s="71" t="e">
        <f>IF(COUNTIF((rName rData),H2492),"","Name Error!")</f>
        <v>#NAME?</v>
      </c>
    </row>
    <row r="2493" spans="2:9" s="126" customFormat="1" ht="15" customHeight="1" x14ac:dyDescent="0.25">
      <c r="B2493" s="271" t="s">
        <v>354</v>
      </c>
      <c r="C2493" s="272" t="s">
        <v>353</v>
      </c>
      <c r="D2493" s="275" t="s">
        <v>216</v>
      </c>
      <c r="E2493" s="275">
        <v>41617.326643518521</v>
      </c>
      <c r="F2493" s="276">
        <v>2</v>
      </c>
      <c r="G2493" s="243">
        <f t="shared" si="39"/>
        <v>115</v>
      </c>
      <c r="H2493" s="244"/>
      <c r="I2493" s="71" t="e">
        <f>IF(COUNTIF((rName rData),H2493),"","Name Error!")</f>
        <v>#NAME?</v>
      </c>
    </row>
    <row r="2494" spans="2:9" s="126" customFormat="1" ht="15" customHeight="1" x14ac:dyDescent="0.25">
      <c r="B2494" s="271" t="s">
        <v>358</v>
      </c>
      <c r="C2494" s="272" t="s">
        <v>357</v>
      </c>
      <c r="D2494" s="275" t="s">
        <v>216</v>
      </c>
      <c r="E2494" s="275">
        <v>41617.378287037034</v>
      </c>
      <c r="F2494" s="276">
        <v>1</v>
      </c>
      <c r="G2494" s="243">
        <f t="shared" si="39"/>
        <v>115</v>
      </c>
      <c r="H2494" s="244"/>
      <c r="I2494" s="71" t="e">
        <f>IF(COUNTIF((rName rData),H2494),"","Name Error!")</f>
        <v>#NAME?</v>
      </c>
    </row>
    <row r="2495" spans="2:9" s="126" customFormat="1" ht="15" customHeight="1" x14ac:dyDescent="0.25">
      <c r="B2495" s="271" t="s">
        <v>350</v>
      </c>
      <c r="C2495" s="272" t="s">
        <v>349</v>
      </c>
      <c r="D2495" s="275" t="s">
        <v>216</v>
      </c>
      <c r="E2495" s="275">
        <v>41617.397337962961</v>
      </c>
      <c r="F2495" s="276">
        <v>1</v>
      </c>
      <c r="G2495" s="243">
        <f t="shared" si="39"/>
        <v>115</v>
      </c>
      <c r="H2495" s="244"/>
      <c r="I2495" s="71" t="e">
        <f>IF(COUNTIF((rName rData),H2495),"","Name Error!")</f>
        <v>#NAME?</v>
      </c>
    </row>
    <row r="2496" spans="2:9" s="126" customFormat="1" ht="15" customHeight="1" x14ac:dyDescent="0.25">
      <c r="B2496" s="271" t="s">
        <v>356</v>
      </c>
      <c r="C2496" s="272" t="s">
        <v>355</v>
      </c>
      <c r="D2496" s="275" t="s">
        <v>216</v>
      </c>
      <c r="E2496" s="275">
        <v>41617.467731481483</v>
      </c>
      <c r="F2496" s="276">
        <v>1</v>
      </c>
      <c r="G2496" s="243">
        <f t="shared" si="39"/>
        <v>115</v>
      </c>
      <c r="H2496" s="244"/>
      <c r="I2496" s="71" t="e">
        <f>IF(COUNTIF((rName rData),H2496),"","Name Error!")</f>
        <v>#NAME?</v>
      </c>
    </row>
    <row r="2497" spans="2:9" s="126" customFormat="1" ht="15" customHeight="1" x14ac:dyDescent="0.25">
      <c r="B2497" s="271" t="s">
        <v>367</v>
      </c>
      <c r="C2497" s="272" t="s">
        <v>366</v>
      </c>
      <c r="D2497" s="275" t="s">
        <v>216</v>
      </c>
      <c r="E2497" s="275">
        <v>41617.51798611111</v>
      </c>
      <c r="F2497" s="276">
        <v>1</v>
      </c>
      <c r="G2497" s="243">
        <f t="shared" si="39"/>
        <v>115</v>
      </c>
      <c r="H2497" s="244"/>
      <c r="I2497" s="71" t="e">
        <f>IF(COUNTIF((rName rData),H2497),"","Name Error!")</f>
        <v>#NAME?</v>
      </c>
    </row>
    <row r="2498" spans="2:9" s="126" customFormat="1" ht="15" customHeight="1" x14ac:dyDescent="0.25">
      <c r="B2498" s="271" t="s">
        <v>322</v>
      </c>
      <c r="C2498" s="272" t="s">
        <v>321</v>
      </c>
      <c r="D2498" s="275" t="s">
        <v>216</v>
      </c>
      <c r="E2498" s="275">
        <v>41617.829884259256</v>
      </c>
      <c r="F2498" s="276">
        <v>1</v>
      </c>
      <c r="G2498" s="243">
        <f t="shared" si="39"/>
        <v>115</v>
      </c>
      <c r="H2498" s="244"/>
      <c r="I2498" s="71" t="e">
        <f>IF(COUNTIF((rName rData),H2498),"","Name Error!")</f>
        <v>#NAME?</v>
      </c>
    </row>
    <row r="2499" spans="2:9" s="126" customFormat="1" ht="15" customHeight="1" x14ac:dyDescent="0.25">
      <c r="B2499" s="271" t="s">
        <v>341</v>
      </c>
      <c r="C2499" s="272" t="s">
        <v>340</v>
      </c>
      <c r="D2499" s="275" t="s">
        <v>216</v>
      </c>
      <c r="E2499" s="275">
        <v>41617.860706018517</v>
      </c>
      <c r="F2499" s="276">
        <v>2</v>
      </c>
      <c r="G2499" s="243">
        <f t="shared" si="39"/>
        <v>115</v>
      </c>
      <c r="H2499" s="244"/>
      <c r="I2499" s="71" t="e">
        <f>IF(COUNTIF((rName rData),H2499),"","Name Error!")</f>
        <v>#NAME?</v>
      </c>
    </row>
    <row r="2500" spans="2:9" s="126" customFormat="1" ht="15" customHeight="1" x14ac:dyDescent="0.25">
      <c r="B2500" s="271" t="s">
        <v>362</v>
      </c>
      <c r="C2500" s="272" t="s">
        <v>361</v>
      </c>
      <c r="D2500" s="275" t="s">
        <v>216</v>
      </c>
      <c r="E2500" s="275">
        <v>41617.903078703705</v>
      </c>
      <c r="F2500" s="276">
        <v>1</v>
      </c>
      <c r="G2500" s="243">
        <f t="shared" si="39"/>
        <v>115</v>
      </c>
      <c r="H2500" s="244"/>
      <c r="I2500" s="71" t="e">
        <f>IF(COUNTIF((rName rData),H2500),"","Name Error!")</f>
        <v>#NAME?</v>
      </c>
    </row>
    <row r="2501" spans="2:9" s="126" customFormat="1" ht="15" customHeight="1" x14ac:dyDescent="0.25">
      <c r="B2501" s="271" t="s">
        <v>267</v>
      </c>
      <c r="C2501" s="272" t="s">
        <v>268</v>
      </c>
      <c r="D2501" s="275" t="s">
        <v>216</v>
      </c>
      <c r="E2501" s="275">
        <v>41618.496678240743</v>
      </c>
      <c r="F2501" s="276">
        <v>2</v>
      </c>
      <c r="G2501" s="243">
        <f t="shared" si="39"/>
        <v>115</v>
      </c>
      <c r="H2501" s="244"/>
      <c r="I2501" s="71" t="e">
        <f>IF(COUNTIF((rName rData),H2501),"","Name Error!")</f>
        <v>#NAME?</v>
      </c>
    </row>
    <row r="2502" spans="2:9" s="126" customFormat="1" ht="15" customHeight="1" x14ac:dyDescent="0.25">
      <c r="B2502" s="271" t="s">
        <v>367</v>
      </c>
      <c r="C2502" s="272" t="s">
        <v>366</v>
      </c>
      <c r="D2502" s="275" t="s">
        <v>216</v>
      </c>
      <c r="E2502" s="275">
        <v>41618.935567129629</v>
      </c>
      <c r="F2502" s="276">
        <v>4</v>
      </c>
      <c r="G2502" s="243">
        <f t="shared" si="39"/>
        <v>115</v>
      </c>
      <c r="H2502" s="244"/>
      <c r="I2502" s="71" t="e">
        <f>IF(COUNTIF((rName rData),H2502),"","Name Error!")</f>
        <v>#NAME?</v>
      </c>
    </row>
    <row r="2503" spans="2:9" s="126" customFormat="1" ht="15" customHeight="1" x14ac:dyDescent="0.25">
      <c r="B2503" s="271" t="s">
        <v>367</v>
      </c>
      <c r="C2503" s="272" t="s">
        <v>366</v>
      </c>
      <c r="D2503" s="275" t="s">
        <v>216</v>
      </c>
      <c r="E2503" s="275">
        <v>41619.000347222223</v>
      </c>
      <c r="F2503" s="276">
        <v>1</v>
      </c>
      <c r="G2503" s="243">
        <f t="shared" si="39"/>
        <v>115</v>
      </c>
      <c r="H2503" s="244"/>
      <c r="I2503" s="71" t="e">
        <f>IF(COUNTIF((rName rData),H2503),"","Name Error!")</f>
        <v>#NAME?</v>
      </c>
    </row>
    <row r="2504" spans="2:9" s="126" customFormat="1" ht="15" customHeight="1" x14ac:dyDescent="0.25">
      <c r="B2504" s="271" t="s">
        <v>267</v>
      </c>
      <c r="C2504" s="272" t="s">
        <v>268</v>
      </c>
      <c r="D2504" s="275" t="s">
        <v>216</v>
      </c>
      <c r="E2504" s="275">
        <v>41619.36886574074</v>
      </c>
      <c r="F2504" s="276">
        <v>4</v>
      </c>
      <c r="G2504" s="243">
        <f t="shared" si="39"/>
        <v>115</v>
      </c>
      <c r="H2504" s="244"/>
      <c r="I2504" s="71" t="e">
        <f>IF(COUNTIF((rName rData),H2504),"","Name Error!")</f>
        <v>#NAME?</v>
      </c>
    </row>
    <row r="2505" spans="2:9" s="126" customFormat="1" ht="15" customHeight="1" x14ac:dyDescent="0.25">
      <c r="B2505" s="271" t="s">
        <v>337</v>
      </c>
      <c r="C2505" s="272" t="s">
        <v>336</v>
      </c>
      <c r="D2505" s="275" t="s">
        <v>216</v>
      </c>
      <c r="E2505" s="275">
        <v>41619.739849537036</v>
      </c>
      <c r="F2505" s="276">
        <v>1</v>
      </c>
      <c r="G2505" s="243">
        <f t="shared" si="39"/>
        <v>115</v>
      </c>
      <c r="H2505" s="244"/>
      <c r="I2505" s="71" t="e">
        <f>IF(COUNTIF((rName rData),H2505),"","Name Error!")</f>
        <v>#NAME?</v>
      </c>
    </row>
    <row r="2506" spans="2:9" s="126" customFormat="1" ht="15" customHeight="1" x14ac:dyDescent="0.25">
      <c r="B2506" s="271" t="s">
        <v>358</v>
      </c>
      <c r="C2506" s="272" t="s">
        <v>357</v>
      </c>
      <c r="D2506" s="275" t="s">
        <v>216</v>
      </c>
      <c r="E2506" s="275">
        <v>41619.835972222223</v>
      </c>
      <c r="F2506" s="276">
        <v>1</v>
      </c>
      <c r="G2506" s="243">
        <f t="shared" ref="G2506:G2569" si="40">TRUNC((E2506-start)/7)+1</f>
        <v>115</v>
      </c>
      <c r="H2506" s="244"/>
      <c r="I2506" s="71" t="e">
        <f>IF(COUNTIF((rName rData),H2506),"","Name Error!")</f>
        <v>#NAME?</v>
      </c>
    </row>
    <row r="2507" spans="2:9" s="126" customFormat="1" ht="15" customHeight="1" x14ac:dyDescent="0.25">
      <c r="B2507" s="271" t="s">
        <v>341</v>
      </c>
      <c r="C2507" s="272" t="s">
        <v>340</v>
      </c>
      <c r="D2507" s="275" t="s">
        <v>216</v>
      </c>
      <c r="E2507" s="275">
        <v>41619.944108796299</v>
      </c>
      <c r="F2507" s="276">
        <v>1</v>
      </c>
      <c r="G2507" s="243">
        <f t="shared" si="40"/>
        <v>115</v>
      </c>
      <c r="H2507" s="244"/>
      <c r="I2507" s="71" t="e">
        <f>IF(COUNTIF((rName rData),H2507),"","Name Error!")</f>
        <v>#NAME?</v>
      </c>
    </row>
    <row r="2508" spans="2:9" s="126" customFormat="1" ht="15" customHeight="1" x14ac:dyDescent="0.25">
      <c r="B2508" s="271" t="s">
        <v>324</v>
      </c>
      <c r="C2508" s="272" t="s">
        <v>323</v>
      </c>
      <c r="D2508" s="275" t="s">
        <v>216</v>
      </c>
      <c r="E2508" s="275">
        <v>41620.514374999999</v>
      </c>
      <c r="F2508" s="276">
        <v>1</v>
      </c>
      <c r="G2508" s="243">
        <f t="shared" si="40"/>
        <v>115</v>
      </c>
      <c r="H2508" s="244"/>
      <c r="I2508" s="71" t="e">
        <f>IF(COUNTIF((rName rData),H2508),"","Name Error!")</f>
        <v>#NAME?</v>
      </c>
    </row>
    <row r="2509" spans="2:9" s="126" customFormat="1" ht="15" customHeight="1" x14ac:dyDescent="0.25">
      <c r="B2509" s="271" t="s">
        <v>341</v>
      </c>
      <c r="C2509" s="272" t="s">
        <v>340</v>
      </c>
      <c r="D2509" s="275" t="s">
        <v>216</v>
      </c>
      <c r="E2509" s="275">
        <v>41620.567777777775</v>
      </c>
      <c r="F2509" s="276">
        <v>3</v>
      </c>
      <c r="G2509" s="243">
        <f t="shared" si="40"/>
        <v>115</v>
      </c>
      <c r="H2509" s="244"/>
      <c r="I2509" s="71" t="e">
        <f>IF(COUNTIF((rName rData),H2509),"","Name Error!")</f>
        <v>#NAME?</v>
      </c>
    </row>
    <row r="2510" spans="2:9" s="126" customFormat="1" ht="15" customHeight="1" x14ac:dyDescent="0.25">
      <c r="B2510" s="271" t="s">
        <v>333</v>
      </c>
      <c r="C2510" s="272" t="s">
        <v>332</v>
      </c>
      <c r="D2510" s="275" t="s">
        <v>216</v>
      </c>
      <c r="E2510" s="275">
        <v>41620.579293981478</v>
      </c>
      <c r="F2510" s="276">
        <v>1</v>
      </c>
      <c r="G2510" s="243">
        <f t="shared" si="40"/>
        <v>115</v>
      </c>
      <c r="H2510" s="244"/>
      <c r="I2510" s="71" t="e">
        <f>IF(COUNTIF((rName rData),H2510),"","Name Error!")</f>
        <v>#NAME?</v>
      </c>
    </row>
    <row r="2511" spans="2:9" s="126" customFormat="1" ht="15" customHeight="1" x14ac:dyDescent="0.25">
      <c r="B2511" s="271" t="s">
        <v>267</v>
      </c>
      <c r="C2511" s="272" t="s">
        <v>268</v>
      </c>
      <c r="D2511" s="275" t="s">
        <v>216</v>
      </c>
      <c r="E2511" s="275">
        <v>41620.660543981481</v>
      </c>
      <c r="F2511" s="276">
        <v>1</v>
      </c>
      <c r="G2511" s="243">
        <f t="shared" si="40"/>
        <v>115</v>
      </c>
      <c r="H2511" s="244"/>
      <c r="I2511" s="71" t="e">
        <f>IF(COUNTIF((rName rData),H2511),"","Name Error!")</f>
        <v>#NAME?</v>
      </c>
    </row>
    <row r="2512" spans="2:9" s="126" customFormat="1" ht="15" customHeight="1" x14ac:dyDescent="0.25">
      <c r="B2512" s="271" t="s">
        <v>322</v>
      </c>
      <c r="C2512" s="272" t="s">
        <v>321</v>
      </c>
      <c r="D2512" s="275" t="s">
        <v>216</v>
      </c>
      <c r="E2512" s="275">
        <v>41620.958553240744</v>
      </c>
      <c r="F2512" s="276">
        <v>2</v>
      </c>
      <c r="G2512" s="243">
        <f t="shared" si="40"/>
        <v>115</v>
      </c>
      <c r="H2512" s="244"/>
      <c r="I2512" s="71" t="e">
        <f>IF(COUNTIF((rName rData),H2512),"","Name Error!")</f>
        <v>#NAME?</v>
      </c>
    </row>
    <row r="2513" spans="2:9" s="126" customFormat="1" ht="15" customHeight="1" x14ac:dyDescent="0.25">
      <c r="B2513" s="271" t="s">
        <v>341</v>
      </c>
      <c r="C2513" s="272" t="s">
        <v>340</v>
      </c>
      <c r="D2513" s="275" t="s">
        <v>216</v>
      </c>
      <c r="E2513" s="275">
        <v>41621.462106481478</v>
      </c>
      <c r="F2513" s="276">
        <v>1</v>
      </c>
      <c r="G2513" s="243">
        <f t="shared" si="40"/>
        <v>115</v>
      </c>
      <c r="H2513" s="244"/>
      <c r="I2513" s="71" t="e">
        <f>IF(COUNTIF((rName rData),H2513),"","Name Error!")</f>
        <v>#NAME?</v>
      </c>
    </row>
    <row r="2514" spans="2:9" s="126" customFormat="1" ht="15" customHeight="1" x14ac:dyDescent="0.25">
      <c r="B2514" s="271" t="s">
        <v>337</v>
      </c>
      <c r="C2514" s="272" t="s">
        <v>336</v>
      </c>
      <c r="D2514" s="275" t="s">
        <v>216</v>
      </c>
      <c r="E2514" s="275">
        <v>41621.875393518516</v>
      </c>
      <c r="F2514" s="276">
        <v>4</v>
      </c>
      <c r="G2514" s="243">
        <f t="shared" si="40"/>
        <v>115</v>
      </c>
      <c r="H2514" s="244"/>
      <c r="I2514" s="71" t="e">
        <f>IF(COUNTIF((rName rData),H2514),"","Name Error!")</f>
        <v>#NAME?</v>
      </c>
    </row>
    <row r="2515" spans="2:9" s="126" customFormat="1" ht="15" customHeight="1" x14ac:dyDescent="0.25">
      <c r="B2515" s="271" t="s">
        <v>324</v>
      </c>
      <c r="C2515" s="272" t="s">
        <v>323</v>
      </c>
      <c r="D2515" s="275" t="s">
        <v>216</v>
      </c>
      <c r="E2515" s="275">
        <v>41621.881365740737</v>
      </c>
      <c r="F2515" s="276">
        <v>1</v>
      </c>
      <c r="G2515" s="243">
        <f t="shared" si="40"/>
        <v>115</v>
      </c>
      <c r="H2515" s="244"/>
      <c r="I2515" s="71" t="e">
        <f>IF(COUNTIF((rName rData),H2515),"","Name Error!")</f>
        <v>#NAME?</v>
      </c>
    </row>
    <row r="2516" spans="2:9" s="126" customFormat="1" ht="15" customHeight="1" x14ac:dyDescent="0.25">
      <c r="B2516" s="271" t="s">
        <v>350</v>
      </c>
      <c r="C2516" s="272" t="s">
        <v>349</v>
      </c>
      <c r="D2516" s="275" t="s">
        <v>216</v>
      </c>
      <c r="E2516" s="275">
        <v>41621.957060185188</v>
      </c>
      <c r="F2516" s="276">
        <v>1</v>
      </c>
      <c r="G2516" s="243">
        <f t="shared" si="40"/>
        <v>115</v>
      </c>
      <c r="H2516" s="244"/>
      <c r="I2516" s="71" t="e">
        <f>IF(COUNTIF((rName rData),H2516),"","Name Error!")</f>
        <v>#NAME?</v>
      </c>
    </row>
    <row r="2517" spans="2:9" s="126" customFormat="1" ht="15" customHeight="1" x14ac:dyDescent="0.25">
      <c r="B2517" s="271" t="s">
        <v>328</v>
      </c>
      <c r="C2517" s="272" t="s">
        <v>327</v>
      </c>
      <c r="D2517" s="275" t="s">
        <v>216</v>
      </c>
      <c r="E2517" s="275">
        <v>41621.961365740739</v>
      </c>
      <c r="F2517" s="276">
        <v>1</v>
      </c>
      <c r="G2517" s="243">
        <f t="shared" si="40"/>
        <v>115</v>
      </c>
      <c r="H2517" s="244"/>
      <c r="I2517" s="71" t="e">
        <f>IF(COUNTIF((rName rData),H2517),"","Name Error!")</f>
        <v>#NAME?</v>
      </c>
    </row>
    <row r="2518" spans="2:9" s="126" customFormat="1" ht="15" customHeight="1" x14ac:dyDescent="0.25">
      <c r="B2518" s="271" t="s">
        <v>356</v>
      </c>
      <c r="C2518" s="272" t="s">
        <v>355</v>
      </c>
      <c r="D2518" s="275" t="s">
        <v>216</v>
      </c>
      <c r="E2518" s="275">
        <v>41622.407789351855</v>
      </c>
      <c r="F2518" s="276">
        <v>1</v>
      </c>
      <c r="G2518" s="243">
        <f t="shared" si="40"/>
        <v>116</v>
      </c>
      <c r="H2518" s="244"/>
      <c r="I2518" s="71" t="e">
        <f>IF(COUNTIF((rName rData),H2518),"","Name Error!")</f>
        <v>#NAME?</v>
      </c>
    </row>
    <row r="2519" spans="2:9" s="126" customFormat="1" ht="15" customHeight="1" x14ac:dyDescent="0.25">
      <c r="B2519" s="271" t="s">
        <v>367</v>
      </c>
      <c r="C2519" s="272" t="s">
        <v>366</v>
      </c>
      <c r="D2519" s="275" t="s">
        <v>216</v>
      </c>
      <c r="E2519" s="275">
        <v>41622.416967592595</v>
      </c>
      <c r="F2519" s="276">
        <v>2</v>
      </c>
      <c r="G2519" s="243">
        <f t="shared" si="40"/>
        <v>116</v>
      </c>
      <c r="H2519" s="244"/>
      <c r="I2519" s="71" t="e">
        <f>IF(COUNTIF((rName rData),H2519),"","Name Error!")</f>
        <v>#NAME?</v>
      </c>
    </row>
    <row r="2520" spans="2:9" s="126" customFormat="1" ht="15" customHeight="1" x14ac:dyDescent="0.25">
      <c r="B2520" s="271" t="s">
        <v>267</v>
      </c>
      <c r="C2520" s="272" t="s">
        <v>268</v>
      </c>
      <c r="D2520" s="275" t="s">
        <v>216</v>
      </c>
      <c r="E2520" s="275">
        <v>41622.524398148147</v>
      </c>
      <c r="F2520" s="276">
        <v>5</v>
      </c>
      <c r="G2520" s="243">
        <f t="shared" si="40"/>
        <v>116</v>
      </c>
      <c r="H2520" s="244"/>
      <c r="I2520" s="71" t="e">
        <f>IF(COUNTIF((rName rData),H2520),"","Name Error!")</f>
        <v>#NAME?</v>
      </c>
    </row>
    <row r="2521" spans="2:9" s="126" customFormat="1" ht="15" customHeight="1" x14ac:dyDescent="0.25">
      <c r="B2521" s="271" t="s">
        <v>328</v>
      </c>
      <c r="C2521" s="272" t="s">
        <v>327</v>
      </c>
      <c r="D2521" s="275" t="s">
        <v>216</v>
      </c>
      <c r="E2521" s="275">
        <v>41622.564791666664</v>
      </c>
      <c r="F2521" s="276">
        <v>2</v>
      </c>
      <c r="G2521" s="243">
        <f t="shared" si="40"/>
        <v>116</v>
      </c>
      <c r="H2521" s="244"/>
      <c r="I2521" s="71" t="e">
        <f>IF(COUNTIF((rName rData),H2521),"","Name Error!")</f>
        <v>#NAME?</v>
      </c>
    </row>
    <row r="2522" spans="2:9" s="126" customFormat="1" ht="15" customHeight="1" x14ac:dyDescent="0.25">
      <c r="B2522" s="271" t="s">
        <v>345</v>
      </c>
      <c r="C2522" s="272" t="s">
        <v>344</v>
      </c>
      <c r="D2522" s="275" t="s">
        <v>216</v>
      </c>
      <c r="E2522" s="275">
        <v>41622.725497685184</v>
      </c>
      <c r="F2522" s="276">
        <v>2</v>
      </c>
      <c r="G2522" s="243">
        <f t="shared" si="40"/>
        <v>116</v>
      </c>
      <c r="H2522" s="244"/>
      <c r="I2522" s="71" t="e">
        <f>IF(COUNTIF((rName rData),H2522),"","Name Error!")</f>
        <v>#NAME?</v>
      </c>
    </row>
    <row r="2523" spans="2:9" s="126" customFormat="1" ht="15" customHeight="1" x14ac:dyDescent="0.25">
      <c r="B2523" s="271" t="s">
        <v>365</v>
      </c>
      <c r="C2523" s="272" t="s">
        <v>364</v>
      </c>
      <c r="D2523" s="275" t="s">
        <v>216</v>
      </c>
      <c r="E2523" s="275">
        <v>41622.753425925926</v>
      </c>
      <c r="F2523" s="276">
        <v>1</v>
      </c>
      <c r="G2523" s="243">
        <f t="shared" si="40"/>
        <v>116</v>
      </c>
      <c r="H2523" s="244"/>
      <c r="I2523" s="71" t="e">
        <f>IF(COUNTIF((rName rData),H2523),"","Name Error!")</f>
        <v>#NAME?</v>
      </c>
    </row>
    <row r="2524" spans="2:9" s="126" customFormat="1" ht="15" customHeight="1" x14ac:dyDescent="0.25">
      <c r="B2524" s="271" t="s">
        <v>371</v>
      </c>
      <c r="C2524" s="272" t="s">
        <v>370</v>
      </c>
      <c r="D2524" s="275" t="s">
        <v>216</v>
      </c>
      <c r="E2524" s="275">
        <v>41622.822569444441</v>
      </c>
      <c r="F2524" s="276">
        <v>1</v>
      </c>
      <c r="G2524" s="243">
        <f t="shared" si="40"/>
        <v>116</v>
      </c>
      <c r="H2524" s="244"/>
      <c r="I2524" s="71" t="e">
        <f>IF(COUNTIF((rName rData),H2524),"","Name Error!")</f>
        <v>#NAME?</v>
      </c>
    </row>
    <row r="2525" spans="2:9" s="126" customFormat="1" ht="15" customHeight="1" x14ac:dyDescent="0.25">
      <c r="B2525" s="271" t="s">
        <v>331</v>
      </c>
      <c r="C2525" s="272" t="s">
        <v>330</v>
      </c>
      <c r="D2525" s="275" t="s">
        <v>216</v>
      </c>
      <c r="E2525" s="275">
        <v>41622.901921296296</v>
      </c>
      <c r="F2525" s="276">
        <v>1</v>
      </c>
      <c r="G2525" s="243">
        <f t="shared" si="40"/>
        <v>116</v>
      </c>
      <c r="H2525" s="244"/>
      <c r="I2525" s="71" t="e">
        <f>IF(COUNTIF((rName rData),H2525),"","Name Error!")</f>
        <v>#NAME?</v>
      </c>
    </row>
    <row r="2526" spans="2:9" s="126" customFormat="1" ht="15" customHeight="1" x14ac:dyDescent="0.25">
      <c r="B2526" s="271" t="s">
        <v>339</v>
      </c>
      <c r="C2526" s="272" t="s">
        <v>338</v>
      </c>
      <c r="D2526" s="275" t="s">
        <v>216</v>
      </c>
      <c r="E2526" s="275">
        <v>41622.978460648148</v>
      </c>
      <c r="F2526" s="276">
        <v>1</v>
      </c>
      <c r="G2526" s="243">
        <f t="shared" si="40"/>
        <v>116</v>
      </c>
      <c r="H2526" s="244"/>
      <c r="I2526" s="71" t="e">
        <f>IF(COUNTIF((rName rData),H2526),"","Name Error!")</f>
        <v>#NAME?</v>
      </c>
    </row>
    <row r="2527" spans="2:9" s="126" customFormat="1" ht="15" customHeight="1" x14ac:dyDescent="0.25">
      <c r="B2527" s="271" t="s">
        <v>328</v>
      </c>
      <c r="C2527" s="272" t="s">
        <v>327</v>
      </c>
      <c r="D2527" s="275" t="s">
        <v>216</v>
      </c>
      <c r="E2527" s="275">
        <v>41623.137256944443</v>
      </c>
      <c r="F2527" s="276">
        <v>4</v>
      </c>
      <c r="G2527" s="243">
        <f t="shared" si="40"/>
        <v>116</v>
      </c>
      <c r="H2527" s="244"/>
      <c r="I2527" s="71" t="e">
        <f>IF(COUNTIF((rName rData),H2527),"","Name Error!")</f>
        <v>#NAME?</v>
      </c>
    </row>
    <row r="2528" spans="2:9" s="126" customFormat="1" ht="15" customHeight="1" x14ac:dyDescent="0.25">
      <c r="B2528" s="271" t="s">
        <v>367</v>
      </c>
      <c r="C2528" s="272" t="s">
        <v>366</v>
      </c>
      <c r="D2528" s="275" t="s">
        <v>216</v>
      </c>
      <c r="E2528" s="275">
        <v>41623.286539351851</v>
      </c>
      <c r="F2528" s="276">
        <v>5</v>
      </c>
      <c r="G2528" s="243">
        <f t="shared" si="40"/>
        <v>116</v>
      </c>
      <c r="H2528" s="244"/>
      <c r="I2528" s="71" t="e">
        <f>IF(COUNTIF((rName rData),H2528),"","Name Error!")</f>
        <v>#NAME?</v>
      </c>
    </row>
    <row r="2529" spans="2:9" s="126" customFormat="1" ht="15" customHeight="1" x14ac:dyDescent="0.25">
      <c r="B2529" s="271" t="s">
        <v>356</v>
      </c>
      <c r="C2529" s="272" t="s">
        <v>355</v>
      </c>
      <c r="D2529" s="275" t="s">
        <v>216</v>
      </c>
      <c r="E2529" s="275">
        <v>41623.340543981481</v>
      </c>
      <c r="F2529" s="276">
        <v>1</v>
      </c>
      <c r="G2529" s="243">
        <f t="shared" si="40"/>
        <v>116</v>
      </c>
      <c r="H2529" s="244"/>
      <c r="I2529" s="71" t="e">
        <f>IF(COUNTIF((rName rData),H2529),"","Name Error!")</f>
        <v>#NAME?</v>
      </c>
    </row>
    <row r="2530" spans="2:9" s="126" customFormat="1" ht="15" customHeight="1" x14ac:dyDescent="0.25">
      <c r="B2530" s="271" t="s">
        <v>322</v>
      </c>
      <c r="C2530" s="272" t="s">
        <v>321</v>
      </c>
      <c r="D2530" s="275" t="s">
        <v>216</v>
      </c>
      <c r="E2530" s="275">
        <v>41623.421898148146</v>
      </c>
      <c r="F2530" s="276">
        <v>4</v>
      </c>
      <c r="G2530" s="243">
        <f t="shared" si="40"/>
        <v>116</v>
      </c>
      <c r="H2530" s="244"/>
      <c r="I2530" s="71" t="e">
        <f>IF(COUNTIF((rName rData),H2530),"","Name Error!")</f>
        <v>#NAME?</v>
      </c>
    </row>
    <row r="2531" spans="2:9" s="126" customFormat="1" ht="15" customHeight="1" x14ac:dyDescent="0.25">
      <c r="B2531" s="271" t="s">
        <v>354</v>
      </c>
      <c r="C2531" s="272" t="s">
        <v>353</v>
      </c>
      <c r="D2531" s="275" t="s">
        <v>216</v>
      </c>
      <c r="E2531" s="275">
        <v>41623.435381944444</v>
      </c>
      <c r="F2531" s="276">
        <v>1</v>
      </c>
      <c r="G2531" s="243">
        <f t="shared" si="40"/>
        <v>116</v>
      </c>
      <c r="H2531" s="244"/>
      <c r="I2531" s="71" t="e">
        <f>IF(COUNTIF((rName rData),H2531),"","Name Error!")</f>
        <v>#NAME?</v>
      </c>
    </row>
    <row r="2532" spans="2:9" s="126" customFormat="1" ht="15" customHeight="1" x14ac:dyDescent="0.25">
      <c r="B2532" s="271" t="s">
        <v>337</v>
      </c>
      <c r="C2532" s="272" t="s">
        <v>336</v>
      </c>
      <c r="D2532" s="275" t="s">
        <v>216</v>
      </c>
      <c r="E2532" s="275">
        <v>41623.450578703705</v>
      </c>
      <c r="F2532" s="276">
        <v>3</v>
      </c>
      <c r="G2532" s="243">
        <f t="shared" si="40"/>
        <v>116</v>
      </c>
      <c r="H2532" s="244"/>
      <c r="I2532" s="71" t="e">
        <f>IF(COUNTIF((rName rData),H2532),"","Name Error!")</f>
        <v>#NAME?</v>
      </c>
    </row>
    <row r="2533" spans="2:9" s="126" customFormat="1" ht="15" customHeight="1" x14ac:dyDescent="0.25">
      <c r="B2533" s="271" t="s">
        <v>267</v>
      </c>
      <c r="C2533" s="272" t="s">
        <v>268</v>
      </c>
      <c r="D2533" s="275" t="s">
        <v>216</v>
      </c>
      <c r="E2533" s="275">
        <v>41623.457511574074</v>
      </c>
      <c r="F2533" s="276">
        <v>6</v>
      </c>
      <c r="G2533" s="243">
        <f t="shared" si="40"/>
        <v>116</v>
      </c>
      <c r="H2533" s="244"/>
      <c r="I2533" s="71" t="e">
        <f>IF(COUNTIF((rName rData),H2533),"","Name Error!")</f>
        <v>#NAME?</v>
      </c>
    </row>
    <row r="2534" spans="2:9" s="126" customFormat="1" ht="15" customHeight="1" x14ac:dyDescent="0.25">
      <c r="B2534" s="271" t="s">
        <v>333</v>
      </c>
      <c r="C2534" s="272" t="s">
        <v>332</v>
      </c>
      <c r="D2534" s="275" t="s">
        <v>216</v>
      </c>
      <c r="E2534" s="275">
        <v>41623.53052083333</v>
      </c>
      <c r="F2534" s="276">
        <v>1</v>
      </c>
      <c r="G2534" s="243">
        <f t="shared" si="40"/>
        <v>116</v>
      </c>
      <c r="H2534" s="244"/>
      <c r="I2534" s="71" t="e">
        <f>IF(COUNTIF((rName rData),H2534),"","Name Error!")</f>
        <v>#NAME?</v>
      </c>
    </row>
    <row r="2535" spans="2:9" s="126" customFormat="1" ht="15" customHeight="1" x14ac:dyDescent="0.25">
      <c r="B2535" s="271" t="s">
        <v>358</v>
      </c>
      <c r="C2535" s="272" t="s">
        <v>357</v>
      </c>
      <c r="D2535" s="275" t="s">
        <v>216</v>
      </c>
      <c r="E2535" s="275">
        <v>41623.591446759259</v>
      </c>
      <c r="F2535" s="276">
        <v>4</v>
      </c>
      <c r="G2535" s="243">
        <f t="shared" si="40"/>
        <v>116</v>
      </c>
      <c r="H2535" s="244"/>
      <c r="I2535" s="71" t="e">
        <f>IF(COUNTIF((rName rData),H2535),"","Name Error!")</f>
        <v>#NAME?</v>
      </c>
    </row>
    <row r="2536" spans="2:9" s="126" customFormat="1" ht="15" customHeight="1" x14ac:dyDescent="0.25">
      <c r="B2536" s="271" t="s">
        <v>362</v>
      </c>
      <c r="C2536" s="272" t="s">
        <v>361</v>
      </c>
      <c r="D2536" s="275" t="s">
        <v>216</v>
      </c>
      <c r="E2536" s="275">
        <v>41623.613819444443</v>
      </c>
      <c r="F2536" s="276">
        <v>2</v>
      </c>
      <c r="G2536" s="243">
        <f t="shared" si="40"/>
        <v>116</v>
      </c>
      <c r="H2536" s="244"/>
      <c r="I2536" s="71" t="e">
        <f>IF(COUNTIF((rName rData),H2536),"","Name Error!")</f>
        <v>#NAME?</v>
      </c>
    </row>
    <row r="2537" spans="2:9" s="126" customFormat="1" ht="15" customHeight="1" x14ac:dyDescent="0.25">
      <c r="B2537" s="271" t="s">
        <v>279</v>
      </c>
      <c r="C2537" s="272" t="s">
        <v>280</v>
      </c>
      <c r="D2537" s="275" t="s">
        <v>216</v>
      </c>
      <c r="E2537" s="275">
        <v>41623.709502314814</v>
      </c>
      <c r="F2537" s="276">
        <v>1</v>
      </c>
      <c r="G2537" s="243">
        <f t="shared" si="40"/>
        <v>116</v>
      </c>
      <c r="H2537" s="244"/>
      <c r="I2537" s="71" t="e">
        <f>IF(COUNTIF((rName rData),H2537),"","Name Error!")</f>
        <v>#NAME?</v>
      </c>
    </row>
    <row r="2538" spans="2:9" s="126" customFormat="1" ht="15" customHeight="1" x14ac:dyDescent="0.25">
      <c r="B2538" s="271" t="s">
        <v>324</v>
      </c>
      <c r="C2538" s="272" t="s">
        <v>323</v>
      </c>
      <c r="D2538" s="275" t="s">
        <v>216</v>
      </c>
      <c r="E2538" s="275">
        <v>41623.731574074074</v>
      </c>
      <c r="F2538" s="276">
        <v>1</v>
      </c>
      <c r="G2538" s="243">
        <f t="shared" si="40"/>
        <v>116</v>
      </c>
      <c r="H2538" s="244"/>
      <c r="I2538" s="71" t="e">
        <f>IF(COUNTIF((rName rData),H2538),"","Name Error!")</f>
        <v>#NAME?</v>
      </c>
    </row>
    <row r="2539" spans="2:9" s="126" customFormat="1" ht="15" customHeight="1" x14ac:dyDescent="0.25">
      <c r="B2539" s="271" t="s">
        <v>331</v>
      </c>
      <c r="C2539" s="272" t="s">
        <v>330</v>
      </c>
      <c r="D2539" s="275" t="s">
        <v>216</v>
      </c>
      <c r="E2539" s="275">
        <v>41623.794629629629</v>
      </c>
      <c r="F2539" s="276">
        <v>1</v>
      </c>
      <c r="G2539" s="243">
        <f t="shared" si="40"/>
        <v>116</v>
      </c>
      <c r="H2539" s="244"/>
      <c r="I2539" s="71" t="e">
        <f>IF(COUNTIF((rName rData),H2539),"","Name Error!")</f>
        <v>#NAME?</v>
      </c>
    </row>
    <row r="2540" spans="2:9" s="126" customFormat="1" ht="15" customHeight="1" x14ac:dyDescent="0.25">
      <c r="B2540" s="271" t="s">
        <v>341</v>
      </c>
      <c r="C2540" s="272" t="s">
        <v>340</v>
      </c>
      <c r="D2540" s="275" t="s">
        <v>216</v>
      </c>
      <c r="E2540" s="275">
        <v>41623.827546296299</v>
      </c>
      <c r="F2540" s="276">
        <v>1</v>
      </c>
      <c r="G2540" s="243">
        <f t="shared" si="40"/>
        <v>116</v>
      </c>
      <c r="H2540" s="244"/>
      <c r="I2540" s="71" t="e">
        <f>IF(COUNTIF((rName rData),H2540),"","Name Error!")</f>
        <v>#NAME?</v>
      </c>
    </row>
    <row r="2541" spans="2:9" s="126" customFormat="1" ht="15" customHeight="1" x14ac:dyDescent="0.25">
      <c r="B2541" s="271" t="s">
        <v>365</v>
      </c>
      <c r="C2541" s="272" t="s">
        <v>364</v>
      </c>
      <c r="D2541" s="275" t="s">
        <v>216</v>
      </c>
      <c r="E2541" s="275">
        <v>41623.846550925926</v>
      </c>
      <c r="F2541" s="276">
        <v>1</v>
      </c>
      <c r="G2541" s="243">
        <f t="shared" si="40"/>
        <v>116</v>
      </c>
      <c r="H2541" s="244"/>
      <c r="I2541" s="71" t="e">
        <f>IF(COUNTIF((rName rData),H2541),"","Name Error!")</f>
        <v>#NAME?</v>
      </c>
    </row>
    <row r="2542" spans="2:9" s="126" customFormat="1" ht="15" customHeight="1" x14ac:dyDescent="0.25">
      <c r="B2542" s="271" t="s">
        <v>331</v>
      </c>
      <c r="C2542" s="272" t="s">
        <v>330</v>
      </c>
      <c r="D2542" s="275" t="s">
        <v>216</v>
      </c>
      <c r="E2542" s="275">
        <v>41624.136817129627</v>
      </c>
      <c r="F2542" s="276">
        <v>2</v>
      </c>
      <c r="G2542" s="243">
        <f t="shared" si="40"/>
        <v>116</v>
      </c>
      <c r="H2542" s="244"/>
      <c r="I2542" s="71" t="e">
        <f>IF(COUNTIF((rName rData),H2542),"","Name Error!")</f>
        <v>#NAME?</v>
      </c>
    </row>
    <row r="2543" spans="2:9" s="126" customFormat="1" ht="15" customHeight="1" x14ac:dyDescent="0.25">
      <c r="B2543" s="271" t="s">
        <v>358</v>
      </c>
      <c r="C2543" s="272" t="s">
        <v>357</v>
      </c>
      <c r="D2543" s="275" t="s">
        <v>216</v>
      </c>
      <c r="E2543" s="275">
        <v>41624.307812500003</v>
      </c>
      <c r="F2543" s="276">
        <v>1</v>
      </c>
      <c r="G2543" s="243">
        <f t="shared" si="40"/>
        <v>116</v>
      </c>
      <c r="H2543" s="244"/>
      <c r="I2543" s="71" t="e">
        <f>IF(COUNTIF((rName rData),H2543),"","Name Error!")</f>
        <v>#NAME?</v>
      </c>
    </row>
    <row r="2544" spans="2:9" s="126" customFormat="1" ht="15" customHeight="1" x14ac:dyDescent="0.25">
      <c r="B2544" s="271" t="s">
        <v>279</v>
      </c>
      <c r="C2544" s="272" t="s">
        <v>280</v>
      </c>
      <c r="D2544" s="275" t="s">
        <v>216</v>
      </c>
      <c r="E2544" s="275">
        <v>41624.62190972222</v>
      </c>
      <c r="F2544" s="276">
        <v>2</v>
      </c>
      <c r="G2544" s="243">
        <f t="shared" si="40"/>
        <v>116</v>
      </c>
      <c r="H2544" s="244"/>
      <c r="I2544" s="71" t="e">
        <f>IF(COUNTIF((rName rData),H2544),"","Name Error!")</f>
        <v>#NAME?</v>
      </c>
    </row>
    <row r="2545" spans="2:9" s="126" customFormat="1" ht="15" customHeight="1" x14ac:dyDescent="0.25">
      <c r="B2545" s="271" t="s">
        <v>337</v>
      </c>
      <c r="C2545" s="272" t="s">
        <v>336</v>
      </c>
      <c r="D2545" s="275" t="s">
        <v>216</v>
      </c>
      <c r="E2545" s="275">
        <v>41624.695752314816</v>
      </c>
      <c r="F2545" s="276">
        <v>1</v>
      </c>
      <c r="G2545" s="243">
        <f t="shared" si="40"/>
        <v>116</v>
      </c>
      <c r="H2545" s="244"/>
      <c r="I2545" s="71" t="e">
        <f>IF(COUNTIF((rName rData),H2545),"","Name Error!")</f>
        <v>#NAME?</v>
      </c>
    </row>
    <row r="2546" spans="2:9" s="126" customFormat="1" ht="15" customHeight="1" x14ac:dyDescent="0.25">
      <c r="B2546" s="271" t="s">
        <v>322</v>
      </c>
      <c r="C2546" s="272" t="s">
        <v>321</v>
      </c>
      <c r="D2546" s="275" t="s">
        <v>216</v>
      </c>
      <c r="E2546" s="275">
        <v>41624.835949074077</v>
      </c>
      <c r="F2546" s="276">
        <v>1</v>
      </c>
      <c r="G2546" s="243">
        <f t="shared" si="40"/>
        <v>116</v>
      </c>
      <c r="H2546" s="244"/>
      <c r="I2546" s="71" t="e">
        <f>IF(COUNTIF((rName rData),H2546),"","Name Error!")</f>
        <v>#NAME?</v>
      </c>
    </row>
    <row r="2547" spans="2:9" s="126" customFormat="1" ht="15" customHeight="1" x14ac:dyDescent="0.25">
      <c r="B2547" s="271" t="s">
        <v>335</v>
      </c>
      <c r="C2547" s="272" t="s">
        <v>334</v>
      </c>
      <c r="D2547" s="275" t="s">
        <v>216</v>
      </c>
      <c r="E2547" s="275">
        <v>41624.858715277776</v>
      </c>
      <c r="F2547" s="276">
        <v>1</v>
      </c>
      <c r="G2547" s="243">
        <f t="shared" si="40"/>
        <v>116</v>
      </c>
      <c r="H2547" s="244"/>
      <c r="I2547" s="71" t="e">
        <f>IF(COUNTIF((rName rData),H2547),"","Name Error!")</f>
        <v>#NAME?</v>
      </c>
    </row>
    <row r="2548" spans="2:9" s="126" customFormat="1" ht="15" customHeight="1" x14ac:dyDescent="0.25">
      <c r="B2548" s="271" t="s">
        <v>339</v>
      </c>
      <c r="C2548" s="272" t="s">
        <v>338</v>
      </c>
      <c r="D2548" s="275" t="s">
        <v>216</v>
      </c>
      <c r="E2548" s="275">
        <v>41624.879664351851</v>
      </c>
      <c r="F2548" s="276">
        <v>2</v>
      </c>
      <c r="G2548" s="243">
        <f t="shared" si="40"/>
        <v>116</v>
      </c>
      <c r="H2548" s="244"/>
      <c r="I2548" s="71" t="e">
        <f>IF(COUNTIF((rName rData),H2548),"","Name Error!")</f>
        <v>#NAME?</v>
      </c>
    </row>
    <row r="2549" spans="2:9" s="126" customFormat="1" ht="15" customHeight="1" x14ac:dyDescent="0.25">
      <c r="B2549" s="271" t="s">
        <v>350</v>
      </c>
      <c r="C2549" s="272" t="s">
        <v>349</v>
      </c>
      <c r="D2549" s="275" t="s">
        <v>216</v>
      </c>
      <c r="E2549" s="275">
        <v>41624.948159722226</v>
      </c>
      <c r="F2549" s="276">
        <v>1</v>
      </c>
      <c r="G2549" s="243">
        <f t="shared" si="40"/>
        <v>116</v>
      </c>
      <c r="H2549" s="244"/>
      <c r="I2549" s="71" t="e">
        <f>IF(COUNTIF((rName rData),H2549),"","Name Error!")</f>
        <v>#NAME?</v>
      </c>
    </row>
    <row r="2550" spans="2:9" s="126" customFormat="1" ht="15" customHeight="1" x14ac:dyDescent="0.25">
      <c r="B2550" s="271" t="s">
        <v>362</v>
      </c>
      <c r="C2550" s="272" t="s">
        <v>361</v>
      </c>
      <c r="D2550" s="275" t="s">
        <v>216</v>
      </c>
      <c r="E2550" s="275">
        <v>41625.107824074075</v>
      </c>
      <c r="F2550" s="276">
        <v>1</v>
      </c>
      <c r="G2550" s="243">
        <f t="shared" si="40"/>
        <v>116</v>
      </c>
      <c r="H2550" s="244"/>
      <c r="I2550" s="71" t="e">
        <f>IF(COUNTIF((rName rData),H2550),"","Name Error!")</f>
        <v>#NAME?</v>
      </c>
    </row>
    <row r="2551" spans="2:9" s="126" customFormat="1" ht="15" customHeight="1" x14ac:dyDescent="0.25">
      <c r="B2551" s="271" t="s">
        <v>367</v>
      </c>
      <c r="C2551" s="272" t="s">
        <v>366</v>
      </c>
      <c r="D2551" s="275" t="s">
        <v>216</v>
      </c>
      <c r="E2551" s="275">
        <v>41625.11917824074</v>
      </c>
      <c r="F2551" s="276">
        <v>2</v>
      </c>
      <c r="G2551" s="243">
        <f t="shared" si="40"/>
        <v>116</v>
      </c>
      <c r="H2551" s="244"/>
      <c r="I2551" s="71" t="e">
        <f>IF(COUNTIF((rName rData),H2551),"","Name Error!")</f>
        <v>#NAME?</v>
      </c>
    </row>
    <row r="2552" spans="2:9" s="126" customFormat="1" ht="15" customHeight="1" x14ac:dyDescent="0.25">
      <c r="B2552" s="271" t="s">
        <v>352</v>
      </c>
      <c r="C2552" s="272" t="s">
        <v>351</v>
      </c>
      <c r="D2552" s="275" t="s">
        <v>216</v>
      </c>
      <c r="E2552" s="275">
        <v>41625.827581018515</v>
      </c>
      <c r="F2552" s="276">
        <v>1</v>
      </c>
      <c r="G2552" s="243">
        <f t="shared" si="40"/>
        <v>116</v>
      </c>
      <c r="H2552" s="244"/>
      <c r="I2552" s="71" t="e">
        <f>IF(COUNTIF((rName rData),H2552),"","Name Error!")</f>
        <v>#NAME?</v>
      </c>
    </row>
    <row r="2553" spans="2:9" s="126" customFormat="1" ht="15" customHeight="1" x14ac:dyDescent="0.25">
      <c r="B2553" s="271" t="s">
        <v>358</v>
      </c>
      <c r="C2553" s="272" t="s">
        <v>357</v>
      </c>
      <c r="D2553" s="275" t="s">
        <v>216</v>
      </c>
      <c r="E2553" s="275">
        <v>41625.92523148148</v>
      </c>
      <c r="F2553" s="276">
        <v>1</v>
      </c>
      <c r="G2553" s="243">
        <f t="shared" si="40"/>
        <v>116</v>
      </c>
      <c r="H2553" s="244"/>
      <c r="I2553" s="71" t="e">
        <f>IF(COUNTIF((rName rData),H2553),"","Name Error!")</f>
        <v>#NAME?</v>
      </c>
    </row>
    <row r="2554" spans="2:9" s="126" customFormat="1" ht="15" customHeight="1" x14ac:dyDescent="0.25">
      <c r="B2554" s="271" t="s">
        <v>341</v>
      </c>
      <c r="C2554" s="272" t="s">
        <v>340</v>
      </c>
      <c r="D2554" s="275" t="s">
        <v>216</v>
      </c>
      <c r="E2554" s="275">
        <v>41626.746006944442</v>
      </c>
      <c r="F2554" s="276">
        <v>1</v>
      </c>
      <c r="G2554" s="243">
        <f t="shared" si="40"/>
        <v>116</v>
      </c>
      <c r="H2554" s="244"/>
      <c r="I2554" s="71" t="e">
        <f>IF(COUNTIF((rName rData),H2554),"","Name Error!")</f>
        <v>#NAME?</v>
      </c>
    </row>
    <row r="2555" spans="2:9" s="126" customFormat="1" ht="15" customHeight="1" x14ac:dyDescent="0.25">
      <c r="B2555" s="271" t="s">
        <v>267</v>
      </c>
      <c r="C2555" s="272" t="s">
        <v>268</v>
      </c>
      <c r="D2555" s="275" t="s">
        <v>216</v>
      </c>
      <c r="E2555" s="275">
        <v>41626.750636574077</v>
      </c>
      <c r="F2555" s="276">
        <v>1</v>
      </c>
      <c r="G2555" s="243">
        <f t="shared" si="40"/>
        <v>116</v>
      </c>
      <c r="H2555" s="244"/>
      <c r="I2555" s="71" t="e">
        <f>IF(COUNTIF((rName rData),H2555),"","Name Error!")</f>
        <v>#NAME?</v>
      </c>
    </row>
    <row r="2556" spans="2:9" s="126" customFormat="1" ht="15" customHeight="1" x14ac:dyDescent="0.25">
      <c r="B2556" s="271" t="s">
        <v>358</v>
      </c>
      <c r="C2556" s="272" t="s">
        <v>357</v>
      </c>
      <c r="D2556" s="275" t="s">
        <v>216</v>
      </c>
      <c r="E2556" s="275">
        <v>41626.775787037041</v>
      </c>
      <c r="F2556" s="276">
        <v>2</v>
      </c>
      <c r="G2556" s="243">
        <f t="shared" si="40"/>
        <v>116</v>
      </c>
      <c r="H2556" s="244"/>
      <c r="I2556" s="71" t="e">
        <f>IF(COUNTIF((rName rData),H2556),"","Name Error!")</f>
        <v>#NAME?</v>
      </c>
    </row>
    <row r="2557" spans="2:9" s="126" customFormat="1" ht="15" customHeight="1" x14ac:dyDescent="0.25">
      <c r="B2557" s="271" t="s">
        <v>337</v>
      </c>
      <c r="C2557" s="272" t="s">
        <v>336</v>
      </c>
      <c r="D2557" s="275" t="s">
        <v>216</v>
      </c>
      <c r="E2557" s="275">
        <v>41626.864224537036</v>
      </c>
      <c r="F2557" s="276">
        <v>1</v>
      </c>
      <c r="G2557" s="243">
        <f t="shared" si="40"/>
        <v>116</v>
      </c>
      <c r="H2557" s="244"/>
      <c r="I2557" s="71" t="e">
        <f>IF(COUNTIF((rName rData),H2557),"","Name Error!")</f>
        <v>#NAME?</v>
      </c>
    </row>
    <row r="2558" spans="2:9" s="126" customFormat="1" ht="15" customHeight="1" x14ac:dyDescent="0.25">
      <c r="B2558" s="271" t="s">
        <v>339</v>
      </c>
      <c r="C2558" s="272" t="s">
        <v>338</v>
      </c>
      <c r="D2558" s="275" t="s">
        <v>216</v>
      </c>
      <c r="E2558" s="275">
        <v>41627.031828703701</v>
      </c>
      <c r="F2558" s="276">
        <v>2</v>
      </c>
      <c r="G2558" s="243">
        <f t="shared" si="40"/>
        <v>116</v>
      </c>
      <c r="H2558" s="244"/>
      <c r="I2558" s="71" t="e">
        <f>IF(COUNTIF((rName rData),H2558),"","Name Error!")</f>
        <v>#NAME?</v>
      </c>
    </row>
    <row r="2559" spans="2:9" s="126" customFormat="1" ht="15" customHeight="1" x14ac:dyDescent="0.25">
      <c r="B2559" s="271" t="s">
        <v>367</v>
      </c>
      <c r="C2559" s="272" t="s">
        <v>366</v>
      </c>
      <c r="D2559" s="275" t="s">
        <v>216</v>
      </c>
      <c r="E2559" s="275">
        <v>41627.254224537035</v>
      </c>
      <c r="F2559" s="276">
        <v>1</v>
      </c>
      <c r="G2559" s="243">
        <f t="shared" si="40"/>
        <v>116</v>
      </c>
      <c r="H2559" s="244"/>
      <c r="I2559" s="71" t="e">
        <f>IF(COUNTIF((rName rData),H2559),"","Name Error!")</f>
        <v>#NAME?</v>
      </c>
    </row>
    <row r="2560" spans="2:9" s="126" customFormat="1" ht="15" customHeight="1" x14ac:dyDescent="0.25">
      <c r="B2560" s="271" t="s">
        <v>279</v>
      </c>
      <c r="C2560" s="272" t="s">
        <v>280</v>
      </c>
      <c r="D2560" s="275" t="s">
        <v>216</v>
      </c>
      <c r="E2560" s="275">
        <v>41627.637106481481</v>
      </c>
      <c r="F2560" s="276">
        <v>1</v>
      </c>
      <c r="G2560" s="243">
        <f t="shared" si="40"/>
        <v>116</v>
      </c>
      <c r="H2560" s="244"/>
      <c r="I2560" s="71" t="e">
        <f>IF(COUNTIF((rName rData),H2560),"","Name Error!")</f>
        <v>#NAME?</v>
      </c>
    </row>
    <row r="2561" spans="2:9" s="126" customFormat="1" ht="15" customHeight="1" x14ac:dyDescent="0.25">
      <c r="B2561" s="271" t="s">
        <v>371</v>
      </c>
      <c r="C2561" s="272" t="s">
        <v>370</v>
      </c>
      <c r="D2561" s="275" t="s">
        <v>216</v>
      </c>
      <c r="E2561" s="275">
        <v>41627.732534722221</v>
      </c>
      <c r="F2561" s="276">
        <v>2</v>
      </c>
      <c r="G2561" s="243">
        <f t="shared" si="40"/>
        <v>116</v>
      </c>
      <c r="H2561" s="244"/>
      <c r="I2561" s="71" t="e">
        <f>IF(COUNTIF((rName rData),H2561),"","Name Error!")</f>
        <v>#NAME?</v>
      </c>
    </row>
    <row r="2562" spans="2:9" s="126" customFormat="1" ht="15" customHeight="1" x14ac:dyDescent="0.25">
      <c r="B2562" s="271" t="s">
        <v>354</v>
      </c>
      <c r="C2562" s="272" t="s">
        <v>353</v>
      </c>
      <c r="D2562" s="275" t="s">
        <v>216</v>
      </c>
      <c r="E2562" s="275">
        <v>41627.795601851853</v>
      </c>
      <c r="F2562" s="276">
        <v>1</v>
      </c>
      <c r="G2562" s="243">
        <f t="shared" si="40"/>
        <v>116</v>
      </c>
      <c r="H2562" s="244"/>
      <c r="I2562" s="71" t="e">
        <f>IF(COUNTIF((rName rData),H2562),"","Name Error!")</f>
        <v>#NAME?</v>
      </c>
    </row>
    <row r="2563" spans="2:9" s="126" customFormat="1" ht="15" customHeight="1" x14ac:dyDescent="0.25">
      <c r="B2563" s="271" t="s">
        <v>333</v>
      </c>
      <c r="C2563" s="272" t="s">
        <v>332</v>
      </c>
      <c r="D2563" s="275" t="s">
        <v>216</v>
      </c>
      <c r="E2563" s="275">
        <v>41628.500034722223</v>
      </c>
      <c r="F2563" s="276">
        <v>4</v>
      </c>
      <c r="G2563" s="243">
        <f t="shared" si="40"/>
        <v>116</v>
      </c>
      <c r="H2563" s="244"/>
      <c r="I2563" s="71" t="e">
        <f>IF(COUNTIF((rName rData),H2563),"","Name Error!")</f>
        <v>#NAME?</v>
      </c>
    </row>
    <row r="2564" spans="2:9" s="126" customFormat="1" ht="15" customHeight="1" x14ac:dyDescent="0.25">
      <c r="B2564" s="271" t="s">
        <v>371</v>
      </c>
      <c r="C2564" s="272" t="s">
        <v>370</v>
      </c>
      <c r="D2564" s="275" t="s">
        <v>216</v>
      </c>
      <c r="E2564" s="275">
        <v>41628.626493055555</v>
      </c>
      <c r="F2564" s="276">
        <v>1</v>
      </c>
      <c r="G2564" s="243">
        <f t="shared" si="40"/>
        <v>116</v>
      </c>
      <c r="H2564" s="244"/>
      <c r="I2564" s="71" t="e">
        <f>IF(COUNTIF((rName rData),H2564),"","Name Error!")</f>
        <v>#NAME?</v>
      </c>
    </row>
    <row r="2565" spans="2:9" s="126" customFormat="1" ht="15" customHeight="1" x14ac:dyDescent="0.25">
      <c r="B2565" s="271" t="s">
        <v>354</v>
      </c>
      <c r="C2565" s="272" t="s">
        <v>353</v>
      </c>
      <c r="D2565" s="275" t="s">
        <v>216</v>
      </c>
      <c r="E2565" s="275">
        <v>41628.649328703701</v>
      </c>
      <c r="F2565" s="276">
        <v>1</v>
      </c>
      <c r="G2565" s="243">
        <f t="shared" si="40"/>
        <v>116</v>
      </c>
      <c r="H2565" s="244"/>
      <c r="I2565" s="71" t="e">
        <f>IF(COUNTIF((rName rData),H2565),"","Name Error!")</f>
        <v>#NAME?</v>
      </c>
    </row>
    <row r="2566" spans="2:9" s="126" customFormat="1" ht="15" customHeight="1" x14ac:dyDescent="0.25">
      <c r="B2566" s="271" t="s">
        <v>341</v>
      </c>
      <c r="C2566" s="272" t="s">
        <v>340</v>
      </c>
      <c r="D2566" s="275" t="s">
        <v>216</v>
      </c>
      <c r="E2566" s="275">
        <v>41628.837384259263</v>
      </c>
      <c r="F2566" s="276">
        <v>1</v>
      </c>
      <c r="G2566" s="243">
        <f t="shared" si="40"/>
        <v>116</v>
      </c>
      <c r="H2566" s="244"/>
      <c r="I2566" s="71" t="e">
        <f>IF(COUNTIF((rName rData),H2566),"","Name Error!")</f>
        <v>#NAME?</v>
      </c>
    </row>
    <row r="2567" spans="2:9" s="126" customFormat="1" ht="15" customHeight="1" x14ac:dyDescent="0.25">
      <c r="B2567" s="271" t="s">
        <v>365</v>
      </c>
      <c r="C2567" s="272" t="s">
        <v>364</v>
      </c>
      <c r="D2567" s="275" t="s">
        <v>216</v>
      </c>
      <c r="E2567" s="275">
        <v>41628.980324074073</v>
      </c>
      <c r="F2567" s="276">
        <v>1</v>
      </c>
      <c r="G2567" s="243">
        <f t="shared" si="40"/>
        <v>116</v>
      </c>
      <c r="H2567" s="244"/>
      <c r="I2567" s="71" t="e">
        <f>IF(COUNTIF((rName rData),H2567),"","Name Error!")</f>
        <v>#NAME?</v>
      </c>
    </row>
    <row r="2568" spans="2:9" s="126" customFormat="1" ht="15" customHeight="1" x14ac:dyDescent="0.25">
      <c r="B2568" s="271" t="s">
        <v>337</v>
      </c>
      <c r="C2568" s="272" t="s">
        <v>336</v>
      </c>
      <c r="D2568" s="275" t="s">
        <v>216</v>
      </c>
      <c r="E2568" s="275">
        <v>41629.01358796296</v>
      </c>
      <c r="F2568" s="276">
        <v>1</v>
      </c>
      <c r="G2568" s="243">
        <f t="shared" si="40"/>
        <v>117</v>
      </c>
      <c r="H2568" s="244"/>
      <c r="I2568" s="71" t="e">
        <f>IF(COUNTIF((rName rData),H2568),"","Name Error!")</f>
        <v>#NAME?</v>
      </c>
    </row>
    <row r="2569" spans="2:9" s="126" customFormat="1" ht="15" customHeight="1" x14ac:dyDescent="0.25">
      <c r="B2569" s="271" t="s">
        <v>328</v>
      </c>
      <c r="C2569" s="272" t="s">
        <v>327</v>
      </c>
      <c r="D2569" s="275" t="s">
        <v>216</v>
      </c>
      <c r="E2569" s="275">
        <v>41629.067499999997</v>
      </c>
      <c r="F2569" s="276">
        <v>3</v>
      </c>
      <c r="G2569" s="243">
        <f t="shared" si="40"/>
        <v>117</v>
      </c>
      <c r="H2569" s="244"/>
      <c r="I2569" s="71" t="e">
        <f>IF(COUNTIF((rName rData),H2569),"","Name Error!")</f>
        <v>#NAME?</v>
      </c>
    </row>
    <row r="2570" spans="2:9" s="126" customFormat="1" ht="15" customHeight="1" x14ac:dyDescent="0.25">
      <c r="B2570" s="271" t="s">
        <v>267</v>
      </c>
      <c r="C2570" s="272" t="s">
        <v>268</v>
      </c>
      <c r="D2570" s="275" t="s">
        <v>216</v>
      </c>
      <c r="E2570" s="275">
        <v>41629.374421296299</v>
      </c>
      <c r="F2570" s="276">
        <v>5</v>
      </c>
      <c r="G2570" s="243">
        <f t="shared" ref="G2570:G2633" si="41">TRUNC((E2570-start)/7)+1</f>
        <v>117</v>
      </c>
      <c r="H2570" s="244"/>
      <c r="I2570" s="71" t="e">
        <f>IF(COUNTIF((rName rData),H2570),"","Name Error!")</f>
        <v>#NAME?</v>
      </c>
    </row>
    <row r="2571" spans="2:9" s="126" customFormat="1" ht="15" customHeight="1" x14ac:dyDescent="0.25">
      <c r="B2571" s="271" t="s">
        <v>339</v>
      </c>
      <c r="C2571" s="272" t="s">
        <v>338</v>
      </c>
      <c r="D2571" s="275" t="s">
        <v>216</v>
      </c>
      <c r="E2571" s="275">
        <v>41629.454699074071</v>
      </c>
      <c r="F2571" s="276">
        <v>1</v>
      </c>
      <c r="G2571" s="243">
        <f t="shared" si="41"/>
        <v>117</v>
      </c>
      <c r="H2571" s="244"/>
      <c r="I2571" s="71" t="e">
        <f>IF(COUNTIF((rName rData),H2571),"","Name Error!")</f>
        <v>#NAME?</v>
      </c>
    </row>
    <row r="2572" spans="2:9" s="126" customFormat="1" ht="15" customHeight="1" x14ac:dyDescent="0.25">
      <c r="B2572" s="271" t="s">
        <v>371</v>
      </c>
      <c r="C2572" s="272" t="s">
        <v>370</v>
      </c>
      <c r="D2572" s="275" t="s">
        <v>216</v>
      </c>
      <c r="E2572" s="275">
        <v>41629.498611111114</v>
      </c>
      <c r="F2572" s="276">
        <v>2</v>
      </c>
      <c r="G2572" s="243">
        <f t="shared" si="41"/>
        <v>117</v>
      </c>
      <c r="H2572" s="244"/>
      <c r="I2572" s="71" t="e">
        <f>IF(COUNTIF((rName rData),H2572),"","Name Error!")</f>
        <v>#NAME?</v>
      </c>
    </row>
    <row r="2573" spans="2:9" s="126" customFormat="1" ht="15" customHeight="1" x14ac:dyDescent="0.25">
      <c r="B2573" s="271" t="s">
        <v>362</v>
      </c>
      <c r="C2573" s="272" t="s">
        <v>361</v>
      </c>
      <c r="D2573" s="275" t="s">
        <v>216</v>
      </c>
      <c r="E2573" s="275">
        <v>41629.585856481484</v>
      </c>
      <c r="F2573" s="276">
        <v>1</v>
      </c>
      <c r="G2573" s="243">
        <f t="shared" si="41"/>
        <v>117</v>
      </c>
      <c r="H2573" s="244"/>
      <c r="I2573" s="71" t="e">
        <f>IF(COUNTIF((rName rData),H2573),"","Name Error!")</f>
        <v>#NAME?</v>
      </c>
    </row>
    <row r="2574" spans="2:9" s="126" customFormat="1" ht="15" customHeight="1" x14ac:dyDescent="0.25">
      <c r="B2574" s="271" t="s">
        <v>350</v>
      </c>
      <c r="C2574" s="272" t="s">
        <v>349</v>
      </c>
      <c r="D2574" s="275" t="s">
        <v>216</v>
      </c>
      <c r="E2574" s="275">
        <v>41629.667916666665</v>
      </c>
      <c r="F2574" s="276">
        <v>1</v>
      </c>
      <c r="G2574" s="243">
        <f t="shared" si="41"/>
        <v>117</v>
      </c>
      <c r="H2574" s="244"/>
      <c r="I2574" s="71" t="e">
        <f>IF(COUNTIF((rName rData),H2574),"","Name Error!")</f>
        <v>#NAME?</v>
      </c>
    </row>
    <row r="2575" spans="2:9" s="126" customFormat="1" ht="15" customHeight="1" x14ac:dyDescent="0.25">
      <c r="B2575" s="271" t="s">
        <v>356</v>
      </c>
      <c r="C2575" s="272" t="s">
        <v>355</v>
      </c>
      <c r="D2575" s="275" t="s">
        <v>216</v>
      </c>
      <c r="E2575" s="275">
        <v>41629.868101851855</v>
      </c>
      <c r="F2575" s="276">
        <v>1</v>
      </c>
      <c r="G2575" s="243">
        <f t="shared" si="41"/>
        <v>117</v>
      </c>
      <c r="H2575" s="244"/>
      <c r="I2575" s="71" t="e">
        <f>IF(COUNTIF((rName rData),H2575),"","Name Error!")</f>
        <v>#NAME?</v>
      </c>
    </row>
    <row r="2576" spans="2:9" s="126" customFormat="1" ht="15" customHeight="1" x14ac:dyDescent="0.25">
      <c r="B2576" s="271" t="s">
        <v>367</v>
      </c>
      <c r="C2576" s="272" t="s">
        <v>366</v>
      </c>
      <c r="D2576" s="275" t="s">
        <v>216</v>
      </c>
      <c r="E2576" s="275">
        <v>41629.880428240744</v>
      </c>
      <c r="F2576" s="276">
        <v>1</v>
      </c>
      <c r="G2576" s="243">
        <f t="shared" si="41"/>
        <v>117</v>
      </c>
      <c r="H2576" s="244"/>
      <c r="I2576" s="71" t="e">
        <f>IF(COUNTIF((rName rData),H2576),"","Name Error!")</f>
        <v>#NAME?</v>
      </c>
    </row>
    <row r="2577" spans="2:9" s="126" customFormat="1" ht="15" customHeight="1" x14ac:dyDescent="0.25">
      <c r="B2577" s="271" t="s">
        <v>365</v>
      </c>
      <c r="C2577" s="272" t="s">
        <v>364</v>
      </c>
      <c r="D2577" s="275" t="s">
        <v>216</v>
      </c>
      <c r="E2577" s="275">
        <v>41629.909930555557</v>
      </c>
      <c r="F2577" s="276">
        <v>1</v>
      </c>
      <c r="G2577" s="243">
        <f t="shared" si="41"/>
        <v>117</v>
      </c>
      <c r="H2577" s="244"/>
      <c r="I2577" s="71" t="e">
        <f>IF(COUNTIF((rName rData),H2577),"","Name Error!")</f>
        <v>#NAME?</v>
      </c>
    </row>
    <row r="2578" spans="2:9" s="126" customFormat="1" ht="15" customHeight="1" x14ac:dyDescent="0.25">
      <c r="B2578" s="271" t="s">
        <v>324</v>
      </c>
      <c r="C2578" s="272" t="s">
        <v>323</v>
      </c>
      <c r="D2578" s="275" t="s">
        <v>216</v>
      </c>
      <c r="E2578" s="275">
        <v>41629.933472222219</v>
      </c>
      <c r="F2578" s="276">
        <v>1</v>
      </c>
      <c r="G2578" s="243">
        <f t="shared" si="41"/>
        <v>117</v>
      </c>
      <c r="H2578" s="244"/>
      <c r="I2578" s="71" t="e">
        <f>IF(COUNTIF((rName rData),H2578),"","Name Error!")</f>
        <v>#NAME?</v>
      </c>
    </row>
    <row r="2579" spans="2:9" s="126" customFormat="1" ht="15" customHeight="1" x14ac:dyDescent="0.25">
      <c r="B2579" s="271" t="s">
        <v>341</v>
      </c>
      <c r="C2579" s="272" t="s">
        <v>340</v>
      </c>
      <c r="D2579" s="275" t="s">
        <v>216</v>
      </c>
      <c r="E2579" s="275">
        <v>41629.964722222219</v>
      </c>
      <c r="F2579" s="276">
        <v>1</v>
      </c>
      <c r="G2579" s="243">
        <f t="shared" si="41"/>
        <v>117</v>
      </c>
      <c r="H2579" s="244"/>
      <c r="I2579" s="71" t="e">
        <f>IF(COUNTIF((rName rData),H2579),"","Name Error!")</f>
        <v>#NAME?</v>
      </c>
    </row>
    <row r="2580" spans="2:9" s="126" customFormat="1" ht="15" customHeight="1" x14ac:dyDescent="0.25">
      <c r="B2580" s="271" t="s">
        <v>322</v>
      </c>
      <c r="C2580" s="272" t="s">
        <v>321</v>
      </c>
      <c r="D2580" s="275" t="s">
        <v>216</v>
      </c>
      <c r="E2580" s="275">
        <v>41630.01871527778</v>
      </c>
      <c r="F2580" s="276">
        <v>3</v>
      </c>
      <c r="G2580" s="243">
        <f t="shared" si="41"/>
        <v>117</v>
      </c>
      <c r="H2580" s="244"/>
      <c r="I2580" s="71" t="e">
        <f>IF(COUNTIF((rName rData),H2580),"","Name Error!")</f>
        <v>#NAME?</v>
      </c>
    </row>
    <row r="2581" spans="2:9" s="126" customFormat="1" ht="15" customHeight="1" x14ac:dyDescent="0.25">
      <c r="B2581" s="271" t="s">
        <v>367</v>
      </c>
      <c r="C2581" s="272" t="s">
        <v>366</v>
      </c>
      <c r="D2581" s="275" t="s">
        <v>216</v>
      </c>
      <c r="E2581" s="275">
        <v>41630.028020833335</v>
      </c>
      <c r="F2581" s="276">
        <v>2</v>
      </c>
      <c r="G2581" s="243">
        <f t="shared" si="41"/>
        <v>117</v>
      </c>
      <c r="H2581" s="244"/>
      <c r="I2581" s="71" t="e">
        <f>IF(COUNTIF((rName rData),H2581),"","Name Error!")</f>
        <v>#NAME?</v>
      </c>
    </row>
    <row r="2582" spans="2:9" s="126" customFormat="1" ht="15" customHeight="1" x14ac:dyDescent="0.25">
      <c r="B2582" s="271" t="s">
        <v>328</v>
      </c>
      <c r="C2582" s="272" t="s">
        <v>327</v>
      </c>
      <c r="D2582" s="275" t="s">
        <v>216</v>
      </c>
      <c r="E2582" s="275">
        <v>41630.056030092594</v>
      </c>
      <c r="F2582" s="276">
        <v>3</v>
      </c>
      <c r="G2582" s="243">
        <f t="shared" si="41"/>
        <v>117</v>
      </c>
      <c r="H2582" s="244"/>
      <c r="I2582" s="71" t="e">
        <f>IF(COUNTIF((rName rData),H2582),"","Name Error!")</f>
        <v>#NAME?</v>
      </c>
    </row>
    <row r="2583" spans="2:9" s="126" customFormat="1" ht="15" customHeight="1" x14ac:dyDescent="0.25">
      <c r="B2583" s="271" t="s">
        <v>356</v>
      </c>
      <c r="C2583" s="272" t="s">
        <v>355</v>
      </c>
      <c r="D2583" s="275" t="s">
        <v>216</v>
      </c>
      <c r="E2583" s="275">
        <v>41630.461157407408</v>
      </c>
      <c r="F2583" s="276">
        <v>3</v>
      </c>
      <c r="G2583" s="243">
        <f t="shared" si="41"/>
        <v>117</v>
      </c>
      <c r="H2583" s="244"/>
      <c r="I2583" s="71" t="e">
        <f>IF(COUNTIF((rName rData),H2583),"","Name Error!")</f>
        <v>#NAME?</v>
      </c>
    </row>
    <row r="2584" spans="2:9" s="126" customFormat="1" ht="15" customHeight="1" x14ac:dyDescent="0.25">
      <c r="B2584" s="271" t="s">
        <v>354</v>
      </c>
      <c r="C2584" s="272" t="s">
        <v>353</v>
      </c>
      <c r="D2584" s="275" t="s">
        <v>216</v>
      </c>
      <c r="E2584" s="275">
        <v>41630.535844907405</v>
      </c>
      <c r="F2584" s="276">
        <v>2</v>
      </c>
      <c r="G2584" s="243">
        <f t="shared" si="41"/>
        <v>117</v>
      </c>
      <c r="H2584" s="244"/>
      <c r="I2584" s="71" t="e">
        <f>IF(COUNTIF((rName rData),H2584),"","Name Error!")</f>
        <v>#NAME?</v>
      </c>
    </row>
    <row r="2585" spans="2:9" s="126" customFormat="1" ht="15" customHeight="1" x14ac:dyDescent="0.25">
      <c r="B2585" s="271" t="s">
        <v>362</v>
      </c>
      <c r="C2585" s="272" t="s">
        <v>361</v>
      </c>
      <c r="D2585" s="275" t="s">
        <v>216</v>
      </c>
      <c r="E2585" s="275">
        <v>41630.544988425929</v>
      </c>
      <c r="F2585" s="276">
        <v>1</v>
      </c>
      <c r="G2585" s="243">
        <f t="shared" si="41"/>
        <v>117</v>
      </c>
      <c r="H2585" s="244"/>
      <c r="I2585" s="71" t="e">
        <f>IF(COUNTIF((rName rData),H2585),"","Name Error!")</f>
        <v>#NAME?</v>
      </c>
    </row>
    <row r="2586" spans="2:9" s="126" customFormat="1" ht="15" customHeight="1" x14ac:dyDescent="0.25">
      <c r="B2586" s="271" t="s">
        <v>324</v>
      </c>
      <c r="C2586" s="272" t="s">
        <v>323</v>
      </c>
      <c r="D2586" s="275" t="s">
        <v>216</v>
      </c>
      <c r="E2586" s="275">
        <v>41630.556157407409</v>
      </c>
      <c r="F2586" s="276">
        <v>1</v>
      </c>
      <c r="G2586" s="243">
        <f t="shared" si="41"/>
        <v>117</v>
      </c>
      <c r="H2586" s="244"/>
      <c r="I2586" s="71" t="e">
        <f>IF(COUNTIF((rName rData),H2586),"","Name Error!")</f>
        <v>#NAME?</v>
      </c>
    </row>
    <row r="2587" spans="2:9" s="126" customFormat="1" ht="15" customHeight="1" x14ac:dyDescent="0.25">
      <c r="B2587" s="271" t="s">
        <v>345</v>
      </c>
      <c r="C2587" s="272" t="s">
        <v>344</v>
      </c>
      <c r="D2587" s="275" t="s">
        <v>216</v>
      </c>
      <c r="E2587" s="275">
        <v>41630.577418981484</v>
      </c>
      <c r="F2587" s="276">
        <v>1</v>
      </c>
      <c r="G2587" s="243">
        <f t="shared" si="41"/>
        <v>117</v>
      </c>
      <c r="H2587" s="244"/>
      <c r="I2587" s="71" t="e">
        <f>IF(COUNTIF((rName rData),H2587),"","Name Error!")</f>
        <v>#NAME?</v>
      </c>
    </row>
    <row r="2588" spans="2:9" s="126" customFormat="1" ht="15" customHeight="1" x14ac:dyDescent="0.25">
      <c r="B2588" s="271" t="s">
        <v>267</v>
      </c>
      <c r="C2588" s="272" t="s">
        <v>268</v>
      </c>
      <c r="D2588" s="275" t="s">
        <v>216</v>
      </c>
      <c r="E2588" s="275">
        <v>41630.59238425926</v>
      </c>
      <c r="F2588" s="276">
        <v>1</v>
      </c>
      <c r="G2588" s="243">
        <f t="shared" si="41"/>
        <v>117</v>
      </c>
      <c r="H2588" s="244"/>
      <c r="I2588" s="71" t="e">
        <f>IF(COUNTIF((rName rData),H2588),"","Name Error!")</f>
        <v>#NAME?</v>
      </c>
    </row>
    <row r="2589" spans="2:9" s="126" customFormat="1" ht="15" customHeight="1" x14ac:dyDescent="0.25">
      <c r="B2589" s="271" t="s">
        <v>358</v>
      </c>
      <c r="C2589" s="272" t="s">
        <v>357</v>
      </c>
      <c r="D2589" s="275" t="s">
        <v>216</v>
      </c>
      <c r="E2589" s="275">
        <v>41630.656574074077</v>
      </c>
      <c r="F2589" s="276">
        <v>2</v>
      </c>
      <c r="G2589" s="243">
        <f t="shared" si="41"/>
        <v>117</v>
      </c>
      <c r="H2589" s="244"/>
      <c r="I2589" s="71" t="e">
        <f>IF(COUNTIF((rName rData),H2589),"","Name Error!")</f>
        <v>#NAME?</v>
      </c>
    </row>
    <row r="2590" spans="2:9" s="126" customFormat="1" ht="15" customHeight="1" x14ac:dyDescent="0.25">
      <c r="B2590" s="271" t="s">
        <v>339</v>
      </c>
      <c r="C2590" s="272" t="s">
        <v>338</v>
      </c>
      <c r="D2590" s="275" t="s">
        <v>216</v>
      </c>
      <c r="E2590" s="275">
        <v>41630.657962962963</v>
      </c>
      <c r="F2590" s="276">
        <v>1</v>
      </c>
      <c r="G2590" s="243">
        <f t="shared" si="41"/>
        <v>117</v>
      </c>
      <c r="H2590" s="244"/>
      <c r="I2590" s="71" t="e">
        <f>IF(COUNTIF((rName rData),H2590),"","Name Error!")</f>
        <v>#NAME?</v>
      </c>
    </row>
    <row r="2591" spans="2:9" s="126" customFormat="1" ht="15" customHeight="1" x14ac:dyDescent="0.25">
      <c r="B2591" s="271" t="s">
        <v>333</v>
      </c>
      <c r="C2591" s="272" t="s">
        <v>332</v>
      </c>
      <c r="D2591" s="275" t="s">
        <v>216</v>
      </c>
      <c r="E2591" s="275">
        <v>41630.725995370369</v>
      </c>
      <c r="F2591" s="276">
        <v>4</v>
      </c>
      <c r="G2591" s="243">
        <f t="shared" si="41"/>
        <v>117</v>
      </c>
      <c r="H2591" s="244"/>
      <c r="I2591" s="71" t="e">
        <f>IF(COUNTIF((rName rData),H2591),"","Name Error!")</f>
        <v>#NAME?</v>
      </c>
    </row>
    <row r="2592" spans="2:9" s="126" customFormat="1" ht="15" customHeight="1" x14ac:dyDescent="0.25">
      <c r="B2592" s="271" t="s">
        <v>335</v>
      </c>
      <c r="C2592" s="272" t="s">
        <v>334</v>
      </c>
      <c r="D2592" s="275" t="s">
        <v>216</v>
      </c>
      <c r="E2592" s="275">
        <v>41630.735520833332</v>
      </c>
      <c r="F2592" s="276">
        <v>3</v>
      </c>
      <c r="G2592" s="243">
        <f t="shared" si="41"/>
        <v>117</v>
      </c>
      <c r="H2592" s="244"/>
      <c r="I2592" s="71" t="e">
        <f>IF(COUNTIF((rName rData),H2592),"","Name Error!")</f>
        <v>#NAME?</v>
      </c>
    </row>
    <row r="2593" spans="2:9" s="126" customFormat="1" ht="15" customHeight="1" x14ac:dyDescent="0.25">
      <c r="B2593" s="271" t="s">
        <v>341</v>
      </c>
      <c r="C2593" s="272" t="s">
        <v>340</v>
      </c>
      <c r="D2593" s="275" t="s">
        <v>216</v>
      </c>
      <c r="E2593" s="275">
        <v>41630.750775462962</v>
      </c>
      <c r="F2593" s="276">
        <v>2</v>
      </c>
      <c r="G2593" s="243">
        <f t="shared" si="41"/>
        <v>117</v>
      </c>
      <c r="H2593" s="244"/>
      <c r="I2593" s="71" t="e">
        <f>IF(COUNTIF((rName rData),H2593),"","Name Error!")</f>
        <v>#NAME?</v>
      </c>
    </row>
    <row r="2594" spans="2:9" s="126" customFormat="1" ht="15" customHeight="1" x14ac:dyDescent="0.25">
      <c r="B2594" s="271" t="s">
        <v>337</v>
      </c>
      <c r="C2594" s="272" t="s">
        <v>336</v>
      </c>
      <c r="D2594" s="275" t="s">
        <v>216</v>
      </c>
      <c r="E2594" s="275">
        <v>41630.769537037035</v>
      </c>
      <c r="F2594" s="276">
        <v>1</v>
      </c>
      <c r="G2594" s="243">
        <f t="shared" si="41"/>
        <v>117</v>
      </c>
      <c r="H2594" s="244"/>
      <c r="I2594" s="71" t="e">
        <f>IF(COUNTIF((rName rData),H2594),"","Name Error!")</f>
        <v>#NAME?</v>
      </c>
    </row>
    <row r="2595" spans="2:9" s="126" customFormat="1" ht="15" customHeight="1" x14ac:dyDescent="0.25">
      <c r="B2595" s="271" t="s">
        <v>331</v>
      </c>
      <c r="C2595" s="272" t="s">
        <v>330</v>
      </c>
      <c r="D2595" s="275" t="s">
        <v>216</v>
      </c>
      <c r="E2595" s="275">
        <v>41630.834131944444</v>
      </c>
      <c r="F2595" s="276">
        <v>1</v>
      </c>
      <c r="G2595" s="243">
        <f t="shared" si="41"/>
        <v>117</v>
      </c>
      <c r="H2595" s="244"/>
      <c r="I2595" s="71" t="e">
        <f>IF(COUNTIF((rName rData),H2595),"","Name Error!")</f>
        <v>#NAME?</v>
      </c>
    </row>
    <row r="2596" spans="2:9" s="126" customFormat="1" ht="15" customHeight="1" x14ac:dyDescent="0.25">
      <c r="B2596" s="271" t="s">
        <v>352</v>
      </c>
      <c r="C2596" s="272" t="s">
        <v>351</v>
      </c>
      <c r="D2596" s="275" t="s">
        <v>216</v>
      </c>
      <c r="E2596" s="275">
        <v>41631.340833333335</v>
      </c>
      <c r="F2596" s="276">
        <v>3</v>
      </c>
      <c r="G2596" s="243">
        <f t="shared" si="41"/>
        <v>117</v>
      </c>
      <c r="H2596" s="244"/>
      <c r="I2596" s="71" t="e">
        <f>IF(COUNTIF((rName rData),H2596),"","Name Error!")</f>
        <v>#NAME?</v>
      </c>
    </row>
    <row r="2597" spans="2:9" s="126" customFormat="1" ht="15" customHeight="1" x14ac:dyDescent="0.25">
      <c r="B2597" s="271" t="s">
        <v>335</v>
      </c>
      <c r="C2597" s="272" t="s">
        <v>334</v>
      </c>
      <c r="D2597" s="275" t="s">
        <v>216</v>
      </c>
      <c r="E2597" s="275">
        <v>41631.505555555559</v>
      </c>
      <c r="F2597" s="276">
        <v>2</v>
      </c>
      <c r="G2597" s="243">
        <f t="shared" si="41"/>
        <v>117</v>
      </c>
      <c r="H2597" s="244"/>
      <c r="I2597" s="71" t="e">
        <f>IF(COUNTIF((rName rData),H2597),"","Name Error!")</f>
        <v>#NAME?</v>
      </c>
    </row>
    <row r="2598" spans="2:9" s="126" customFormat="1" ht="15" customHeight="1" x14ac:dyDescent="0.25">
      <c r="B2598" s="271" t="s">
        <v>337</v>
      </c>
      <c r="C2598" s="272" t="s">
        <v>336</v>
      </c>
      <c r="D2598" s="275" t="s">
        <v>216</v>
      </c>
      <c r="E2598" s="275">
        <v>41631.602071759262</v>
      </c>
      <c r="F2598" s="276">
        <v>1</v>
      </c>
      <c r="G2598" s="243">
        <f t="shared" si="41"/>
        <v>117</v>
      </c>
      <c r="H2598" s="244"/>
      <c r="I2598" s="71" t="e">
        <f>IF(COUNTIF((rName rData),H2598),"","Name Error!")</f>
        <v>#NAME?</v>
      </c>
    </row>
    <row r="2599" spans="2:9" s="126" customFormat="1" ht="15" customHeight="1" x14ac:dyDescent="0.25">
      <c r="B2599" s="271" t="s">
        <v>354</v>
      </c>
      <c r="C2599" s="272" t="s">
        <v>353</v>
      </c>
      <c r="D2599" s="275" t="s">
        <v>216</v>
      </c>
      <c r="E2599" s="275">
        <v>41631.608206018522</v>
      </c>
      <c r="F2599" s="276">
        <v>2</v>
      </c>
      <c r="G2599" s="243">
        <f t="shared" si="41"/>
        <v>117</v>
      </c>
      <c r="H2599" s="244"/>
      <c r="I2599" s="71" t="e">
        <f>IF(COUNTIF((rName rData),H2599),"","Name Error!")</f>
        <v>#NAME?</v>
      </c>
    </row>
    <row r="2600" spans="2:9" s="126" customFormat="1" ht="15" customHeight="1" x14ac:dyDescent="0.25">
      <c r="B2600" s="271" t="s">
        <v>371</v>
      </c>
      <c r="C2600" s="272" t="s">
        <v>370</v>
      </c>
      <c r="D2600" s="275" t="s">
        <v>216</v>
      </c>
      <c r="E2600" s="275">
        <v>41631.811851851853</v>
      </c>
      <c r="F2600" s="276">
        <v>1</v>
      </c>
      <c r="G2600" s="243">
        <f t="shared" si="41"/>
        <v>117</v>
      </c>
      <c r="H2600" s="244"/>
      <c r="I2600" s="71" t="e">
        <f>IF(COUNTIF((rName rData),H2600),"","Name Error!")</f>
        <v>#NAME?</v>
      </c>
    </row>
    <row r="2601" spans="2:9" s="126" customFormat="1" ht="15" customHeight="1" x14ac:dyDescent="0.25">
      <c r="B2601" s="271" t="s">
        <v>354</v>
      </c>
      <c r="C2601" s="272" t="s">
        <v>353</v>
      </c>
      <c r="D2601" s="275" t="s">
        <v>216</v>
      </c>
      <c r="E2601" s="275">
        <v>41632.34233796296</v>
      </c>
      <c r="F2601" s="276">
        <v>2</v>
      </c>
      <c r="G2601" s="243">
        <f t="shared" si="41"/>
        <v>117</v>
      </c>
      <c r="H2601" s="244"/>
      <c r="I2601" s="71" t="e">
        <f>IF(COUNTIF((rName rData),H2601),"","Name Error!")</f>
        <v>#NAME?</v>
      </c>
    </row>
    <row r="2602" spans="2:9" s="126" customFormat="1" ht="15" customHeight="1" x14ac:dyDescent="0.25">
      <c r="B2602" s="271" t="s">
        <v>352</v>
      </c>
      <c r="C2602" s="272" t="s">
        <v>351</v>
      </c>
      <c r="D2602" s="275" t="s">
        <v>216</v>
      </c>
      <c r="E2602" s="275">
        <v>41632.37872685185</v>
      </c>
      <c r="F2602" s="276">
        <v>1</v>
      </c>
      <c r="G2602" s="243">
        <f t="shared" si="41"/>
        <v>117</v>
      </c>
      <c r="H2602" s="244"/>
      <c r="I2602" s="71" t="e">
        <f>IF(COUNTIF((rName rData),H2602),"","Name Error!")</f>
        <v>#NAME?</v>
      </c>
    </row>
    <row r="2603" spans="2:9" s="126" customFormat="1" ht="15" customHeight="1" x14ac:dyDescent="0.25">
      <c r="B2603" s="271" t="s">
        <v>345</v>
      </c>
      <c r="C2603" s="272" t="s">
        <v>344</v>
      </c>
      <c r="D2603" s="275" t="s">
        <v>216</v>
      </c>
      <c r="E2603" s="275">
        <v>41632.446979166663</v>
      </c>
      <c r="F2603" s="276">
        <v>5</v>
      </c>
      <c r="G2603" s="243">
        <f t="shared" si="41"/>
        <v>117</v>
      </c>
      <c r="H2603" s="244"/>
      <c r="I2603" s="71" t="e">
        <f>IF(COUNTIF((rName rData),H2603),"","Name Error!")</f>
        <v>#NAME?</v>
      </c>
    </row>
    <row r="2604" spans="2:9" s="126" customFormat="1" ht="15" customHeight="1" x14ac:dyDescent="0.25">
      <c r="B2604" s="271" t="s">
        <v>350</v>
      </c>
      <c r="C2604" s="272" t="s">
        <v>349</v>
      </c>
      <c r="D2604" s="275" t="s">
        <v>216</v>
      </c>
      <c r="E2604" s="275">
        <v>41632.606064814812</v>
      </c>
      <c r="F2604" s="276">
        <v>2</v>
      </c>
      <c r="G2604" s="243">
        <f t="shared" si="41"/>
        <v>117</v>
      </c>
      <c r="H2604" s="244"/>
      <c r="I2604" s="71" t="e">
        <f>IF(COUNTIF((rName rData),H2604),"","Name Error!")</f>
        <v>#NAME?</v>
      </c>
    </row>
    <row r="2605" spans="2:9" s="126" customFormat="1" ht="15" customHeight="1" x14ac:dyDescent="0.25">
      <c r="B2605" s="271" t="s">
        <v>356</v>
      </c>
      <c r="C2605" s="272" t="s">
        <v>355</v>
      </c>
      <c r="D2605" s="275" t="s">
        <v>216</v>
      </c>
      <c r="E2605" s="275">
        <v>41632.698958333334</v>
      </c>
      <c r="F2605" s="276">
        <v>3</v>
      </c>
      <c r="G2605" s="243">
        <f t="shared" si="41"/>
        <v>117</v>
      </c>
      <c r="H2605" s="244"/>
      <c r="I2605" s="71" t="e">
        <f>IF(COUNTIF((rName rData),H2605),"","Name Error!")</f>
        <v>#NAME?</v>
      </c>
    </row>
    <row r="2606" spans="2:9" s="126" customFormat="1" ht="15" customHeight="1" x14ac:dyDescent="0.25">
      <c r="B2606" s="271" t="s">
        <v>358</v>
      </c>
      <c r="C2606" s="272" t="s">
        <v>357</v>
      </c>
      <c r="D2606" s="275" t="s">
        <v>216</v>
      </c>
      <c r="E2606" s="275">
        <v>41632.848240740743</v>
      </c>
      <c r="F2606" s="276">
        <v>2</v>
      </c>
      <c r="G2606" s="243">
        <f t="shared" si="41"/>
        <v>117</v>
      </c>
      <c r="H2606" s="244"/>
      <c r="I2606" s="71" t="e">
        <f>IF(COUNTIF((rName rData),H2606),"","Name Error!")</f>
        <v>#NAME?</v>
      </c>
    </row>
    <row r="2607" spans="2:9" s="126" customFormat="1" ht="15" customHeight="1" x14ac:dyDescent="0.25">
      <c r="B2607" s="271" t="s">
        <v>354</v>
      </c>
      <c r="C2607" s="272" t="s">
        <v>353</v>
      </c>
      <c r="D2607" s="275" t="s">
        <v>216</v>
      </c>
      <c r="E2607" s="275">
        <v>41633.466284722221</v>
      </c>
      <c r="F2607" s="276">
        <v>1</v>
      </c>
      <c r="G2607" s="243">
        <f t="shared" si="41"/>
        <v>117</v>
      </c>
      <c r="H2607" s="244"/>
      <c r="I2607" s="71" t="e">
        <f>IF(COUNTIF((rName rData),H2607),"","Name Error!")</f>
        <v>#NAME?</v>
      </c>
    </row>
    <row r="2608" spans="2:9" s="126" customFormat="1" ht="15" customHeight="1" x14ac:dyDescent="0.25">
      <c r="B2608" s="271" t="s">
        <v>358</v>
      </c>
      <c r="C2608" s="272" t="s">
        <v>357</v>
      </c>
      <c r="D2608" s="275" t="s">
        <v>216</v>
      </c>
      <c r="E2608" s="275">
        <v>41633.510578703703</v>
      </c>
      <c r="F2608" s="276">
        <v>2</v>
      </c>
      <c r="G2608" s="243">
        <f t="shared" si="41"/>
        <v>117</v>
      </c>
      <c r="H2608" s="244"/>
      <c r="I2608" s="71" t="e">
        <f>IF(COUNTIF((rName rData),H2608),"","Name Error!")</f>
        <v>#NAME?</v>
      </c>
    </row>
    <row r="2609" spans="2:9" s="126" customFormat="1" ht="15" customHeight="1" x14ac:dyDescent="0.25">
      <c r="B2609" s="271" t="s">
        <v>341</v>
      </c>
      <c r="C2609" s="272" t="s">
        <v>340</v>
      </c>
      <c r="D2609" s="275" t="s">
        <v>216</v>
      </c>
      <c r="E2609" s="275">
        <v>41633.542685185188</v>
      </c>
      <c r="F2609" s="276">
        <v>3</v>
      </c>
      <c r="G2609" s="243">
        <f t="shared" si="41"/>
        <v>117</v>
      </c>
      <c r="H2609" s="244"/>
      <c r="I2609" s="71" t="e">
        <f>IF(COUNTIF((rName rData),H2609),"","Name Error!")</f>
        <v>#NAME?</v>
      </c>
    </row>
    <row r="2610" spans="2:9" s="126" customFormat="1" ht="15" customHeight="1" x14ac:dyDescent="0.25">
      <c r="B2610" s="271" t="s">
        <v>333</v>
      </c>
      <c r="C2610" s="272" t="s">
        <v>332</v>
      </c>
      <c r="D2610" s="275" t="s">
        <v>216</v>
      </c>
      <c r="E2610" s="275">
        <v>41633.757569444446</v>
      </c>
      <c r="F2610" s="276">
        <v>1</v>
      </c>
      <c r="G2610" s="243">
        <f t="shared" si="41"/>
        <v>117</v>
      </c>
      <c r="H2610" s="244"/>
      <c r="I2610" s="71" t="e">
        <f>IF(COUNTIF((rName rData),H2610),"","Name Error!")</f>
        <v>#NAME?</v>
      </c>
    </row>
    <row r="2611" spans="2:9" s="126" customFormat="1" ht="15" customHeight="1" x14ac:dyDescent="0.25">
      <c r="B2611" s="271" t="s">
        <v>365</v>
      </c>
      <c r="C2611" s="272" t="s">
        <v>364</v>
      </c>
      <c r="D2611" s="275" t="s">
        <v>216</v>
      </c>
      <c r="E2611" s="275">
        <v>41633.820590277777</v>
      </c>
      <c r="F2611" s="276">
        <v>1</v>
      </c>
      <c r="G2611" s="243">
        <f t="shared" si="41"/>
        <v>117</v>
      </c>
      <c r="H2611" s="244"/>
      <c r="I2611" s="71" t="e">
        <f>IF(COUNTIF((rName rData),H2611),"","Name Error!")</f>
        <v>#NAME?</v>
      </c>
    </row>
    <row r="2612" spans="2:9" s="126" customFormat="1" ht="15" customHeight="1" x14ac:dyDescent="0.25">
      <c r="B2612" s="271" t="s">
        <v>367</v>
      </c>
      <c r="C2612" s="272" t="s">
        <v>366</v>
      </c>
      <c r="D2612" s="275" t="s">
        <v>216</v>
      </c>
      <c r="E2612" s="275">
        <v>41634.144849537035</v>
      </c>
      <c r="F2612" s="276">
        <v>4</v>
      </c>
      <c r="G2612" s="243">
        <f t="shared" si="41"/>
        <v>117</v>
      </c>
      <c r="H2612" s="244"/>
      <c r="I2612" s="71" t="e">
        <f>IF(COUNTIF((rName rData),H2612),"","Name Error!")</f>
        <v>#NAME?</v>
      </c>
    </row>
    <row r="2613" spans="2:9" s="126" customFormat="1" ht="15" customHeight="1" x14ac:dyDescent="0.25">
      <c r="B2613" s="271" t="s">
        <v>333</v>
      </c>
      <c r="C2613" s="272" t="s">
        <v>332</v>
      </c>
      <c r="D2613" s="275" t="s">
        <v>216</v>
      </c>
      <c r="E2613" s="275">
        <v>41634.607951388891</v>
      </c>
      <c r="F2613" s="276">
        <v>5</v>
      </c>
      <c r="G2613" s="243">
        <f t="shared" si="41"/>
        <v>117</v>
      </c>
      <c r="H2613" s="244"/>
      <c r="I2613" s="71" t="e">
        <f>IF(COUNTIF((rName rData),H2613),"","Name Error!")</f>
        <v>#NAME?</v>
      </c>
    </row>
    <row r="2614" spans="2:9" s="126" customFormat="1" ht="15" customHeight="1" x14ac:dyDescent="0.25">
      <c r="B2614" s="271" t="s">
        <v>337</v>
      </c>
      <c r="C2614" s="272" t="s">
        <v>336</v>
      </c>
      <c r="D2614" s="275" t="s">
        <v>216</v>
      </c>
      <c r="E2614" s="275">
        <v>41634.628321759257</v>
      </c>
      <c r="F2614" s="276">
        <v>1</v>
      </c>
      <c r="G2614" s="243">
        <f t="shared" si="41"/>
        <v>117</v>
      </c>
      <c r="H2614" s="244"/>
      <c r="I2614" s="71" t="e">
        <f>IF(COUNTIF((rName rData),H2614),"","Name Error!")</f>
        <v>#NAME?</v>
      </c>
    </row>
    <row r="2615" spans="2:9" s="126" customFormat="1" ht="15" customHeight="1" x14ac:dyDescent="0.25">
      <c r="B2615" s="271" t="s">
        <v>279</v>
      </c>
      <c r="C2615" s="272" t="s">
        <v>280</v>
      </c>
      <c r="D2615" s="275" t="s">
        <v>216</v>
      </c>
      <c r="E2615" s="275">
        <v>41634.694907407407</v>
      </c>
      <c r="F2615" s="276">
        <v>1</v>
      </c>
      <c r="G2615" s="243">
        <f t="shared" si="41"/>
        <v>117</v>
      </c>
      <c r="H2615" s="244"/>
      <c r="I2615" s="71" t="e">
        <f>IF(COUNTIF((rName rData),H2615),"","Name Error!")</f>
        <v>#NAME?</v>
      </c>
    </row>
    <row r="2616" spans="2:9" s="126" customFormat="1" ht="15" customHeight="1" x14ac:dyDescent="0.25">
      <c r="B2616" s="271" t="s">
        <v>328</v>
      </c>
      <c r="C2616" s="272" t="s">
        <v>327</v>
      </c>
      <c r="D2616" s="275" t="s">
        <v>216</v>
      </c>
      <c r="E2616" s="275">
        <v>41634.976469907408</v>
      </c>
      <c r="F2616" s="276">
        <v>1</v>
      </c>
      <c r="G2616" s="243">
        <f t="shared" si="41"/>
        <v>117</v>
      </c>
      <c r="H2616" s="244"/>
      <c r="I2616" s="71" t="e">
        <f>IF(COUNTIF((rName rData),H2616),"","Name Error!")</f>
        <v>#NAME?</v>
      </c>
    </row>
    <row r="2617" spans="2:9" s="126" customFormat="1" ht="15" customHeight="1" x14ac:dyDescent="0.25">
      <c r="B2617" s="271" t="s">
        <v>367</v>
      </c>
      <c r="C2617" s="272" t="s">
        <v>366</v>
      </c>
      <c r="D2617" s="275" t="s">
        <v>216</v>
      </c>
      <c r="E2617" s="275">
        <v>41635.192800925928</v>
      </c>
      <c r="F2617" s="276">
        <v>1</v>
      </c>
      <c r="G2617" s="243">
        <f t="shared" si="41"/>
        <v>117</v>
      </c>
      <c r="H2617" s="244"/>
      <c r="I2617" s="71" t="e">
        <f>IF(COUNTIF((rName rData),H2617),"","Name Error!")</f>
        <v>#NAME?</v>
      </c>
    </row>
    <row r="2618" spans="2:9" s="126" customFormat="1" ht="15" customHeight="1" x14ac:dyDescent="0.25">
      <c r="B2618" s="271" t="s">
        <v>358</v>
      </c>
      <c r="C2618" s="272" t="s">
        <v>357</v>
      </c>
      <c r="D2618" s="275" t="s">
        <v>216</v>
      </c>
      <c r="E2618" s="275">
        <v>41635.611840277779</v>
      </c>
      <c r="F2618" s="276">
        <v>1</v>
      </c>
      <c r="G2618" s="243">
        <f t="shared" si="41"/>
        <v>117</v>
      </c>
      <c r="H2618" s="244"/>
      <c r="I2618" s="71" t="e">
        <f>IF(COUNTIF((rName rData),H2618),"","Name Error!")</f>
        <v>#NAME?</v>
      </c>
    </row>
    <row r="2619" spans="2:9" s="126" customFormat="1" ht="15" customHeight="1" x14ac:dyDescent="0.25">
      <c r="B2619" s="271" t="s">
        <v>333</v>
      </c>
      <c r="C2619" s="272" t="s">
        <v>332</v>
      </c>
      <c r="D2619" s="275" t="s">
        <v>216</v>
      </c>
      <c r="E2619" s="275">
        <v>41635.731203703705</v>
      </c>
      <c r="F2619" s="276">
        <v>2</v>
      </c>
      <c r="G2619" s="243">
        <f t="shared" si="41"/>
        <v>117</v>
      </c>
      <c r="H2619" s="244"/>
      <c r="I2619" s="71" t="e">
        <f>IF(COUNTIF((rName rData),H2619),"","Name Error!")</f>
        <v>#NAME?</v>
      </c>
    </row>
    <row r="2620" spans="2:9" s="126" customFormat="1" ht="15" customHeight="1" x14ac:dyDescent="0.25">
      <c r="B2620" s="271" t="s">
        <v>354</v>
      </c>
      <c r="C2620" s="272" t="s">
        <v>353</v>
      </c>
      <c r="D2620" s="275" t="s">
        <v>216</v>
      </c>
      <c r="E2620" s="275">
        <v>41635.740115740744</v>
      </c>
      <c r="F2620" s="276">
        <v>2</v>
      </c>
      <c r="G2620" s="243">
        <f t="shared" si="41"/>
        <v>117</v>
      </c>
      <c r="H2620" s="244"/>
      <c r="I2620" s="71" t="e">
        <f>IF(COUNTIF((rName rData),H2620),"","Name Error!")</f>
        <v>#NAME?</v>
      </c>
    </row>
    <row r="2621" spans="2:9" s="126" customFormat="1" ht="15" customHeight="1" x14ac:dyDescent="0.25">
      <c r="B2621" s="271" t="s">
        <v>328</v>
      </c>
      <c r="C2621" s="272" t="s">
        <v>327</v>
      </c>
      <c r="D2621" s="275" t="s">
        <v>216</v>
      </c>
      <c r="E2621" s="275">
        <v>41635.742650462962</v>
      </c>
      <c r="F2621" s="276">
        <v>2</v>
      </c>
      <c r="G2621" s="243">
        <f t="shared" si="41"/>
        <v>117</v>
      </c>
      <c r="H2621" s="244"/>
      <c r="I2621" s="71" t="e">
        <f>IF(COUNTIF((rName rData),H2621),"","Name Error!")</f>
        <v>#NAME?</v>
      </c>
    </row>
    <row r="2622" spans="2:9" s="126" customFormat="1" ht="15" customHeight="1" x14ac:dyDescent="0.25">
      <c r="B2622" s="271" t="s">
        <v>339</v>
      </c>
      <c r="C2622" s="272" t="s">
        <v>338</v>
      </c>
      <c r="D2622" s="275" t="s">
        <v>216</v>
      </c>
      <c r="E2622" s="275">
        <v>41635.78707175926</v>
      </c>
      <c r="F2622" s="276">
        <v>4</v>
      </c>
      <c r="G2622" s="243">
        <f t="shared" si="41"/>
        <v>117</v>
      </c>
      <c r="H2622" s="244"/>
      <c r="I2622" s="71" t="e">
        <f>IF(COUNTIF((rName rData),H2622),"","Name Error!")</f>
        <v>#NAME?</v>
      </c>
    </row>
    <row r="2623" spans="2:9" s="126" customFormat="1" ht="15" customHeight="1" x14ac:dyDescent="0.25">
      <c r="B2623" s="271" t="s">
        <v>371</v>
      </c>
      <c r="C2623" s="272" t="s">
        <v>370</v>
      </c>
      <c r="D2623" s="275" t="s">
        <v>216</v>
      </c>
      <c r="E2623" s="275">
        <v>41635.787974537037</v>
      </c>
      <c r="F2623" s="276">
        <v>3</v>
      </c>
      <c r="G2623" s="243">
        <f t="shared" si="41"/>
        <v>117</v>
      </c>
      <c r="H2623" s="244"/>
      <c r="I2623" s="71" t="e">
        <f>IF(COUNTIF((rName rData),H2623),"","Name Error!")</f>
        <v>#NAME?</v>
      </c>
    </row>
    <row r="2624" spans="2:9" s="126" customFormat="1" ht="15" customHeight="1" x14ac:dyDescent="0.25">
      <c r="B2624" s="271" t="s">
        <v>322</v>
      </c>
      <c r="C2624" s="272" t="s">
        <v>321</v>
      </c>
      <c r="D2624" s="275" t="s">
        <v>216</v>
      </c>
      <c r="E2624" s="275">
        <v>41635.941608796296</v>
      </c>
      <c r="F2624" s="276">
        <v>1</v>
      </c>
      <c r="G2624" s="243">
        <f t="shared" si="41"/>
        <v>117</v>
      </c>
      <c r="H2624" s="244"/>
      <c r="I2624" s="71" t="e">
        <f>IF(COUNTIF((rName rData),H2624),"","Name Error!")</f>
        <v>#NAME?</v>
      </c>
    </row>
    <row r="2625" spans="2:9" s="126" customFormat="1" ht="15" customHeight="1" x14ac:dyDescent="0.25">
      <c r="B2625" s="271" t="s">
        <v>267</v>
      </c>
      <c r="C2625" s="272" t="s">
        <v>268</v>
      </c>
      <c r="D2625" s="275" t="s">
        <v>216</v>
      </c>
      <c r="E2625" s="275">
        <v>41636.37945601852</v>
      </c>
      <c r="F2625" s="276">
        <v>2</v>
      </c>
      <c r="G2625" s="243">
        <f t="shared" si="41"/>
        <v>118</v>
      </c>
      <c r="H2625" s="244"/>
      <c r="I2625" s="71" t="e">
        <f>IF(COUNTIF((rName rData),H2625),"","Name Error!")</f>
        <v>#NAME?</v>
      </c>
    </row>
    <row r="2626" spans="2:9" s="126" customFormat="1" ht="15" customHeight="1" x14ac:dyDescent="0.25">
      <c r="B2626" s="271" t="s">
        <v>358</v>
      </c>
      <c r="C2626" s="272" t="s">
        <v>357</v>
      </c>
      <c r="D2626" s="275" t="s">
        <v>216</v>
      </c>
      <c r="E2626" s="275">
        <v>41636.437094907407</v>
      </c>
      <c r="F2626" s="276">
        <v>1</v>
      </c>
      <c r="G2626" s="243">
        <f t="shared" si="41"/>
        <v>118</v>
      </c>
      <c r="H2626" s="244"/>
      <c r="I2626" s="71" t="e">
        <f>IF(COUNTIF((rName rData),H2626),"","Name Error!")</f>
        <v>#NAME?</v>
      </c>
    </row>
    <row r="2627" spans="2:9" s="126" customFormat="1" ht="15" customHeight="1" x14ac:dyDescent="0.25">
      <c r="B2627" s="271" t="s">
        <v>371</v>
      </c>
      <c r="C2627" s="272" t="s">
        <v>370</v>
      </c>
      <c r="D2627" s="275" t="s">
        <v>216</v>
      </c>
      <c r="E2627" s="275">
        <v>41636.465324074074</v>
      </c>
      <c r="F2627" s="276">
        <v>5</v>
      </c>
      <c r="G2627" s="243">
        <f t="shared" si="41"/>
        <v>118</v>
      </c>
      <c r="H2627" s="244"/>
      <c r="I2627" s="71" t="e">
        <f>IF(COUNTIF((rName rData),H2627),"","Name Error!")</f>
        <v>#NAME?</v>
      </c>
    </row>
    <row r="2628" spans="2:9" s="126" customFormat="1" ht="15" customHeight="1" x14ac:dyDescent="0.25">
      <c r="B2628" s="271" t="s">
        <v>331</v>
      </c>
      <c r="C2628" s="272" t="s">
        <v>330</v>
      </c>
      <c r="D2628" s="275" t="s">
        <v>216</v>
      </c>
      <c r="E2628" s="275">
        <v>41636.705613425926</v>
      </c>
      <c r="F2628" s="276">
        <v>2</v>
      </c>
      <c r="G2628" s="243">
        <f t="shared" si="41"/>
        <v>118</v>
      </c>
      <c r="H2628" s="244"/>
      <c r="I2628" s="71" t="e">
        <f>IF(COUNTIF((rName rData),H2628),"","Name Error!")</f>
        <v>#NAME?</v>
      </c>
    </row>
    <row r="2629" spans="2:9" s="126" customFormat="1" ht="15" customHeight="1" x14ac:dyDescent="0.25">
      <c r="B2629" s="271" t="s">
        <v>279</v>
      </c>
      <c r="C2629" s="272" t="s">
        <v>280</v>
      </c>
      <c r="D2629" s="275" t="s">
        <v>216</v>
      </c>
      <c r="E2629" s="275">
        <v>41636.737175925926</v>
      </c>
      <c r="F2629" s="276">
        <v>2</v>
      </c>
      <c r="G2629" s="243">
        <f t="shared" si="41"/>
        <v>118</v>
      </c>
      <c r="H2629" s="244"/>
      <c r="I2629" s="71" t="e">
        <f>IF(COUNTIF((rName rData),H2629),"","Name Error!")</f>
        <v>#NAME?</v>
      </c>
    </row>
    <row r="2630" spans="2:9" s="126" customFormat="1" ht="15" customHeight="1" x14ac:dyDescent="0.25">
      <c r="B2630" s="271" t="s">
        <v>341</v>
      </c>
      <c r="C2630" s="272" t="s">
        <v>340</v>
      </c>
      <c r="D2630" s="275" t="s">
        <v>216</v>
      </c>
      <c r="E2630" s="275">
        <v>41636.844780092593</v>
      </c>
      <c r="F2630" s="276">
        <v>2</v>
      </c>
      <c r="G2630" s="243">
        <f t="shared" si="41"/>
        <v>118</v>
      </c>
      <c r="H2630" s="244"/>
      <c r="I2630" s="71" t="e">
        <f>IF(COUNTIF((rName rData),H2630),"","Name Error!")</f>
        <v>#NAME?</v>
      </c>
    </row>
    <row r="2631" spans="2:9" s="126" customFormat="1" ht="15" customHeight="1" x14ac:dyDescent="0.25">
      <c r="B2631" s="271" t="s">
        <v>339</v>
      </c>
      <c r="C2631" s="272" t="s">
        <v>338</v>
      </c>
      <c r="D2631" s="275" t="s">
        <v>216</v>
      </c>
      <c r="E2631" s="275">
        <v>41636.90283564815</v>
      </c>
      <c r="F2631" s="276">
        <v>1</v>
      </c>
      <c r="G2631" s="243">
        <f t="shared" si="41"/>
        <v>118</v>
      </c>
      <c r="H2631" s="244"/>
      <c r="I2631" s="71" t="e">
        <f>IF(COUNTIF((rName rData),H2631),"","Name Error!")</f>
        <v>#NAME?</v>
      </c>
    </row>
    <row r="2632" spans="2:9" s="126" customFormat="1" ht="15" customHeight="1" x14ac:dyDescent="0.25">
      <c r="B2632" s="271" t="s">
        <v>279</v>
      </c>
      <c r="C2632" s="272" t="s">
        <v>280</v>
      </c>
      <c r="D2632" s="275" t="s">
        <v>216</v>
      </c>
      <c r="E2632" s="275">
        <v>41637.016018518516</v>
      </c>
      <c r="F2632" s="276">
        <v>1</v>
      </c>
      <c r="G2632" s="243">
        <f t="shared" si="41"/>
        <v>118</v>
      </c>
      <c r="H2632" s="244"/>
      <c r="I2632" s="71" t="e">
        <f>IF(COUNTIF((rName rData),H2632),"","Name Error!")</f>
        <v>#NAME?</v>
      </c>
    </row>
    <row r="2633" spans="2:9" s="126" customFormat="1" ht="15" customHeight="1" x14ac:dyDescent="0.25">
      <c r="B2633" s="271" t="s">
        <v>324</v>
      </c>
      <c r="C2633" s="272" t="s">
        <v>323</v>
      </c>
      <c r="D2633" s="275" t="s">
        <v>216</v>
      </c>
      <c r="E2633" s="275">
        <v>41637.055995370371</v>
      </c>
      <c r="F2633" s="276">
        <v>2</v>
      </c>
      <c r="G2633" s="243">
        <f t="shared" si="41"/>
        <v>118</v>
      </c>
      <c r="H2633" s="244"/>
      <c r="I2633" s="71" t="e">
        <f>IF(COUNTIF((rName rData),H2633),"","Name Error!")</f>
        <v>#NAME?</v>
      </c>
    </row>
    <row r="2634" spans="2:9" s="126" customFormat="1" ht="15" customHeight="1" x14ac:dyDescent="0.25">
      <c r="B2634" s="271" t="s">
        <v>333</v>
      </c>
      <c r="C2634" s="272" t="s">
        <v>332</v>
      </c>
      <c r="D2634" s="275" t="s">
        <v>216</v>
      </c>
      <c r="E2634" s="275">
        <v>41637.05877314815</v>
      </c>
      <c r="F2634" s="276">
        <v>2</v>
      </c>
      <c r="G2634" s="243">
        <f t="shared" ref="G2634:G2697" si="42">TRUNC((E2634-start)/7)+1</f>
        <v>118</v>
      </c>
      <c r="H2634" s="244"/>
      <c r="I2634" s="71" t="e">
        <f>IF(COUNTIF((rName rData),H2634),"","Name Error!")</f>
        <v>#NAME?</v>
      </c>
    </row>
    <row r="2635" spans="2:9" s="126" customFormat="1" ht="15" customHeight="1" x14ac:dyDescent="0.25">
      <c r="B2635" s="271" t="s">
        <v>331</v>
      </c>
      <c r="C2635" s="272" t="s">
        <v>330</v>
      </c>
      <c r="D2635" s="275" t="s">
        <v>216</v>
      </c>
      <c r="E2635" s="275">
        <v>41637.081643518519</v>
      </c>
      <c r="F2635" s="276">
        <v>3</v>
      </c>
      <c r="G2635" s="243">
        <f t="shared" si="42"/>
        <v>118</v>
      </c>
      <c r="H2635" s="244"/>
      <c r="I2635" s="71" t="e">
        <f>IF(COUNTIF((rName rData),H2635),"","Name Error!")</f>
        <v>#NAME?</v>
      </c>
    </row>
    <row r="2636" spans="2:9" s="126" customFormat="1" ht="15" customHeight="1" x14ac:dyDescent="0.25">
      <c r="B2636" s="271" t="s">
        <v>267</v>
      </c>
      <c r="C2636" s="272" t="s">
        <v>268</v>
      </c>
      <c r="D2636" s="275" t="s">
        <v>216</v>
      </c>
      <c r="E2636" s="275">
        <v>41637.301944444444</v>
      </c>
      <c r="F2636" s="276">
        <v>5</v>
      </c>
      <c r="G2636" s="243">
        <f t="shared" si="42"/>
        <v>118</v>
      </c>
      <c r="H2636" s="244"/>
      <c r="I2636" s="71" t="e">
        <f>IF(COUNTIF((rName rData),H2636),"","Name Error!")</f>
        <v>#NAME?</v>
      </c>
    </row>
    <row r="2637" spans="2:9" s="126" customFormat="1" ht="15" customHeight="1" x14ac:dyDescent="0.25">
      <c r="B2637" s="271" t="s">
        <v>367</v>
      </c>
      <c r="C2637" s="272" t="s">
        <v>366</v>
      </c>
      <c r="D2637" s="275" t="s">
        <v>216</v>
      </c>
      <c r="E2637" s="275">
        <v>41637.304571759261</v>
      </c>
      <c r="F2637" s="276">
        <v>3</v>
      </c>
      <c r="G2637" s="243">
        <f t="shared" si="42"/>
        <v>118</v>
      </c>
      <c r="H2637" s="244"/>
      <c r="I2637" s="71" t="e">
        <f>IF(COUNTIF((rName rData),H2637),"","Name Error!")</f>
        <v>#NAME?</v>
      </c>
    </row>
    <row r="2638" spans="2:9" s="126" customFormat="1" ht="15" customHeight="1" x14ac:dyDescent="0.25">
      <c r="B2638" s="271" t="s">
        <v>341</v>
      </c>
      <c r="C2638" s="272" t="s">
        <v>340</v>
      </c>
      <c r="D2638" s="275" t="s">
        <v>216</v>
      </c>
      <c r="E2638" s="275">
        <v>41637.51226851852</v>
      </c>
      <c r="F2638" s="276">
        <v>2</v>
      </c>
      <c r="G2638" s="243">
        <f t="shared" si="42"/>
        <v>118</v>
      </c>
      <c r="H2638" s="244"/>
      <c r="I2638" s="71" t="e">
        <f>IF(COUNTIF((rName rData),H2638),"","Name Error!")</f>
        <v>#NAME?</v>
      </c>
    </row>
    <row r="2639" spans="2:9" s="126" customFormat="1" ht="15" customHeight="1" x14ac:dyDescent="0.25">
      <c r="B2639" s="271" t="s">
        <v>337</v>
      </c>
      <c r="C2639" s="272" t="s">
        <v>336</v>
      </c>
      <c r="D2639" s="275" t="s">
        <v>216</v>
      </c>
      <c r="E2639" s="275">
        <v>41637.527384259258</v>
      </c>
      <c r="F2639" s="276">
        <v>3</v>
      </c>
      <c r="G2639" s="243">
        <f t="shared" si="42"/>
        <v>118</v>
      </c>
      <c r="H2639" s="244"/>
      <c r="I2639" s="71" t="e">
        <f>IF(COUNTIF((rName rData),H2639),"","Name Error!")</f>
        <v>#NAME?</v>
      </c>
    </row>
    <row r="2640" spans="2:9" s="126" customFormat="1" ht="15" customHeight="1" x14ac:dyDescent="0.25">
      <c r="B2640" s="271" t="s">
        <v>362</v>
      </c>
      <c r="C2640" s="272" t="s">
        <v>361</v>
      </c>
      <c r="D2640" s="275" t="s">
        <v>216</v>
      </c>
      <c r="E2640" s="275">
        <v>41637.58048611111</v>
      </c>
      <c r="F2640" s="276">
        <v>3</v>
      </c>
      <c r="G2640" s="243">
        <f t="shared" si="42"/>
        <v>118</v>
      </c>
      <c r="H2640" s="244"/>
      <c r="I2640" s="71" t="e">
        <f>IF(COUNTIF((rName rData),H2640),"","Name Error!")</f>
        <v>#NAME?</v>
      </c>
    </row>
    <row r="2641" spans="2:9" s="126" customFormat="1" ht="15" customHeight="1" x14ac:dyDescent="0.25">
      <c r="B2641" s="271" t="s">
        <v>322</v>
      </c>
      <c r="C2641" s="272" t="s">
        <v>321</v>
      </c>
      <c r="D2641" s="275" t="s">
        <v>216</v>
      </c>
      <c r="E2641" s="275">
        <v>41637.702974537038</v>
      </c>
      <c r="F2641" s="276">
        <v>1</v>
      </c>
      <c r="G2641" s="243">
        <f t="shared" si="42"/>
        <v>118</v>
      </c>
      <c r="H2641" s="244"/>
      <c r="I2641" s="71" t="e">
        <f>IF(COUNTIF((rName rData),H2641),"","Name Error!")</f>
        <v>#NAME?</v>
      </c>
    </row>
    <row r="2642" spans="2:9" s="126" customFormat="1" ht="15" customHeight="1" x14ac:dyDescent="0.25">
      <c r="B2642" s="271" t="s">
        <v>354</v>
      </c>
      <c r="C2642" s="272" t="s">
        <v>353</v>
      </c>
      <c r="D2642" s="275" t="s">
        <v>216</v>
      </c>
      <c r="E2642" s="275">
        <v>41637.712719907409</v>
      </c>
      <c r="F2642" s="276">
        <v>2</v>
      </c>
      <c r="G2642" s="243">
        <f t="shared" si="42"/>
        <v>118</v>
      </c>
      <c r="H2642" s="244"/>
      <c r="I2642" s="71" t="e">
        <f>IF(COUNTIF((rName rData),H2642),"","Name Error!")</f>
        <v>#NAME?</v>
      </c>
    </row>
    <row r="2643" spans="2:9" s="126" customFormat="1" ht="15" customHeight="1" x14ac:dyDescent="0.25">
      <c r="B2643" s="271" t="s">
        <v>339</v>
      </c>
      <c r="C2643" s="272" t="s">
        <v>338</v>
      </c>
      <c r="D2643" s="275" t="s">
        <v>216</v>
      </c>
      <c r="E2643" s="275">
        <v>41637.788923611108</v>
      </c>
      <c r="F2643" s="276">
        <v>4</v>
      </c>
      <c r="G2643" s="243">
        <f t="shared" si="42"/>
        <v>118</v>
      </c>
      <c r="H2643" s="244"/>
      <c r="I2643" s="71" t="e">
        <f>IF(COUNTIF((rName rData),H2643),"","Name Error!")</f>
        <v>#NAME?</v>
      </c>
    </row>
    <row r="2644" spans="2:9" s="126" customFormat="1" ht="15" customHeight="1" x14ac:dyDescent="0.25">
      <c r="B2644" s="271" t="s">
        <v>350</v>
      </c>
      <c r="C2644" s="272" t="s">
        <v>349</v>
      </c>
      <c r="D2644" s="275" t="s">
        <v>216</v>
      </c>
      <c r="E2644" s="275">
        <v>41637.851898148147</v>
      </c>
      <c r="F2644" s="276">
        <v>1</v>
      </c>
      <c r="G2644" s="243">
        <f t="shared" si="42"/>
        <v>118</v>
      </c>
      <c r="H2644" s="244"/>
      <c r="I2644" s="71" t="e">
        <f>IF(COUNTIF((rName rData),H2644),"","Name Error!")</f>
        <v>#NAME?</v>
      </c>
    </row>
    <row r="2645" spans="2:9" s="126" customFormat="1" ht="15" customHeight="1" x14ac:dyDescent="0.25">
      <c r="B2645" s="271" t="s">
        <v>328</v>
      </c>
      <c r="C2645" s="272" t="s">
        <v>327</v>
      </c>
      <c r="D2645" s="275" t="s">
        <v>216</v>
      </c>
      <c r="E2645" s="275">
        <v>41637.866446759261</v>
      </c>
      <c r="F2645" s="276">
        <v>2</v>
      </c>
      <c r="G2645" s="243">
        <f t="shared" si="42"/>
        <v>118</v>
      </c>
      <c r="H2645" s="244"/>
      <c r="I2645" s="71" t="e">
        <f>IF(COUNTIF((rName rData),H2645),"","Name Error!")</f>
        <v>#NAME?</v>
      </c>
    </row>
    <row r="2646" spans="2:9" s="126" customFormat="1" ht="15" customHeight="1" x14ac:dyDescent="0.25">
      <c r="B2646" s="271" t="s">
        <v>331</v>
      </c>
      <c r="C2646" s="272" t="s">
        <v>330</v>
      </c>
      <c r="D2646" s="275" t="s">
        <v>216</v>
      </c>
      <c r="E2646" s="275">
        <v>41638.109131944446</v>
      </c>
      <c r="F2646" s="276">
        <v>1</v>
      </c>
      <c r="G2646" s="243">
        <f t="shared" si="42"/>
        <v>118</v>
      </c>
      <c r="H2646" s="244"/>
      <c r="I2646" s="71" t="e">
        <f>IF(COUNTIF((rName rData),H2646),"","Name Error!")</f>
        <v>#NAME?</v>
      </c>
    </row>
    <row r="2647" spans="2:9" s="126" customFormat="1" ht="15" customHeight="1" x14ac:dyDescent="0.25">
      <c r="B2647" s="271" t="s">
        <v>367</v>
      </c>
      <c r="C2647" s="272" t="s">
        <v>366</v>
      </c>
      <c r="D2647" s="275" t="s">
        <v>216</v>
      </c>
      <c r="E2647" s="275">
        <v>41638.334270833337</v>
      </c>
      <c r="F2647" s="276">
        <v>1</v>
      </c>
      <c r="G2647" s="243">
        <f t="shared" si="42"/>
        <v>118</v>
      </c>
      <c r="H2647" s="244"/>
      <c r="I2647" s="71" t="e">
        <f>IF(COUNTIF((rName rData),H2647),"","Name Error!")</f>
        <v>#NAME?</v>
      </c>
    </row>
    <row r="2648" spans="2:9" s="126" customFormat="1" ht="15" customHeight="1" x14ac:dyDescent="0.25">
      <c r="B2648" s="271" t="s">
        <v>356</v>
      </c>
      <c r="C2648" s="272" t="s">
        <v>355</v>
      </c>
      <c r="D2648" s="275" t="s">
        <v>216</v>
      </c>
      <c r="E2648" s="275">
        <v>41638.365567129629</v>
      </c>
      <c r="F2648" s="276">
        <v>4</v>
      </c>
      <c r="G2648" s="243">
        <f t="shared" si="42"/>
        <v>118</v>
      </c>
      <c r="H2648" s="244"/>
      <c r="I2648" s="71" t="e">
        <f>IF(COUNTIF((rName rData),H2648),"","Name Error!")</f>
        <v>#NAME?</v>
      </c>
    </row>
    <row r="2649" spans="2:9" s="126" customFormat="1" ht="15" customHeight="1" x14ac:dyDescent="0.25">
      <c r="B2649" s="271" t="s">
        <v>358</v>
      </c>
      <c r="C2649" s="272" t="s">
        <v>357</v>
      </c>
      <c r="D2649" s="275" t="s">
        <v>216</v>
      </c>
      <c r="E2649" s="275">
        <v>41638.438761574071</v>
      </c>
      <c r="F2649" s="276">
        <v>3</v>
      </c>
      <c r="G2649" s="243">
        <f t="shared" si="42"/>
        <v>118</v>
      </c>
      <c r="H2649" s="244"/>
      <c r="I2649" s="71" t="e">
        <f>IF(COUNTIF((rName rData),H2649),"","Name Error!")</f>
        <v>#NAME?</v>
      </c>
    </row>
    <row r="2650" spans="2:9" s="126" customFormat="1" ht="15" customHeight="1" x14ac:dyDescent="0.25">
      <c r="B2650" s="271" t="s">
        <v>324</v>
      </c>
      <c r="C2650" s="272" t="s">
        <v>323</v>
      </c>
      <c r="D2650" s="275" t="s">
        <v>216</v>
      </c>
      <c r="E2650" s="275">
        <v>41638.502592592595</v>
      </c>
      <c r="F2650" s="276">
        <v>1</v>
      </c>
      <c r="G2650" s="243">
        <f t="shared" si="42"/>
        <v>118</v>
      </c>
      <c r="H2650" s="244"/>
      <c r="I2650" s="71" t="e">
        <f>IF(COUNTIF((rName rData),H2650),"","Name Error!")</f>
        <v>#NAME?</v>
      </c>
    </row>
    <row r="2651" spans="2:9" s="126" customFormat="1" ht="15" customHeight="1" x14ac:dyDescent="0.25">
      <c r="B2651" s="271" t="s">
        <v>267</v>
      </c>
      <c r="C2651" s="272" t="s">
        <v>268</v>
      </c>
      <c r="D2651" s="275" t="s">
        <v>216</v>
      </c>
      <c r="E2651" s="275">
        <v>41638.53460648148</v>
      </c>
      <c r="F2651" s="276">
        <v>2</v>
      </c>
      <c r="G2651" s="243">
        <f t="shared" si="42"/>
        <v>118</v>
      </c>
      <c r="H2651" s="244"/>
      <c r="I2651" s="71" t="e">
        <f>IF(COUNTIF((rName rData),H2651),"","Name Error!")</f>
        <v>#NAME?</v>
      </c>
    </row>
    <row r="2652" spans="2:9" s="126" customFormat="1" ht="15" customHeight="1" x14ac:dyDescent="0.25">
      <c r="B2652" s="271" t="s">
        <v>337</v>
      </c>
      <c r="C2652" s="272" t="s">
        <v>336</v>
      </c>
      <c r="D2652" s="275" t="s">
        <v>216</v>
      </c>
      <c r="E2652" s="275">
        <v>41638.696562500001</v>
      </c>
      <c r="F2652" s="276">
        <v>1</v>
      </c>
      <c r="G2652" s="243">
        <f t="shared" si="42"/>
        <v>118</v>
      </c>
      <c r="H2652" s="244"/>
      <c r="I2652" s="71" t="e">
        <f>IF(COUNTIF((rName rData),H2652),"","Name Error!")</f>
        <v>#NAME?</v>
      </c>
    </row>
    <row r="2653" spans="2:9" s="126" customFormat="1" ht="15" customHeight="1" x14ac:dyDescent="0.25">
      <c r="B2653" s="271" t="s">
        <v>333</v>
      </c>
      <c r="C2653" s="272" t="s">
        <v>332</v>
      </c>
      <c r="D2653" s="275" t="s">
        <v>216</v>
      </c>
      <c r="E2653" s="275">
        <v>41638.784895833334</v>
      </c>
      <c r="F2653" s="276">
        <v>1</v>
      </c>
      <c r="G2653" s="243">
        <f t="shared" si="42"/>
        <v>118</v>
      </c>
      <c r="H2653" s="244"/>
      <c r="I2653" s="71" t="e">
        <f>IF(COUNTIF((rName rData),H2653),"","Name Error!")</f>
        <v>#NAME?</v>
      </c>
    </row>
    <row r="2654" spans="2:9" s="126" customFormat="1" ht="15" customHeight="1" x14ac:dyDescent="0.25">
      <c r="B2654" s="271" t="s">
        <v>339</v>
      </c>
      <c r="C2654" s="272" t="s">
        <v>338</v>
      </c>
      <c r="D2654" s="275" t="s">
        <v>216</v>
      </c>
      <c r="E2654" s="275">
        <v>41638.83084490741</v>
      </c>
      <c r="F2654" s="276">
        <v>2</v>
      </c>
      <c r="G2654" s="243">
        <f t="shared" si="42"/>
        <v>118</v>
      </c>
      <c r="H2654" s="244"/>
      <c r="I2654" s="71" t="e">
        <f>IF(COUNTIF((rName rData),H2654),"","Name Error!")</f>
        <v>#NAME?</v>
      </c>
    </row>
    <row r="2655" spans="2:9" s="126" customFormat="1" ht="15" customHeight="1" x14ac:dyDescent="0.25">
      <c r="B2655" s="271" t="s">
        <v>341</v>
      </c>
      <c r="C2655" s="272" t="s">
        <v>340</v>
      </c>
      <c r="D2655" s="275" t="s">
        <v>216</v>
      </c>
      <c r="E2655" s="275">
        <v>41638.871574074074</v>
      </c>
      <c r="F2655" s="276">
        <v>1</v>
      </c>
      <c r="G2655" s="243">
        <f t="shared" si="42"/>
        <v>118</v>
      </c>
      <c r="H2655" s="244"/>
      <c r="I2655" s="71" t="e">
        <f>IF(COUNTIF((rName rData),H2655),"","Name Error!")</f>
        <v>#NAME?</v>
      </c>
    </row>
    <row r="2656" spans="2:9" s="126" customFormat="1" ht="15" customHeight="1" x14ac:dyDescent="0.25">
      <c r="B2656" s="271" t="s">
        <v>331</v>
      </c>
      <c r="C2656" s="272" t="s">
        <v>330</v>
      </c>
      <c r="D2656" s="275" t="s">
        <v>216</v>
      </c>
      <c r="E2656" s="275">
        <v>41639.017060185186</v>
      </c>
      <c r="F2656" s="276">
        <v>5</v>
      </c>
      <c r="G2656" s="243">
        <f t="shared" si="42"/>
        <v>118</v>
      </c>
      <c r="H2656" s="244"/>
      <c r="I2656" s="71" t="e">
        <f>IF(COUNTIF((rName rData),H2656),"","Name Error!")</f>
        <v>#NAME?</v>
      </c>
    </row>
    <row r="2657" spans="2:9" s="126" customFormat="1" ht="15" customHeight="1" x14ac:dyDescent="0.25">
      <c r="B2657" s="271" t="s">
        <v>358</v>
      </c>
      <c r="C2657" s="272" t="s">
        <v>357</v>
      </c>
      <c r="D2657" s="275" t="s">
        <v>216</v>
      </c>
      <c r="E2657" s="275">
        <v>41639.392106481479</v>
      </c>
      <c r="F2657" s="276">
        <v>2</v>
      </c>
      <c r="G2657" s="243">
        <f t="shared" si="42"/>
        <v>118</v>
      </c>
      <c r="H2657" s="244"/>
      <c r="I2657" s="71" t="e">
        <f>IF(COUNTIF((rName rData),H2657),"","Name Error!")</f>
        <v>#NAME?</v>
      </c>
    </row>
    <row r="2658" spans="2:9" s="126" customFormat="1" ht="15" customHeight="1" x14ac:dyDescent="0.25">
      <c r="B2658" s="271" t="s">
        <v>337</v>
      </c>
      <c r="C2658" s="272" t="s">
        <v>336</v>
      </c>
      <c r="D2658" s="275" t="s">
        <v>216</v>
      </c>
      <c r="E2658" s="275">
        <v>41639.515810185185</v>
      </c>
      <c r="F2658" s="276">
        <v>1</v>
      </c>
      <c r="G2658" s="243">
        <f t="shared" si="42"/>
        <v>118</v>
      </c>
      <c r="H2658" s="244"/>
      <c r="I2658" s="71" t="e">
        <f>IF(COUNTIF((rName rData),H2658),"","Name Error!")</f>
        <v>#NAME?</v>
      </c>
    </row>
    <row r="2659" spans="2:9" s="126" customFormat="1" ht="15" customHeight="1" x14ac:dyDescent="0.25">
      <c r="B2659" s="271" t="s">
        <v>267</v>
      </c>
      <c r="C2659" s="272" t="s">
        <v>268</v>
      </c>
      <c r="D2659" s="275" t="s">
        <v>216</v>
      </c>
      <c r="E2659" s="275">
        <v>41639.59888888889</v>
      </c>
      <c r="F2659" s="276">
        <v>1</v>
      </c>
      <c r="G2659" s="243">
        <f t="shared" si="42"/>
        <v>118</v>
      </c>
      <c r="H2659" s="244"/>
      <c r="I2659" s="71" t="e">
        <f>IF(COUNTIF((rName rData),H2659),"","Name Error!")</f>
        <v>#NAME?</v>
      </c>
    </row>
    <row r="2660" spans="2:9" s="126" customFormat="1" ht="15" customHeight="1" x14ac:dyDescent="0.25">
      <c r="B2660" s="271" t="s">
        <v>279</v>
      </c>
      <c r="C2660" s="272" t="s">
        <v>280</v>
      </c>
      <c r="D2660" s="275" t="s">
        <v>216</v>
      </c>
      <c r="E2660" s="275">
        <v>41639.690208333333</v>
      </c>
      <c r="F2660" s="276">
        <v>3</v>
      </c>
      <c r="G2660" s="243">
        <f t="shared" si="42"/>
        <v>118</v>
      </c>
      <c r="H2660" s="244"/>
      <c r="I2660" s="71" t="e">
        <f>IF(COUNTIF((rName rData),H2660),"","Name Error!")</f>
        <v>#NAME?</v>
      </c>
    </row>
    <row r="2661" spans="2:9" s="126" customFormat="1" ht="15" customHeight="1" x14ac:dyDescent="0.25">
      <c r="B2661" s="271" t="s">
        <v>279</v>
      </c>
      <c r="C2661" s="272" t="s">
        <v>280</v>
      </c>
      <c r="D2661" s="275" t="s">
        <v>216</v>
      </c>
      <c r="E2661" s="275">
        <v>41640.217407407406</v>
      </c>
      <c r="F2661" s="276">
        <v>1</v>
      </c>
      <c r="G2661" s="243">
        <f t="shared" si="42"/>
        <v>118</v>
      </c>
      <c r="H2661" s="244"/>
      <c r="I2661" s="71" t="e">
        <f>IF(COUNTIF((rName rData),H2661),"","Name Error!")</f>
        <v>#NAME?</v>
      </c>
    </row>
    <row r="2662" spans="2:9" s="126" customFormat="1" ht="15" customHeight="1" x14ac:dyDescent="0.25">
      <c r="B2662" s="271" t="s">
        <v>339</v>
      </c>
      <c r="C2662" s="272" t="s">
        <v>338</v>
      </c>
      <c r="D2662" s="275" t="s">
        <v>216</v>
      </c>
      <c r="E2662" s="275">
        <v>41640.245023148149</v>
      </c>
      <c r="F2662" s="276">
        <v>1</v>
      </c>
      <c r="G2662" s="243">
        <f t="shared" si="42"/>
        <v>118</v>
      </c>
      <c r="H2662" s="244"/>
      <c r="I2662" s="71" t="e">
        <f>IF(COUNTIF((rName rData),H2662),"","Name Error!")</f>
        <v>#NAME?</v>
      </c>
    </row>
    <row r="2663" spans="2:9" s="126" customFormat="1" ht="15" customHeight="1" x14ac:dyDescent="0.25">
      <c r="B2663" s="271" t="s">
        <v>267</v>
      </c>
      <c r="C2663" s="272" t="s">
        <v>268</v>
      </c>
      <c r="D2663" s="275" t="s">
        <v>216</v>
      </c>
      <c r="E2663" s="275">
        <v>41640.549108796295</v>
      </c>
      <c r="F2663" s="276">
        <v>1</v>
      </c>
      <c r="G2663" s="243">
        <f t="shared" si="42"/>
        <v>118</v>
      </c>
      <c r="H2663" s="244"/>
      <c r="I2663" s="71" t="e">
        <f>IF(COUNTIF((rName rData),H2663),"","Name Error!")</f>
        <v>#NAME?</v>
      </c>
    </row>
    <row r="2664" spans="2:9" s="126" customFormat="1" ht="15" customHeight="1" x14ac:dyDescent="0.25">
      <c r="B2664" s="271" t="s">
        <v>331</v>
      </c>
      <c r="C2664" s="272" t="s">
        <v>330</v>
      </c>
      <c r="D2664" s="275" t="s">
        <v>216</v>
      </c>
      <c r="E2664" s="275">
        <v>41640.732002314813</v>
      </c>
      <c r="F2664" s="276">
        <v>1</v>
      </c>
      <c r="G2664" s="243">
        <f t="shared" si="42"/>
        <v>118</v>
      </c>
      <c r="H2664" s="244"/>
      <c r="I2664" s="71" t="e">
        <f>IF(COUNTIF((rName rData),H2664),"","Name Error!")</f>
        <v>#NAME?</v>
      </c>
    </row>
    <row r="2665" spans="2:9" s="126" customFormat="1" ht="15" customHeight="1" x14ac:dyDescent="0.25">
      <c r="B2665" s="271" t="s">
        <v>358</v>
      </c>
      <c r="C2665" s="272" t="s">
        <v>357</v>
      </c>
      <c r="D2665" s="275" t="s">
        <v>216</v>
      </c>
      <c r="E2665" s="275">
        <v>41640.766909722224</v>
      </c>
      <c r="F2665" s="276">
        <v>1</v>
      </c>
      <c r="G2665" s="243">
        <f t="shared" si="42"/>
        <v>118</v>
      </c>
      <c r="H2665" s="244"/>
      <c r="I2665" s="71" t="e">
        <f>IF(COUNTIF((rName rData),H2665),"","Name Error!")</f>
        <v>#NAME?</v>
      </c>
    </row>
    <row r="2666" spans="2:9" s="126" customFormat="1" ht="15" customHeight="1" x14ac:dyDescent="0.25">
      <c r="B2666" s="271" t="s">
        <v>352</v>
      </c>
      <c r="C2666" s="272" t="s">
        <v>351</v>
      </c>
      <c r="D2666" s="275" t="s">
        <v>216</v>
      </c>
      <c r="E2666" s="275">
        <v>41640.884340277778</v>
      </c>
      <c r="F2666" s="276">
        <v>1</v>
      </c>
      <c r="G2666" s="243">
        <f t="shared" si="42"/>
        <v>118</v>
      </c>
      <c r="H2666" s="244"/>
      <c r="I2666" s="71" t="e">
        <f>IF(COUNTIF((rName rData),H2666),"","Name Error!")</f>
        <v>#NAME?</v>
      </c>
    </row>
    <row r="2667" spans="2:9" s="126" customFormat="1" ht="15" customHeight="1" x14ac:dyDescent="0.25">
      <c r="B2667" s="271" t="s">
        <v>324</v>
      </c>
      <c r="C2667" s="272" t="s">
        <v>323</v>
      </c>
      <c r="D2667" s="275" t="s">
        <v>216</v>
      </c>
      <c r="E2667" s="275">
        <v>41640.938321759262</v>
      </c>
      <c r="F2667" s="276">
        <v>1</v>
      </c>
      <c r="G2667" s="243">
        <f t="shared" si="42"/>
        <v>118</v>
      </c>
      <c r="H2667" s="244"/>
      <c r="I2667" s="71" t="e">
        <f>IF(COUNTIF((rName rData),H2667),"","Name Error!")</f>
        <v>#NAME?</v>
      </c>
    </row>
    <row r="2668" spans="2:9" s="126" customFormat="1" ht="15" customHeight="1" x14ac:dyDescent="0.25">
      <c r="B2668" s="271" t="s">
        <v>367</v>
      </c>
      <c r="C2668" s="272" t="s">
        <v>366</v>
      </c>
      <c r="D2668" s="275" t="s">
        <v>216</v>
      </c>
      <c r="E2668" s="275">
        <v>41641.056851851848</v>
      </c>
      <c r="F2668" s="276">
        <v>2</v>
      </c>
      <c r="G2668" s="243">
        <f t="shared" si="42"/>
        <v>118</v>
      </c>
      <c r="H2668" s="244"/>
      <c r="I2668" s="71" t="e">
        <f>IF(COUNTIF((rName rData),H2668),"","Name Error!")</f>
        <v>#NAME?</v>
      </c>
    </row>
    <row r="2669" spans="2:9" s="126" customFormat="1" ht="15" customHeight="1" x14ac:dyDescent="0.25">
      <c r="B2669" s="271" t="s">
        <v>331</v>
      </c>
      <c r="C2669" s="272" t="s">
        <v>330</v>
      </c>
      <c r="D2669" s="275" t="s">
        <v>216</v>
      </c>
      <c r="E2669" s="275">
        <v>41641.087673611109</v>
      </c>
      <c r="F2669" s="276">
        <v>1</v>
      </c>
      <c r="G2669" s="243">
        <f t="shared" si="42"/>
        <v>118</v>
      </c>
      <c r="H2669" s="244"/>
      <c r="I2669" s="71" t="e">
        <f>IF(COUNTIF((rName rData),H2669),"","Name Error!")</f>
        <v>#NAME?</v>
      </c>
    </row>
    <row r="2670" spans="2:9" s="126" customFormat="1" ht="15" customHeight="1" x14ac:dyDescent="0.25">
      <c r="B2670" s="271" t="s">
        <v>358</v>
      </c>
      <c r="C2670" s="272" t="s">
        <v>357</v>
      </c>
      <c r="D2670" s="275" t="s">
        <v>216</v>
      </c>
      <c r="E2670" s="275">
        <v>41641.41605324074</v>
      </c>
      <c r="F2670" s="276">
        <v>3</v>
      </c>
      <c r="G2670" s="243">
        <f t="shared" si="42"/>
        <v>118</v>
      </c>
      <c r="H2670" s="244"/>
      <c r="I2670" s="71" t="e">
        <f>IF(COUNTIF((rName rData),H2670),"","Name Error!")</f>
        <v>#NAME?</v>
      </c>
    </row>
    <row r="2671" spans="2:9" s="126" customFormat="1" ht="15" customHeight="1" x14ac:dyDescent="0.25">
      <c r="B2671" s="271" t="s">
        <v>333</v>
      </c>
      <c r="C2671" s="272" t="s">
        <v>332</v>
      </c>
      <c r="D2671" s="275" t="s">
        <v>216</v>
      </c>
      <c r="E2671" s="275">
        <v>41641.732812499999</v>
      </c>
      <c r="F2671" s="276">
        <v>3</v>
      </c>
      <c r="G2671" s="243">
        <f t="shared" si="42"/>
        <v>118</v>
      </c>
      <c r="H2671" s="244"/>
      <c r="I2671" s="71" t="e">
        <f>IF(COUNTIF((rName rData),H2671),"","Name Error!")</f>
        <v>#NAME?</v>
      </c>
    </row>
    <row r="2672" spans="2:9" s="126" customFormat="1" ht="15" customHeight="1" x14ac:dyDescent="0.25">
      <c r="B2672" s="271" t="s">
        <v>339</v>
      </c>
      <c r="C2672" s="272" t="s">
        <v>338</v>
      </c>
      <c r="D2672" s="275" t="s">
        <v>216</v>
      </c>
      <c r="E2672" s="275">
        <v>41641.88622685185</v>
      </c>
      <c r="F2672" s="276">
        <v>2</v>
      </c>
      <c r="G2672" s="243">
        <f t="shared" si="42"/>
        <v>118</v>
      </c>
      <c r="H2672" s="244"/>
      <c r="I2672" s="71" t="e">
        <f>IF(COUNTIF((rName rData),H2672),"","Name Error!")</f>
        <v>#NAME?</v>
      </c>
    </row>
    <row r="2673" spans="2:9" s="126" customFormat="1" ht="15" customHeight="1" x14ac:dyDescent="0.25">
      <c r="B2673" s="271" t="s">
        <v>341</v>
      </c>
      <c r="C2673" s="272" t="s">
        <v>340</v>
      </c>
      <c r="D2673" s="275" t="s">
        <v>216</v>
      </c>
      <c r="E2673" s="275">
        <v>41641.886874999997</v>
      </c>
      <c r="F2673" s="276">
        <v>1</v>
      </c>
      <c r="G2673" s="243">
        <f t="shared" si="42"/>
        <v>118</v>
      </c>
      <c r="H2673" s="244"/>
      <c r="I2673" s="71" t="e">
        <f>IF(COUNTIF((rName rData),H2673),"","Name Error!")</f>
        <v>#NAME?</v>
      </c>
    </row>
    <row r="2674" spans="2:9" s="126" customFormat="1" ht="15" customHeight="1" x14ac:dyDescent="0.25">
      <c r="B2674" s="271" t="s">
        <v>371</v>
      </c>
      <c r="C2674" s="272" t="s">
        <v>370</v>
      </c>
      <c r="D2674" s="275" t="s">
        <v>216</v>
      </c>
      <c r="E2674" s="275">
        <v>41641.891400462962</v>
      </c>
      <c r="F2674" s="276">
        <v>1</v>
      </c>
      <c r="G2674" s="243">
        <f t="shared" si="42"/>
        <v>118</v>
      </c>
      <c r="H2674" s="244"/>
      <c r="I2674" s="71" t="e">
        <f>IF(COUNTIF((rName rData),H2674),"","Name Error!")</f>
        <v>#NAME?</v>
      </c>
    </row>
    <row r="2675" spans="2:9" s="126" customFormat="1" ht="15" customHeight="1" x14ac:dyDescent="0.25">
      <c r="B2675" s="271" t="s">
        <v>345</v>
      </c>
      <c r="C2675" s="272" t="s">
        <v>344</v>
      </c>
      <c r="D2675" s="275" t="s">
        <v>216</v>
      </c>
      <c r="E2675" s="275">
        <v>41641.905312499999</v>
      </c>
      <c r="F2675" s="276">
        <v>1</v>
      </c>
      <c r="G2675" s="243">
        <f t="shared" si="42"/>
        <v>118</v>
      </c>
      <c r="H2675" s="244"/>
      <c r="I2675" s="71" t="e">
        <f>IF(COUNTIF((rName rData),H2675),"","Name Error!")</f>
        <v>#NAME?</v>
      </c>
    </row>
    <row r="2676" spans="2:9" s="126" customFormat="1" ht="15" customHeight="1" x14ac:dyDescent="0.25">
      <c r="B2676" s="271" t="s">
        <v>356</v>
      </c>
      <c r="C2676" s="272" t="s">
        <v>355</v>
      </c>
      <c r="D2676" s="275" t="s">
        <v>216</v>
      </c>
      <c r="E2676" s="275">
        <v>41642.343252314815</v>
      </c>
      <c r="F2676" s="276">
        <v>1</v>
      </c>
      <c r="G2676" s="243">
        <f t="shared" si="42"/>
        <v>118</v>
      </c>
      <c r="H2676" s="244"/>
      <c r="I2676" s="71" t="e">
        <f>IF(COUNTIF((rName rData),H2676),"","Name Error!")</f>
        <v>#NAME?</v>
      </c>
    </row>
    <row r="2677" spans="2:9" s="126" customFormat="1" ht="15" customHeight="1" x14ac:dyDescent="0.25">
      <c r="B2677" s="271" t="s">
        <v>358</v>
      </c>
      <c r="C2677" s="272" t="s">
        <v>357</v>
      </c>
      <c r="D2677" s="275" t="s">
        <v>216</v>
      </c>
      <c r="E2677" s="275">
        <v>41642.423310185186</v>
      </c>
      <c r="F2677" s="276">
        <v>1</v>
      </c>
      <c r="G2677" s="243">
        <f t="shared" si="42"/>
        <v>118</v>
      </c>
      <c r="H2677" s="244"/>
      <c r="I2677" s="71" t="e">
        <f>IF(COUNTIF((rName rData),H2677),"","Name Error!")</f>
        <v>#NAME?</v>
      </c>
    </row>
    <row r="2678" spans="2:9" s="126" customFormat="1" ht="15" customHeight="1" x14ac:dyDescent="0.25">
      <c r="B2678" s="271" t="s">
        <v>345</v>
      </c>
      <c r="C2678" s="272" t="s">
        <v>344</v>
      </c>
      <c r="D2678" s="275" t="s">
        <v>216</v>
      </c>
      <c r="E2678" s="275">
        <v>41642.663645833331</v>
      </c>
      <c r="F2678" s="276">
        <v>1</v>
      </c>
      <c r="G2678" s="243">
        <f t="shared" si="42"/>
        <v>118</v>
      </c>
      <c r="H2678" s="244"/>
      <c r="I2678" s="71" t="e">
        <f>IF(COUNTIF((rName rData),H2678),"","Name Error!")</f>
        <v>#NAME?</v>
      </c>
    </row>
    <row r="2679" spans="2:9" s="126" customFormat="1" ht="15" customHeight="1" x14ac:dyDescent="0.25">
      <c r="B2679" s="271" t="s">
        <v>341</v>
      </c>
      <c r="C2679" s="272" t="s">
        <v>340</v>
      </c>
      <c r="D2679" s="275" t="s">
        <v>216</v>
      </c>
      <c r="E2679" s="275">
        <v>41642.844085648147</v>
      </c>
      <c r="F2679" s="276">
        <v>1</v>
      </c>
      <c r="G2679" s="243">
        <f t="shared" si="42"/>
        <v>118</v>
      </c>
      <c r="H2679" s="244"/>
      <c r="I2679" s="71" t="e">
        <f>IF(COUNTIF((rName rData),H2679),"","Name Error!")</f>
        <v>#NAME?</v>
      </c>
    </row>
    <row r="2680" spans="2:9" s="126" customFormat="1" ht="15" customHeight="1" x14ac:dyDescent="0.25">
      <c r="B2680" s="271" t="s">
        <v>324</v>
      </c>
      <c r="C2680" s="272" t="s">
        <v>323</v>
      </c>
      <c r="D2680" s="275" t="s">
        <v>216</v>
      </c>
      <c r="E2680" s="275">
        <v>41643.128680555557</v>
      </c>
      <c r="F2680" s="276">
        <v>3</v>
      </c>
      <c r="G2680" s="243">
        <f t="shared" si="42"/>
        <v>119</v>
      </c>
      <c r="H2680" s="244"/>
      <c r="I2680" s="71" t="e">
        <f>IF(COUNTIF((rName rData),H2680),"","Name Error!")</f>
        <v>#NAME?</v>
      </c>
    </row>
    <row r="2681" spans="2:9" s="126" customFormat="1" ht="15" customHeight="1" x14ac:dyDescent="0.25">
      <c r="B2681" s="271" t="s">
        <v>267</v>
      </c>
      <c r="C2681" s="272" t="s">
        <v>268</v>
      </c>
      <c r="D2681" s="275" t="s">
        <v>216</v>
      </c>
      <c r="E2681" s="275">
        <v>41643.448240740741</v>
      </c>
      <c r="F2681" s="276">
        <v>4</v>
      </c>
      <c r="G2681" s="243">
        <f t="shared" si="42"/>
        <v>119</v>
      </c>
      <c r="H2681" s="244"/>
      <c r="I2681" s="71" t="e">
        <f>IF(COUNTIF((rName rData),H2681),"","Name Error!")</f>
        <v>#NAME?</v>
      </c>
    </row>
    <row r="2682" spans="2:9" s="126" customFormat="1" ht="15" customHeight="1" x14ac:dyDescent="0.25">
      <c r="B2682" s="271" t="s">
        <v>337</v>
      </c>
      <c r="C2682" s="272" t="s">
        <v>336</v>
      </c>
      <c r="D2682" s="275" t="s">
        <v>216</v>
      </c>
      <c r="E2682" s="275">
        <v>41643.455833333333</v>
      </c>
      <c r="F2682" s="276">
        <v>4</v>
      </c>
      <c r="G2682" s="243">
        <f t="shared" si="42"/>
        <v>119</v>
      </c>
      <c r="H2682" s="244"/>
      <c r="I2682" s="71" t="e">
        <f>IF(COUNTIF((rName rData),H2682),"","Name Error!")</f>
        <v>#NAME?</v>
      </c>
    </row>
    <row r="2683" spans="2:9" s="126" customFormat="1" ht="15" customHeight="1" x14ac:dyDescent="0.25">
      <c r="B2683" s="271" t="s">
        <v>358</v>
      </c>
      <c r="C2683" s="272" t="s">
        <v>357</v>
      </c>
      <c r="D2683" s="275" t="s">
        <v>216</v>
      </c>
      <c r="E2683" s="275">
        <v>41643.460358796299</v>
      </c>
      <c r="F2683" s="276">
        <v>5</v>
      </c>
      <c r="G2683" s="243">
        <f t="shared" si="42"/>
        <v>119</v>
      </c>
      <c r="H2683" s="244"/>
      <c r="I2683" s="71" t="e">
        <f>IF(COUNTIF((rName rData),H2683),"","Name Error!")</f>
        <v>#NAME?</v>
      </c>
    </row>
    <row r="2684" spans="2:9" s="126" customFormat="1" ht="15" customHeight="1" x14ac:dyDescent="0.25">
      <c r="B2684" s="271" t="s">
        <v>331</v>
      </c>
      <c r="C2684" s="272" t="s">
        <v>330</v>
      </c>
      <c r="D2684" s="275" t="s">
        <v>216</v>
      </c>
      <c r="E2684" s="275">
        <v>41643.544166666667</v>
      </c>
      <c r="F2684" s="276">
        <v>1</v>
      </c>
      <c r="G2684" s="243">
        <f t="shared" si="42"/>
        <v>119</v>
      </c>
      <c r="H2684" s="244"/>
      <c r="I2684" s="71" t="e">
        <f>IF(COUNTIF((rName rData),H2684),"","Name Error!")</f>
        <v>#NAME?</v>
      </c>
    </row>
    <row r="2685" spans="2:9" s="126" customFormat="1" ht="15" customHeight="1" x14ac:dyDescent="0.25">
      <c r="B2685" s="271" t="s">
        <v>345</v>
      </c>
      <c r="C2685" s="272" t="s">
        <v>344</v>
      </c>
      <c r="D2685" s="275" t="s">
        <v>216</v>
      </c>
      <c r="E2685" s="275">
        <v>41643.817442129628</v>
      </c>
      <c r="F2685" s="276">
        <v>2</v>
      </c>
      <c r="G2685" s="243">
        <f t="shared" si="42"/>
        <v>119</v>
      </c>
      <c r="H2685" s="244"/>
      <c r="I2685" s="71" t="e">
        <f>IF(COUNTIF((rName rData),H2685),"","Name Error!")</f>
        <v>#NAME?</v>
      </c>
    </row>
    <row r="2686" spans="2:9" s="126" customFormat="1" ht="15" customHeight="1" x14ac:dyDescent="0.25">
      <c r="B2686" s="271" t="s">
        <v>356</v>
      </c>
      <c r="C2686" s="272" t="s">
        <v>355</v>
      </c>
      <c r="D2686" s="275" t="s">
        <v>216</v>
      </c>
      <c r="E2686" s="275">
        <v>41643.852488425924</v>
      </c>
      <c r="F2686" s="276">
        <v>2</v>
      </c>
      <c r="G2686" s="243">
        <f t="shared" si="42"/>
        <v>119</v>
      </c>
      <c r="H2686" s="244"/>
      <c r="I2686" s="71" t="e">
        <f>IF(COUNTIF((rName rData),H2686),"","Name Error!")</f>
        <v>#NAME?</v>
      </c>
    </row>
    <row r="2687" spans="2:9" s="126" customFormat="1" ht="15" customHeight="1" x14ac:dyDescent="0.25">
      <c r="B2687" s="271" t="s">
        <v>335</v>
      </c>
      <c r="C2687" s="272" t="s">
        <v>334</v>
      </c>
      <c r="D2687" s="275" t="s">
        <v>216</v>
      </c>
      <c r="E2687" s="275">
        <v>41643.879814814813</v>
      </c>
      <c r="F2687" s="276">
        <v>2</v>
      </c>
      <c r="G2687" s="243">
        <f t="shared" si="42"/>
        <v>119</v>
      </c>
      <c r="H2687" s="244"/>
      <c r="I2687" s="71" t="e">
        <f>IF(COUNTIF((rName rData),H2687),"","Name Error!")</f>
        <v>#NAME?</v>
      </c>
    </row>
    <row r="2688" spans="2:9" s="126" customFormat="1" ht="15" customHeight="1" x14ac:dyDescent="0.25">
      <c r="B2688" s="271" t="s">
        <v>371</v>
      </c>
      <c r="C2688" s="272" t="s">
        <v>370</v>
      </c>
      <c r="D2688" s="275" t="s">
        <v>216</v>
      </c>
      <c r="E2688" s="275">
        <v>41643.909097222226</v>
      </c>
      <c r="F2688" s="276">
        <v>1</v>
      </c>
      <c r="G2688" s="243">
        <f t="shared" si="42"/>
        <v>119</v>
      </c>
      <c r="H2688" s="244"/>
      <c r="I2688" s="71" t="e">
        <f>IF(COUNTIF((rName rData),H2688),"","Name Error!")</f>
        <v>#NAME?</v>
      </c>
    </row>
    <row r="2689" spans="2:9" s="126" customFormat="1" ht="15" customHeight="1" x14ac:dyDescent="0.25">
      <c r="B2689" s="271" t="s">
        <v>339</v>
      </c>
      <c r="C2689" s="272" t="s">
        <v>338</v>
      </c>
      <c r="D2689" s="275" t="s">
        <v>216</v>
      </c>
      <c r="E2689" s="275">
        <v>41643.963518518518</v>
      </c>
      <c r="F2689" s="276">
        <v>2</v>
      </c>
      <c r="G2689" s="243">
        <f t="shared" si="42"/>
        <v>119</v>
      </c>
      <c r="H2689" s="244"/>
      <c r="I2689" s="71" t="e">
        <f>IF(COUNTIF((rName rData),H2689),"","Name Error!")</f>
        <v>#NAME?</v>
      </c>
    </row>
    <row r="2690" spans="2:9" s="126" customFormat="1" ht="15" customHeight="1" x14ac:dyDescent="0.25">
      <c r="B2690" s="271" t="s">
        <v>322</v>
      </c>
      <c r="C2690" s="272" t="s">
        <v>321</v>
      </c>
      <c r="D2690" s="275" t="s">
        <v>216</v>
      </c>
      <c r="E2690" s="275">
        <v>41643.966666666667</v>
      </c>
      <c r="F2690" s="276">
        <v>1</v>
      </c>
      <c r="G2690" s="243">
        <f t="shared" si="42"/>
        <v>119</v>
      </c>
      <c r="H2690" s="244"/>
      <c r="I2690" s="71" t="e">
        <f>IF(COUNTIF((rName rData),H2690),"","Name Error!")</f>
        <v>#NAME?</v>
      </c>
    </row>
    <row r="2691" spans="2:9" s="126" customFormat="1" ht="15" customHeight="1" x14ac:dyDescent="0.25">
      <c r="B2691" s="271" t="s">
        <v>324</v>
      </c>
      <c r="C2691" s="272" t="s">
        <v>323</v>
      </c>
      <c r="D2691" s="275" t="s">
        <v>216</v>
      </c>
      <c r="E2691" s="275">
        <v>41644.01289351852</v>
      </c>
      <c r="F2691" s="276">
        <v>1</v>
      </c>
      <c r="G2691" s="243">
        <f t="shared" si="42"/>
        <v>119</v>
      </c>
      <c r="H2691" s="244"/>
      <c r="I2691" s="71" t="e">
        <f>IF(COUNTIF((rName rData),H2691),"","Name Error!")</f>
        <v>#NAME?</v>
      </c>
    </row>
    <row r="2692" spans="2:9" s="126" customFormat="1" ht="15" customHeight="1" x14ac:dyDescent="0.25">
      <c r="B2692" s="271" t="s">
        <v>339</v>
      </c>
      <c r="C2692" s="272" t="s">
        <v>338</v>
      </c>
      <c r="D2692" s="275" t="s">
        <v>216</v>
      </c>
      <c r="E2692" s="275">
        <v>41644.035844907405</v>
      </c>
      <c r="F2692" s="276">
        <v>2</v>
      </c>
      <c r="G2692" s="243">
        <f t="shared" si="42"/>
        <v>119</v>
      </c>
      <c r="H2692" s="244"/>
      <c r="I2692" s="71" t="e">
        <f>IF(COUNTIF((rName rData),H2692),"","Name Error!")</f>
        <v>#NAME?</v>
      </c>
    </row>
    <row r="2693" spans="2:9" s="126" customFormat="1" ht="15" customHeight="1" x14ac:dyDescent="0.25">
      <c r="B2693" s="271" t="s">
        <v>365</v>
      </c>
      <c r="C2693" s="272" t="s">
        <v>364</v>
      </c>
      <c r="D2693" s="275" t="s">
        <v>216</v>
      </c>
      <c r="E2693" s="275">
        <v>41644.054247685184</v>
      </c>
      <c r="F2693" s="276">
        <v>1</v>
      </c>
      <c r="G2693" s="243">
        <f t="shared" si="42"/>
        <v>119</v>
      </c>
      <c r="H2693" s="244"/>
      <c r="I2693" s="71" t="e">
        <f>IF(COUNTIF((rName rData),H2693),"","Name Error!")</f>
        <v>#NAME?</v>
      </c>
    </row>
    <row r="2694" spans="2:9" s="126" customFormat="1" ht="15" customHeight="1" x14ac:dyDescent="0.25">
      <c r="B2694" s="271" t="s">
        <v>333</v>
      </c>
      <c r="C2694" s="272" t="s">
        <v>332</v>
      </c>
      <c r="D2694" s="275" t="s">
        <v>216</v>
      </c>
      <c r="E2694" s="275">
        <v>41644.246516203704</v>
      </c>
      <c r="F2694" s="276">
        <v>3</v>
      </c>
      <c r="G2694" s="243">
        <f t="shared" si="42"/>
        <v>119</v>
      </c>
      <c r="H2694" s="244"/>
      <c r="I2694" s="71" t="e">
        <f>IF(COUNTIF((rName rData),H2694),"","Name Error!")</f>
        <v>#NAME?</v>
      </c>
    </row>
    <row r="2695" spans="2:9" s="126" customFormat="1" ht="15" customHeight="1" x14ac:dyDescent="0.25">
      <c r="B2695" s="271" t="s">
        <v>341</v>
      </c>
      <c r="C2695" s="272" t="s">
        <v>340</v>
      </c>
      <c r="D2695" s="275" t="s">
        <v>216</v>
      </c>
      <c r="E2695" s="275">
        <v>41644.417569444442</v>
      </c>
      <c r="F2695" s="276">
        <v>1</v>
      </c>
      <c r="G2695" s="243">
        <f t="shared" si="42"/>
        <v>119</v>
      </c>
      <c r="H2695" s="244"/>
      <c r="I2695" s="71" t="e">
        <f>IF(COUNTIF((rName rData),H2695),"","Name Error!")</f>
        <v>#NAME?</v>
      </c>
    </row>
    <row r="2696" spans="2:9" s="126" customFormat="1" ht="15" customHeight="1" x14ac:dyDescent="0.25">
      <c r="B2696" s="271" t="s">
        <v>371</v>
      </c>
      <c r="C2696" s="272" t="s">
        <v>370</v>
      </c>
      <c r="D2696" s="275" t="s">
        <v>216</v>
      </c>
      <c r="E2696" s="275">
        <v>41644.431504629632</v>
      </c>
      <c r="F2696" s="276">
        <v>3</v>
      </c>
      <c r="G2696" s="243">
        <f t="shared" si="42"/>
        <v>119</v>
      </c>
      <c r="H2696" s="244"/>
      <c r="I2696" s="71" t="e">
        <f>IF(COUNTIF((rName rData),H2696),"","Name Error!")</f>
        <v>#NAME?</v>
      </c>
    </row>
    <row r="2697" spans="2:9" s="126" customFormat="1" ht="15" customHeight="1" x14ac:dyDescent="0.25">
      <c r="B2697" s="271" t="s">
        <v>267</v>
      </c>
      <c r="C2697" s="272" t="s">
        <v>268</v>
      </c>
      <c r="D2697" s="275" t="s">
        <v>216</v>
      </c>
      <c r="E2697" s="275">
        <v>41644.460787037038</v>
      </c>
      <c r="F2697" s="276">
        <v>3</v>
      </c>
      <c r="G2697" s="243">
        <f t="shared" si="42"/>
        <v>119</v>
      </c>
      <c r="H2697" s="244"/>
      <c r="I2697" s="71" t="e">
        <f>IF(COUNTIF((rName rData),H2697),"","Name Error!")</f>
        <v>#NAME?</v>
      </c>
    </row>
    <row r="2698" spans="2:9" s="126" customFormat="1" ht="15" customHeight="1" x14ac:dyDescent="0.25">
      <c r="B2698" s="271" t="s">
        <v>358</v>
      </c>
      <c r="C2698" s="272" t="s">
        <v>357</v>
      </c>
      <c r="D2698" s="275" t="s">
        <v>216</v>
      </c>
      <c r="E2698" s="275">
        <v>41644.475358796299</v>
      </c>
      <c r="F2698" s="276">
        <v>4</v>
      </c>
      <c r="G2698" s="243">
        <f t="shared" ref="G2698:G2761" si="43">TRUNC((E2698-start)/7)+1</f>
        <v>119</v>
      </c>
      <c r="H2698" s="244"/>
      <c r="I2698" s="71" t="e">
        <f>IF(COUNTIF((rName rData),H2698),"","Name Error!")</f>
        <v>#NAME?</v>
      </c>
    </row>
    <row r="2699" spans="2:9" s="126" customFormat="1" ht="15" customHeight="1" x14ac:dyDescent="0.25">
      <c r="B2699" s="271" t="s">
        <v>352</v>
      </c>
      <c r="C2699" s="272" t="s">
        <v>351</v>
      </c>
      <c r="D2699" s="275" t="s">
        <v>216</v>
      </c>
      <c r="E2699" s="275">
        <v>41644.501631944448</v>
      </c>
      <c r="F2699" s="276">
        <v>7</v>
      </c>
      <c r="G2699" s="243">
        <f t="shared" si="43"/>
        <v>119</v>
      </c>
      <c r="H2699" s="244"/>
      <c r="I2699" s="71" t="e">
        <f>IF(COUNTIF((rName rData),H2699),"","Name Error!")</f>
        <v>#NAME?</v>
      </c>
    </row>
    <row r="2700" spans="2:9" s="126" customFormat="1" ht="15" customHeight="1" x14ac:dyDescent="0.25">
      <c r="B2700" s="271" t="s">
        <v>331</v>
      </c>
      <c r="C2700" s="272" t="s">
        <v>330</v>
      </c>
      <c r="D2700" s="275" t="s">
        <v>216</v>
      </c>
      <c r="E2700" s="275">
        <v>41644.537662037037</v>
      </c>
      <c r="F2700" s="276">
        <v>5</v>
      </c>
      <c r="G2700" s="243">
        <f t="shared" si="43"/>
        <v>119</v>
      </c>
      <c r="H2700" s="244"/>
      <c r="I2700" s="71" t="e">
        <f>IF(COUNTIF((rName rData),H2700),"","Name Error!")</f>
        <v>#NAME?</v>
      </c>
    </row>
    <row r="2701" spans="2:9" s="126" customFormat="1" ht="15" customHeight="1" x14ac:dyDescent="0.25">
      <c r="B2701" s="271" t="s">
        <v>337</v>
      </c>
      <c r="C2701" s="272" t="s">
        <v>336</v>
      </c>
      <c r="D2701" s="275" t="s">
        <v>216</v>
      </c>
      <c r="E2701" s="275">
        <v>41644.564062500001</v>
      </c>
      <c r="F2701" s="276">
        <v>1</v>
      </c>
      <c r="G2701" s="243">
        <f t="shared" si="43"/>
        <v>119</v>
      </c>
      <c r="H2701" s="244"/>
      <c r="I2701" s="71" t="e">
        <f>IF(COUNTIF((rName rData),H2701),"","Name Error!")</f>
        <v>#NAME?</v>
      </c>
    </row>
    <row r="2702" spans="2:9" s="126" customFormat="1" ht="15" customHeight="1" x14ac:dyDescent="0.25">
      <c r="B2702" s="271" t="s">
        <v>328</v>
      </c>
      <c r="C2702" s="272" t="s">
        <v>327</v>
      </c>
      <c r="D2702" s="275" t="s">
        <v>216</v>
      </c>
      <c r="E2702" s="275">
        <v>41644.566493055558</v>
      </c>
      <c r="F2702" s="276">
        <v>4</v>
      </c>
      <c r="G2702" s="243">
        <f t="shared" si="43"/>
        <v>119</v>
      </c>
      <c r="H2702" s="244"/>
      <c r="I2702" s="71" t="e">
        <f>IF(COUNTIF((rName rData),H2702),"","Name Error!")</f>
        <v>#NAME?</v>
      </c>
    </row>
    <row r="2703" spans="2:9" s="126" customFormat="1" ht="15" customHeight="1" x14ac:dyDescent="0.25">
      <c r="B2703" s="271" t="s">
        <v>362</v>
      </c>
      <c r="C2703" s="272" t="s">
        <v>361</v>
      </c>
      <c r="D2703" s="275" t="s">
        <v>216</v>
      </c>
      <c r="E2703" s="275">
        <v>41644.655787037038</v>
      </c>
      <c r="F2703" s="276">
        <v>4</v>
      </c>
      <c r="G2703" s="243">
        <f t="shared" si="43"/>
        <v>119</v>
      </c>
      <c r="H2703" s="244"/>
      <c r="I2703" s="71" t="e">
        <f>IF(COUNTIF((rName rData),H2703),"","Name Error!")</f>
        <v>#NAME?</v>
      </c>
    </row>
    <row r="2704" spans="2:9" s="126" customFormat="1" ht="15" customHeight="1" x14ac:dyDescent="0.25">
      <c r="B2704" s="271" t="s">
        <v>322</v>
      </c>
      <c r="C2704" s="272" t="s">
        <v>321</v>
      </c>
      <c r="D2704" s="275" t="s">
        <v>216</v>
      </c>
      <c r="E2704" s="275">
        <v>41644.725706018522</v>
      </c>
      <c r="F2704" s="276">
        <v>3</v>
      </c>
      <c r="G2704" s="243">
        <f t="shared" si="43"/>
        <v>119</v>
      </c>
      <c r="H2704" s="244"/>
      <c r="I2704" s="71" t="e">
        <f>IF(COUNTIF((rName rData),H2704),"","Name Error!")</f>
        <v>#NAME?</v>
      </c>
    </row>
    <row r="2705" spans="2:9" s="126" customFormat="1" ht="15" customHeight="1" x14ac:dyDescent="0.25">
      <c r="B2705" s="271" t="s">
        <v>356</v>
      </c>
      <c r="C2705" s="272" t="s">
        <v>355</v>
      </c>
      <c r="D2705" s="275" t="s">
        <v>216</v>
      </c>
      <c r="E2705" s="275">
        <v>41644.760405092595</v>
      </c>
      <c r="F2705" s="276">
        <v>1</v>
      </c>
      <c r="G2705" s="243">
        <f t="shared" si="43"/>
        <v>119</v>
      </c>
      <c r="H2705" s="244"/>
      <c r="I2705" s="71" t="e">
        <f>IF(COUNTIF((rName rData),H2705),"","Name Error!")</f>
        <v>#NAME?</v>
      </c>
    </row>
    <row r="2706" spans="2:9" s="126" customFormat="1" ht="15" customHeight="1" x14ac:dyDescent="0.25">
      <c r="B2706" s="271" t="s">
        <v>279</v>
      </c>
      <c r="C2706" s="272" t="s">
        <v>280</v>
      </c>
      <c r="D2706" s="275" t="s">
        <v>216</v>
      </c>
      <c r="E2706" s="275">
        <v>41644.820439814815</v>
      </c>
      <c r="F2706" s="276">
        <v>1</v>
      </c>
      <c r="G2706" s="243">
        <f t="shared" si="43"/>
        <v>119</v>
      </c>
      <c r="H2706" s="244"/>
      <c r="I2706" s="71" t="e">
        <f>IF(COUNTIF((rName rData),H2706),"","Name Error!")</f>
        <v>#NAME?</v>
      </c>
    </row>
    <row r="2707" spans="2:9" s="126" customFormat="1" ht="15" customHeight="1" x14ac:dyDescent="0.25">
      <c r="B2707" s="271" t="s">
        <v>354</v>
      </c>
      <c r="C2707" s="272" t="s">
        <v>353</v>
      </c>
      <c r="D2707" s="275" t="s">
        <v>216</v>
      </c>
      <c r="E2707" s="275">
        <v>41644.835833333331</v>
      </c>
      <c r="F2707" s="276">
        <v>2</v>
      </c>
      <c r="G2707" s="243">
        <f t="shared" si="43"/>
        <v>119</v>
      </c>
      <c r="H2707" s="244"/>
      <c r="I2707" s="71" t="e">
        <f>IF(COUNTIF((rName rData),H2707),"","Name Error!")</f>
        <v>#NAME?</v>
      </c>
    </row>
    <row r="2708" spans="2:9" s="126" customFormat="1" ht="15" customHeight="1" x14ac:dyDescent="0.25">
      <c r="B2708" s="271" t="s">
        <v>331</v>
      </c>
      <c r="C2708" s="272" t="s">
        <v>330</v>
      </c>
      <c r="D2708" s="275" t="s">
        <v>216</v>
      </c>
      <c r="E2708" s="275">
        <v>41645.140138888892</v>
      </c>
      <c r="F2708" s="276">
        <v>3</v>
      </c>
      <c r="G2708" s="243">
        <f t="shared" si="43"/>
        <v>119</v>
      </c>
      <c r="H2708" s="244"/>
      <c r="I2708" s="71" t="e">
        <f>IF(COUNTIF((rName rData),H2708),"","Name Error!")</f>
        <v>#NAME?</v>
      </c>
    </row>
    <row r="2709" spans="2:9" s="126" customFormat="1" ht="15" customHeight="1" x14ac:dyDescent="0.25">
      <c r="B2709" s="271" t="s">
        <v>356</v>
      </c>
      <c r="C2709" s="272" t="s">
        <v>355</v>
      </c>
      <c r="D2709" s="275" t="s">
        <v>216</v>
      </c>
      <c r="E2709" s="275">
        <v>41645.304675925923</v>
      </c>
      <c r="F2709" s="276">
        <v>2</v>
      </c>
      <c r="G2709" s="243">
        <f t="shared" si="43"/>
        <v>119</v>
      </c>
      <c r="H2709" s="244"/>
      <c r="I2709" s="71" t="e">
        <f>IF(COUNTIF((rName rData),H2709),"","Name Error!")</f>
        <v>#NAME?</v>
      </c>
    </row>
    <row r="2710" spans="2:9" s="126" customFormat="1" ht="15" customHeight="1" x14ac:dyDescent="0.25">
      <c r="B2710" s="271" t="s">
        <v>358</v>
      </c>
      <c r="C2710" s="272" t="s">
        <v>357</v>
      </c>
      <c r="D2710" s="275" t="s">
        <v>216</v>
      </c>
      <c r="E2710" s="275">
        <v>41645.357569444444</v>
      </c>
      <c r="F2710" s="276">
        <v>5</v>
      </c>
      <c r="G2710" s="243">
        <f t="shared" si="43"/>
        <v>119</v>
      </c>
      <c r="H2710" s="244"/>
      <c r="I2710" s="71" t="e">
        <f>IF(COUNTIF((rName rData),H2710),"","Name Error!")</f>
        <v>#NAME?</v>
      </c>
    </row>
    <row r="2711" spans="2:9" s="126" customFormat="1" ht="15" customHeight="1" x14ac:dyDescent="0.25">
      <c r="B2711" s="271" t="s">
        <v>341</v>
      </c>
      <c r="C2711" s="272" t="s">
        <v>340</v>
      </c>
      <c r="D2711" s="275" t="s">
        <v>216</v>
      </c>
      <c r="E2711" s="275">
        <v>41645.475127314814</v>
      </c>
      <c r="F2711" s="276">
        <v>1</v>
      </c>
      <c r="G2711" s="243">
        <f t="shared" si="43"/>
        <v>119</v>
      </c>
      <c r="H2711" s="244"/>
      <c r="I2711" s="71" t="e">
        <f>IF(COUNTIF((rName rData),H2711),"","Name Error!")</f>
        <v>#NAME?</v>
      </c>
    </row>
    <row r="2712" spans="2:9" s="126" customFormat="1" ht="15" customHeight="1" x14ac:dyDescent="0.25">
      <c r="B2712" s="271" t="s">
        <v>279</v>
      </c>
      <c r="C2712" s="272" t="s">
        <v>280</v>
      </c>
      <c r="D2712" s="275" t="s">
        <v>216</v>
      </c>
      <c r="E2712" s="275">
        <v>41645.537499999999</v>
      </c>
      <c r="F2712" s="276">
        <v>21</v>
      </c>
      <c r="G2712" s="243">
        <f t="shared" si="43"/>
        <v>119</v>
      </c>
      <c r="H2712" s="244"/>
      <c r="I2712" s="71" t="e">
        <f>IF(COUNTIF((rName rData),H2712),"","Name Error!")</f>
        <v>#NAME?</v>
      </c>
    </row>
    <row r="2713" spans="2:9" s="126" customFormat="1" ht="15" customHeight="1" x14ac:dyDescent="0.25">
      <c r="B2713" s="271" t="s">
        <v>337</v>
      </c>
      <c r="C2713" s="272" t="s">
        <v>336</v>
      </c>
      <c r="D2713" s="275" t="s">
        <v>216</v>
      </c>
      <c r="E2713" s="275">
        <v>41645.580277777779</v>
      </c>
      <c r="F2713" s="276">
        <v>1</v>
      </c>
      <c r="G2713" s="243">
        <f t="shared" si="43"/>
        <v>119</v>
      </c>
      <c r="H2713" s="244"/>
      <c r="I2713" s="71" t="e">
        <f>IF(COUNTIF((rName rData),H2713),"","Name Error!")</f>
        <v>#NAME?</v>
      </c>
    </row>
    <row r="2714" spans="2:9" s="126" customFormat="1" ht="15" customHeight="1" x14ac:dyDescent="0.25">
      <c r="B2714" s="271" t="s">
        <v>352</v>
      </c>
      <c r="C2714" s="272" t="s">
        <v>351</v>
      </c>
      <c r="D2714" s="275" t="s">
        <v>216</v>
      </c>
      <c r="E2714" s="275">
        <v>41645.692858796298</v>
      </c>
      <c r="F2714" s="276">
        <v>6</v>
      </c>
      <c r="G2714" s="243">
        <f t="shared" si="43"/>
        <v>119</v>
      </c>
      <c r="H2714" s="244"/>
      <c r="I2714" s="71" t="e">
        <f>IF(COUNTIF((rName rData),H2714),"","Name Error!")</f>
        <v>#NAME?</v>
      </c>
    </row>
    <row r="2715" spans="2:9" s="126" customFormat="1" ht="15" customHeight="1" x14ac:dyDescent="0.25">
      <c r="B2715" s="271" t="s">
        <v>322</v>
      </c>
      <c r="C2715" s="272" t="s">
        <v>321</v>
      </c>
      <c r="D2715" s="275" t="s">
        <v>216</v>
      </c>
      <c r="E2715" s="275">
        <v>41645.846817129626</v>
      </c>
      <c r="F2715" s="276">
        <v>3</v>
      </c>
      <c r="G2715" s="243">
        <f t="shared" si="43"/>
        <v>119</v>
      </c>
      <c r="H2715" s="244"/>
      <c r="I2715" s="71" t="e">
        <f>IF(COUNTIF((rName rData),H2715),"","Name Error!")</f>
        <v>#NAME?</v>
      </c>
    </row>
    <row r="2716" spans="2:9" s="126" customFormat="1" ht="15" customHeight="1" x14ac:dyDescent="0.25">
      <c r="B2716" s="271" t="s">
        <v>371</v>
      </c>
      <c r="C2716" s="272" t="s">
        <v>370</v>
      </c>
      <c r="D2716" s="275" t="s">
        <v>216</v>
      </c>
      <c r="E2716" s="275">
        <v>41645.879629629628</v>
      </c>
      <c r="F2716" s="276">
        <v>1</v>
      </c>
      <c r="G2716" s="243">
        <f t="shared" si="43"/>
        <v>119</v>
      </c>
      <c r="H2716" s="244"/>
      <c r="I2716" s="71" t="e">
        <f>IF(COUNTIF((rName rData),H2716),"","Name Error!")</f>
        <v>#NAME?</v>
      </c>
    </row>
    <row r="2717" spans="2:9" s="126" customFormat="1" ht="15" customHeight="1" x14ac:dyDescent="0.25">
      <c r="B2717" s="271" t="s">
        <v>333</v>
      </c>
      <c r="C2717" s="272" t="s">
        <v>332</v>
      </c>
      <c r="D2717" s="275" t="s">
        <v>216</v>
      </c>
      <c r="E2717" s="275">
        <v>41645.982430555552</v>
      </c>
      <c r="F2717" s="276">
        <v>2</v>
      </c>
      <c r="G2717" s="243">
        <f t="shared" si="43"/>
        <v>119</v>
      </c>
      <c r="H2717" s="244"/>
      <c r="I2717" s="71" t="e">
        <f>IF(COUNTIF((rName rData),H2717),"","Name Error!")</f>
        <v>#NAME?</v>
      </c>
    </row>
    <row r="2718" spans="2:9" s="126" customFormat="1" ht="15" customHeight="1" x14ac:dyDescent="0.25">
      <c r="B2718" s="271" t="s">
        <v>367</v>
      </c>
      <c r="C2718" s="272" t="s">
        <v>366</v>
      </c>
      <c r="D2718" s="275" t="s">
        <v>216</v>
      </c>
      <c r="E2718" s="275">
        <v>41645.985671296294</v>
      </c>
      <c r="F2718" s="276">
        <v>5</v>
      </c>
      <c r="G2718" s="243">
        <f t="shared" si="43"/>
        <v>119</v>
      </c>
      <c r="H2718" s="244"/>
      <c r="I2718" s="71" t="e">
        <f>IF(COUNTIF((rName rData),H2718),"","Name Error!")</f>
        <v>#NAME?</v>
      </c>
    </row>
    <row r="2719" spans="2:9" s="126" customFormat="1" ht="15" customHeight="1" x14ac:dyDescent="0.25">
      <c r="B2719" s="271" t="s">
        <v>350</v>
      </c>
      <c r="C2719" s="272" t="s">
        <v>349</v>
      </c>
      <c r="D2719" s="275" t="s">
        <v>216</v>
      </c>
      <c r="E2719" s="275">
        <v>41646.023634259262</v>
      </c>
      <c r="F2719" s="276">
        <v>3</v>
      </c>
      <c r="G2719" s="243">
        <f t="shared" si="43"/>
        <v>119</v>
      </c>
      <c r="H2719" s="244"/>
      <c r="I2719" s="71" t="e">
        <f>IF(COUNTIF((rName rData),H2719),"","Name Error!")</f>
        <v>#NAME?</v>
      </c>
    </row>
    <row r="2720" spans="2:9" s="126" customFormat="1" ht="15" customHeight="1" x14ac:dyDescent="0.25">
      <c r="B2720" s="271" t="s">
        <v>331</v>
      </c>
      <c r="C2720" s="272" t="s">
        <v>330</v>
      </c>
      <c r="D2720" s="275" t="s">
        <v>216</v>
      </c>
      <c r="E2720" s="275">
        <v>41646.033101851855</v>
      </c>
      <c r="F2720" s="276">
        <v>1</v>
      </c>
      <c r="G2720" s="243">
        <f t="shared" si="43"/>
        <v>119</v>
      </c>
      <c r="H2720" s="244"/>
      <c r="I2720" s="71" t="e">
        <f>IF(COUNTIF((rName rData),H2720),"","Name Error!")</f>
        <v>#NAME?</v>
      </c>
    </row>
    <row r="2721" spans="2:9" s="126" customFormat="1" ht="15" customHeight="1" x14ac:dyDescent="0.25">
      <c r="B2721" s="271" t="s">
        <v>371</v>
      </c>
      <c r="C2721" s="272" t="s">
        <v>370</v>
      </c>
      <c r="D2721" s="275" t="s">
        <v>216</v>
      </c>
      <c r="E2721" s="275">
        <v>41646.036643518521</v>
      </c>
      <c r="F2721" s="276">
        <v>10</v>
      </c>
      <c r="G2721" s="243">
        <f t="shared" si="43"/>
        <v>119</v>
      </c>
      <c r="H2721" s="244"/>
      <c r="I2721" s="71" t="e">
        <f>IF(COUNTIF((rName rData),H2721),"","Name Error!")</f>
        <v>#NAME?</v>
      </c>
    </row>
    <row r="2722" spans="2:9" s="126" customFormat="1" ht="15" customHeight="1" x14ac:dyDescent="0.25">
      <c r="B2722" s="271" t="s">
        <v>335</v>
      </c>
      <c r="C2722" s="272" t="s">
        <v>334</v>
      </c>
      <c r="D2722" s="275" t="s">
        <v>216</v>
      </c>
      <c r="E2722" s="275">
        <v>41646.284085648149</v>
      </c>
      <c r="F2722" s="276">
        <v>4</v>
      </c>
      <c r="G2722" s="243">
        <f t="shared" si="43"/>
        <v>119</v>
      </c>
      <c r="H2722" s="244"/>
      <c r="I2722" s="71" t="e">
        <f>IF(COUNTIF((rName rData),H2722),"","Name Error!")</f>
        <v>#NAME?</v>
      </c>
    </row>
    <row r="2723" spans="2:9" s="126" customFormat="1" ht="15" customHeight="1" x14ac:dyDescent="0.25">
      <c r="B2723" s="271" t="s">
        <v>356</v>
      </c>
      <c r="C2723" s="272" t="s">
        <v>355</v>
      </c>
      <c r="D2723" s="275" t="s">
        <v>216</v>
      </c>
      <c r="E2723" s="275">
        <v>41646.329317129632</v>
      </c>
      <c r="F2723" s="276">
        <v>5</v>
      </c>
      <c r="G2723" s="243">
        <f t="shared" si="43"/>
        <v>119</v>
      </c>
      <c r="H2723" s="244"/>
      <c r="I2723" s="71" t="e">
        <f>IF(COUNTIF((rName rData),H2723),"","Name Error!")</f>
        <v>#NAME?</v>
      </c>
    </row>
    <row r="2724" spans="2:9" s="126" customFormat="1" ht="15" customHeight="1" x14ac:dyDescent="0.25">
      <c r="B2724" s="271" t="s">
        <v>267</v>
      </c>
      <c r="C2724" s="272" t="s">
        <v>268</v>
      </c>
      <c r="D2724" s="275" t="s">
        <v>216</v>
      </c>
      <c r="E2724" s="275">
        <v>41646.332627314812</v>
      </c>
      <c r="F2724" s="276">
        <v>2</v>
      </c>
      <c r="G2724" s="243">
        <f t="shared" si="43"/>
        <v>119</v>
      </c>
      <c r="H2724" s="244"/>
      <c r="I2724" s="71" t="e">
        <f>IF(COUNTIF((rName rData),H2724),"","Name Error!")</f>
        <v>#NAME?</v>
      </c>
    </row>
    <row r="2725" spans="2:9" s="126" customFormat="1" ht="15" customHeight="1" x14ac:dyDescent="0.25">
      <c r="B2725" s="271" t="s">
        <v>345</v>
      </c>
      <c r="C2725" s="272" t="s">
        <v>344</v>
      </c>
      <c r="D2725" s="275" t="s">
        <v>216</v>
      </c>
      <c r="E2725" s="275">
        <v>41646.415648148148</v>
      </c>
      <c r="F2725" s="276">
        <v>1</v>
      </c>
      <c r="G2725" s="243">
        <f t="shared" si="43"/>
        <v>119</v>
      </c>
      <c r="H2725" s="244"/>
      <c r="I2725" s="71" t="e">
        <f>IF(COUNTIF((rName rData),H2725),"","Name Error!")</f>
        <v>#NAME?</v>
      </c>
    </row>
    <row r="2726" spans="2:9" s="126" customFormat="1" ht="15" customHeight="1" x14ac:dyDescent="0.25">
      <c r="B2726" s="271" t="s">
        <v>358</v>
      </c>
      <c r="C2726" s="272" t="s">
        <v>357</v>
      </c>
      <c r="D2726" s="275" t="s">
        <v>216</v>
      </c>
      <c r="E2726" s="275">
        <v>41646.469814814816</v>
      </c>
      <c r="F2726" s="276">
        <v>3</v>
      </c>
      <c r="G2726" s="243">
        <f t="shared" si="43"/>
        <v>119</v>
      </c>
      <c r="H2726" s="244"/>
      <c r="I2726" s="71" t="e">
        <f>IF(COUNTIF((rName rData),H2726),"","Name Error!")</f>
        <v>#NAME?</v>
      </c>
    </row>
    <row r="2727" spans="2:9" s="126" customFormat="1" ht="15" customHeight="1" x14ac:dyDescent="0.25">
      <c r="B2727" s="271" t="s">
        <v>337</v>
      </c>
      <c r="C2727" s="272" t="s">
        <v>336</v>
      </c>
      <c r="D2727" s="275" t="s">
        <v>216</v>
      </c>
      <c r="E2727" s="275">
        <v>41646.474768518521</v>
      </c>
      <c r="F2727" s="276">
        <v>2</v>
      </c>
      <c r="G2727" s="243">
        <f t="shared" si="43"/>
        <v>119</v>
      </c>
      <c r="H2727" s="244"/>
      <c r="I2727" s="71" t="e">
        <f>IF(COUNTIF((rName rData),H2727),"","Name Error!")</f>
        <v>#NAME?</v>
      </c>
    </row>
    <row r="2728" spans="2:9" s="126" customFormat="1" ht="15" customHeight="1" x14ac:dyDescent="0.25">
      <c r="B2728" s="271" t="s">
        <v>339</v>
      </c>
      <c r="C2728" s="272" t="s">
        <v>338</v>
      </c>
      <c r="D2728" s="275" t="s">
        <v>216</v>
      </c>
      <c r="E2728" s="275">
        <v>41646.633819444447</v>
      </c>
      <c r="F2728" s="276">
        <v>1</v>
      </c>
      <c r="G2728" s="243">
        <f t="shared" si="43"/>
        <v>119</v>
      </c>
      <c r="H2728" s="244"/>
      <c r="I2728" s="71" t="e">
        <f>IF(COUNTIF((rName rData),H2728),"","Name Error!")</f>
        <v>#NAME?</v>
      </c>
    </row>
    <row r="2729" spans="2:9" s="126" customFormat="1" ht="15" customHeight="1" x14ac:dyDescent="0.25">
      <c r="B2729" s="271" t="s">
        <v>352</v>
      </c>
      <c r="C2729" s="272" t="s">
        <v>351</v>
      </c>
      <c r="D2729" s="275" t="s">
        <v>216</v>
      </c>
      <c r="E2729" s="275">
        <v>41646.742442129631</v>
      </c>
      <c r="F2729" s="276">
        <v>7</v>
      </c>
      <c r="G2729" s="243">
        <f t="shared" si="43"/>
        <v>119</v>
      </c>
      <c r="H2729" s="244"/>
      <c r="I2729" s="71" t="e">
        <f>IF(COUNTIF((rName rData),H2729),"","Name Error!")</f>
        <v>#NAME?</v>
      </c>
    </row>
    <row r="2730" spans="2:9" s="126" customFormat="1" ht="15" customHeight="1" x14ac:dyDescent="0.25">
      <c r="B2730" s="271" t="s">
        <v>365</v>
      </c>
      <c r="C2730" s="272" t="s">
        <v>364</v>
      </c>
      <c r="D2730" s="275" t="s">
        <v>216</v>
      </c>
      <c r="E2730" s="275">
        <v>41646.749293981484</v>
      </c>
      <c r="F2730" s="276">
        <v>1</v>
      </c>
      <c r="G2730" s="243">
        <f t="shared" si="43"/>
        <v>119</v>
      </c>
      <c r="H2730" s="244"/>
      <c r="I2730" s="71" t="e">
        <f>IF(COUNTIF((rName rData),H2730),"","Name Error!")</f>
        <v>#NAME?</v>
      </c>
    </row>
    <row r="2731" spans="2:9" s="126" customFormat="1" ht="15" customHeight="1" x14ac:dyDescent="0.25">
      <c r="B2731" s="271" t="s">
        <v>341</v>
      </c>
      <c r="C2731" s="272" t="s">
        <v>340</v>
      </c>
      <c r="D2731" s="275" t="s">
        <v>216</v>
      </c>
      <c r="E2731" s="275">
        <v>41646.853043981479</v>
      </c>
      <c r="F2731" s="276">
        <v>1</v>
      </c>
      <c r="G2731" s="243">
        <f t="shared" si="43"/>
        <v>119</v>
      </c>
      <c r="H2731" s="244"/>
      <c r="I2731" s="71" t="e">
        <f>IF(COUNTIF((rName rData),H2731),"","Name Error!")</f>
        <v>#NAME?</v>
      </c>
    </row>
    <row r="2732" spans="2:9" s="126" customFormat="1" ht="15" customHeight="1" x14ac:dyDescent="0.25">
      <c r="B2732" s="271" t="s">
        <v>322</v>
      </c>
      <c r="C2732" s="272" t="s">
        <v>321</v>
      </c>
      <c r="D2732" s="275" t="s">
        <v>216</v>
      </c>
      <c r="E2732" s="275">
        <v>41646.859976851854</v>
      </c>
      <c r="F2732" s="276">
        <v>4</v>
      </c>
      <c r="G2732" s="243">
        <f t="shared" si="43"/>
        <v>119</v>
      </c>
      <c r="H2732" s="244"/>
      <c r="I2732" s="71" t="e">
        <f>IF(COUNTIF((rName rData),H2732),"","Name Error!")</f>
        <v>#NAME?</v>
      </c>
    </row>
    <row r="2733" spans="2:9" s="126" customFormat="1" ht="15" customHeight="1" x14ac:dyDescent="0.25">
      <c r="B2733" s="271" t="s">
        <v>339</v>
      </c>
      <c r="C2733" s="272" t="s">
        <v>338</v>
      </c>
      <c r="D2733" s="275" t="s">
        <v>216</v>
      </c>
      <c r="E2733" s="275">
        <v>41647.004560185182</v>
      </c>
      <c r="F2733" s="276">
        <v>1</v>
      </c>
      <c r="G2733" s="243">
        <f t="shared" si="43"/>
        <v>119</v>
      </c>
      <c r="H2733" s="244"/>
      <c r="I2733" s="71" t="e">
        <f>IF(COUNTIF((rName rData),H2733),"","Name Error!")</f>
        <v>#NAME?</v>
      </c>
    </row>
    <row r="2734" spans="2:9" s="126" customFormat="1" ht="15" customHeight="1" x14ac:dyDescent="0.25">
      <c r="B2734" s="271" t="s">
        <v>328</v>
      </c>
      <c r="C2734" s="272" t="s">
        <v>327</v>
      </c>
      <c r="D2734" s="275" t="s">
        <v>216</v>
      </c>
      <c r="E2734" s="275">
        <v>41647.019930555558</v>
      </c>
      <c r="F2734" s="276">
        <v>1</v>
      </c>
      <c r="G2734" s="243">
        <f t="shared" si="43"/>
        <v>119</v>
      </c>
      <c r="H2734" s="244"/>
      <c r="I2734" s="71" t="e">
        <f>IF(COUNTIF((rName rData),H2734),"","Name Error!")</f>
        <v>#NAME?</v>
      </c>
    </row>
    <row r="2735" spans="2:9" s="126" customFormat="1" ht="15" customHeight="1" x14ac:dyDescent="0.25">
      <c r="B2735" s="271" t="s">
        <v>371</v>
      </c>
      <c r="C2735" s="272" t="s">
        <v>370</v>
      </c>
      <c r="D2735" s="275" t="s">
        <v>216</v>
      </c>
      <c r="E2735" s="275">
        <v>41647.058981481481</v>
      </c>
      <c r="F2735" s="276">
        <v>7</v>
      </c>
      <c r="G2735" s="243">
        <f t="shared" si="43"/>
        <v>119</v>
      </c>
      <c r="H2735" s="244"/>
      <c r="I2735" s="71" t="e">
        <f>IF(COUNTIF((rName rData),H2735),"","Name Error!")</f>
        <v>#NAME?</v>
      </c>
    </row>
    <row r="2736" spans="2:9" s="126" customFormat="1" ht="15" customHeight="1" x14ac:dyDescent="0.25">
      <c r="B2736" s="271" t="s">
        <v>331</v>
      </c>
      <c r="C2736" s="272" t="s">
        <v>330</v>
      </c>
      <c r="D2736" s="275" t="s">
        <v>216</v>
      </c>
      <c r="E2736" s="275">
        <v>41647.071608796294</v>
      </c>
      <c r="F2736" s="276">
        <v>1</v>
      </c>
      <c r="G2736" s="243">
        <f t="shared" si="43"/>
        <v>119</v>
      </c>
      <c r="H2736" s="244"/>
      <c r="I2736" s="71" t="e">
        <f>IF(COUNTIF((rName rData),H2736),"","Name Error!")</f>
        <v>#NAME?</v>
      </c>
    </row>
    <row r="2737" spans="2:9" s="126" customFormat="1" ht="15" customHeight="1" x14ac:dyDescent="0.25">
      <c r="B2737" s="271" t="s">
        <v>333</v>
      </c>
      <c r="C2737" s="272" t="s">
        <v>332</v>
      </c>
      <c r="D2737" s="275" t="s">
        <v>216</v>
      </c>
      <c r="E2737" s="275">
        <v>41647.183842592596</v>
      </c>
      <c r="F2737" s="276">
        <v>12</v>
      </c>
      <c r="G2737" s="243">
        <f t="shared" si="43"/>
        <v>119</v>
      </c>
      <c r="H2737" s="244"/>
      <c r="I2737" s="71" t="e">
        <f>IF(COUNTIF((rName rData),H2737),"","Name Error!")</f>
        <v>#NAME?</v>
      </c>
    </row>
    <row r="2738" spans="2:9" s="126" customFormat="1" ht="15" customHeight="1" x14ac:dyDescent="0.25">
      <c r="B2738" s="271" t="s">
        <v>354</v>
      </c>
      <c r="C2738" s="272" t="s">
        <v>353</v>
      </c>
      <c r="D2738" s="275" t="s">
        <v>216</v>
      </c>
      <c r="E2738" s="275">
        <v>41647.331585648149</v>
      </c>
      <c r="F2738" s="276">
        <v>5</v>
      </c>
      <c r="G2738" s="243">
        <f t="shared" si="43"/>
        <v>119</v>
      </c>
      <c r="H2738" s="244"/>
      <c r="I2738" s="71" t="e">
        <f>IF(COUNTIF((rName rData),H2738),"","Name Error!")</f>
        <v>#NAME?</v>
      </c>
    </row>
    <row r="2739" spans="2:9" s="126" customFormat="1" ht="15" customHeight="1" x14ac:dyDescent="0.25">
      <c r="B2739" s="271" t="s">
        <v>267</v>
      </c>
      <c r="C2739" s="272" t="s">
        <v>268</v>
      </c>
      <c r="D2739" s="275" t="s">
        <v>216</v>
      </c>
      <c r="E2739" s="275">
        <v>41647.343136574076</v>
      </c>
      <c r="F2739" s="276">
        <v>4</v>
      </c>
      <c r="G2739" s="243">
        <f t="shared" si="43"/>
        <v>119</v>
      </c>
      <c r="H2739" s="244"/>
      <c r="I2739" s="71" t="e">
        <f>IF(COUNTIF((rName rData),H2739),"","Name Error!")</f>
        <v>#NAME?</v>
      </c>
    </row>
    <row r="2740" spans="2:9" s="126" customFormat="1" ht="15" customHeight="1" x14ac:dyDescent="0.25">
      <c r="B2740" s="271" t="s">
        <v>358</v>
      </c>
      <c r="C2740" s="272" t="s">
        <v>357</v>
      </c>
      <c r="D2740" s="275" t="s">
        <v>216</v>
      </c>
      <c r="E2740" s="275">
        <v>41647.363715277781</v>
      </c>
      <c r="F2740" s="276">
        <v>3</v>
      </c>
      <c r="G2740" s="243">
        <f t="shared" si="43"/>
        <v>119</v>
      </c>
      <c r="H2740" s="244"/>
      <c r="I2740" s="71" t="e">
        <f>IF(COUNTIF((rName rData),H2740),"","Name Error!")</f>
        <v>#NAME?</v>
      </c>
    </row>
    <row r="2741" spans="2:9" s="126" customFormat="1" ht="15" customHeight="1" x14ac:dyDescent="0.25">
      <c r="B2741" s="271" t="s">
        <v>356</v>
      </c>
      <c r="C2741" s="272" t="s">
        <v>355</v>
      </c>
      <c r="D2741" s="275" t="s">
        <v>216</v>
      </c>
      <c r="E2741" s="275">
        <v>41647.375243055554</v>
      </c>
      <c r="F2741" s="276">
        <v>5</v>
      </c>
      <c r="G2741" s="243">
        <f t="shared" si="43"/>
        <v>119</v>
      </c>
      <c r="H2741" s="244"/>
      <c r="I2741" s="71" t="e">
        <f>IF(COUNTIF((rName rData),H2741),"","Name Error!")</f>
        <v>#NAME?</v>
      </c>
    </row>
    <row r="2742" spans="2:9" s="126" customFormat="1" ht="15" customHeight="1" x14ac:dyDescent="0.25">
      <c r="B2742" s="271" t="s">
        <v>322</v>
      </c>
      <c r="C2742" s="272" t="s">
        <v>321</v>
      </c>
      <c r="D2742" s="275" t="s">
        <v>216</v>
      </c>
      <c r="E2742" s="275">
        <v>41647.394525462965</v>
      </c>
      <c r="F2742" s="276">
        <v>4</v>
      </c>
      <c r="G2742" s="243">
        <f t="shared" si="43"/>
        <v>119</v>
      </c>
      <c r="H2742" s="244"/>
      <c r="I2742" s="71" t="e">
        <f>IF(COUNTIF((rName rData),H2742),"","Name Error!")</f>
        <v>#NAME?</v>
      </c>
    </row>
    <row r="2743" spans="2:9" s="126" customFormat="1" ht="15" customHeight="1" x14ac:dyDescent="0.25">
      <c r="B2743" s="271" t="s">
        <v>345</v>
      </c>
      <c r="C2743" s="272" t="s">
        <v>344</v>
      </c>
      <c r="D2743" s="275" t="s">
        <v>216</v>
      </c>
      <c r="E2743" s="275">
        <v>41647.477523148147</v>
      </c>
      <c r="F2743" s="276">
        <v>4</v>
      </c>
      <c r="G2743" s="243">
        <f t="shared" si="43"/>
        <v>119</v>
      </c>
      <c r="H2743" s="244"/>
      <c r="I2743" s="71" t="e">
        <f>IF(COUNTIF((rName rData),H2743),"","Name Error!")</f>
        <v>#NAME?</v>
      </c>
    </row>
    <row r="2744" spans="2:9" s="126" customFormat="1" ht="15" customHeight="1" x14ac:dyDescent="0.25">
      <c r="B2744" s="271" t="s">
        <v>365</v>
      </c>
      <c r="C2744" s="272" t="s">
        <v>364</v>
      </c>
      <c r="D2744" s="275" t="s">
        <v>216</v>
      </c>
      <c r="E2744" s="275">
        <v>41647.737534722219</v>
      </c>
      <c r="F2744" s="276">
        <v>4</v>
      </c>
      <c r="G2744" s="243">
        <f t="shared" si="43"/>
        <v>119</v>
      </c>
      <c r="H2744" s="244"/>
      <c r="I2744" s="71" t="e">
        <f>IF(COUNTIF((rName rData),H2744),"","Name Error!")</f>
        <v>#NAME?</v>
      </c>
    </row>
    <row r="2745" spans="2:9" s="126" customFormat="1" ht="15" customHeight="1" x14ac:dyDescent="0.25">
      <c r="B2745" s="271" t="s">
        <v>350</v>
      </c>
      <c r="C2745" s="272" t="s">
        <v>349</v>
      </c>
      <c r="D2745" s="275" t="s">
        <v>216</v>
      </c>
      <c r="E2745" s="275">
        <v>41647.764421296299</v>
      </c>
      <c r="F2745" s="276">
        <v>2</v>
      </c>
      <c r="G2745" s="243">
        <f t="shared" si="43"/>
        <v>119</v>
      </c>
      <c r="H2745" s="244"/>
      <c r="I2745" s="71" t="e">
        <f>IF(COUNTIF((rName rData),H2745),"","Name Error!")</f>
        <v>#NAME?</v>
      </c>
    </row>
    <row r="2746" spans="2:9" s="126" customFormat="1" ht="15" customHeight="1" x14ac:dyDescent="0.25">
      <c r="B2746" s="271" t="s">
        <v>335</v>
      </c>
      <c r="C2746" s="272" t="s">
        <v>334</v>
      </c>
      <c r="D2746" s="275" t="s">
        <v>216</v>
      </c>
      <c r="E2746" s="275">
        <v>41647.785879629628</v>
      </c>
      <c r="F2746" s="276">
        <v>5</v>
      </c>
      <c r="G2746" s="243">
        <f t="shared" si="43"/>
        <v>119</v>
      </c>
      <c r="H2746" s="244"/>
      <c r="I2746" s="71" t="e">
        <f>IF(COUNTIF((rName rData),H2746),"","Name Error!")</f>
        <v>#NAME?</v>
      </c>
    </row>
    <row r="2747" spans="2:9" s="126" customFormat="1" ht="15" customHeight="1" x14ac:dyDescent="0.25">
      <c r="B2747" s="271" t="s">
        <v>352</v>
      </c>
      <c r="C2747" s="272" t="s">
        <v>351</v>
      </c>
      <c r="D2747" s="275" t="s">
        <v>216</v>
      </c>
      <c r="E2747" s="275">
        <v>41647.801840277774</v>
      </c>
      <c r="F2747" s="276">
        <v>2</v>
      </c>
      <c r="G2747" s="243">
        <f t="shared" si="43"/>
        <v>119</v>
      </c>
      <c r="H2747" s="244"/>
      <c r="I2747" s="71" t="e">
        <f>IF(COUNTIF((rName rData),H2747),"","Name Error!")</f>
        <v>#NAME?</v>
      </c>
    </row>
    <row r="2748" spans="2:9" s="126" customFormat="1" ht="15" customHeight="1" x14ac:dyDescent="0.25">
      <c r="B2748" s="271" t="s">
        <v>333</v>
      </c>
      <c r="C2748" s="272" t="s">
        <v>332</v>
      </c>
      <c r="D2748" s="275" t="s">
        <v>216</v>
      </c>
      <c r="E2748" s="275">
        <v>41648.011921296296</v>
      </c>
      <c r="F2748" s="276">
        <v>2</v>
      </c>
      <c r="G2748" s="243">
        <f t="shared" si="43"/>
        <v>119</v>
      </c>
      <c r="H2748" s="244"/>
      <c r="I2748" s="71" t="e">
        <f>IF(COUNTIF((rName rData),H2748),"","Name Error!")</f>
        <v>#NAME?</v>
      </c>
    </row>
    <row r="2749" spans="2:9" s="126" customFormat="1" ht="15" customHeight="1" x14ac:dyDescent="0.25">
      <c r="B2749" s="271" t="s">
        <v>331</v>
      </c>
      <c r="C2749" s="272" t="s">
        <v>330</v>
      </c>
      <c r="D2749" s="275" t="s">
        <v>216</v>
      </c>
      <c r="E2749" s="275">
        <v>41648.017164351855</v>
      </c>
      <c r="F2749" s="276">
        <v>2</v>
      </c>
      <c r="G2749" s="243">
        <f t="shared" si="43"/>
        <v>119</v>
      </c>
      <c r="H2749" s="244"/>
      <c r="I2749" s="71" t="e">
        <f>IF(COUNTIF((rName rData),H2749),"","Name Error!")</f>
        <v>#NAME?</v>
      </c>
    </row>
    <row r="2750" spans="2:9" s="126" customFormat="1" ht="15" customHeight="1" x14ac:dyDescent="0.25">
      <c r="B2750" s="271" t="s">
        <v>350</v>
      </c>
      <c r="C2750" s="272" t="s">
        <v>349</v>
      </c>
      <c r="D2750" s="275" t="s">
        <v>216</v>
      </c>
      <c r="E2750" s="275">
        <v>41648.022430555553</v>
      </c>
      <c r="F2750" s="276">
        <v>1</v>
      </c>
      <c r="G2750" s="243">
        <f t="shared" si="43"/>
        <v>119</v>
      </c>
      <c r="H2750" s="244"/>
      <c r="I2750" s="71" t="e">
        <f>IF(COUNTIF((rName rData),H2750),"","Name Error!")</f>
        <v>#NAME?</v>
      </c>
    </row>
    <row r="2751" spans="2:9" s="126" customFormat="1" ht="15" customHeight="1" x14ac:dyDescent="0.25">
      <c r="B2751" s="271" t="s">
        <v>356</v>
      </c>
      <c r="C2751" s="272" t="s">
        <v>355</v>
      </c>
      <c r="D2751" s="275" t="s">
        <v>216</v>
      </c>
      <c r="E2751" s="275">
        <v>41648.344317129631</v>
      </c>
      <c r="F2751" s="276">
        <v>1</v>
      </c>
      <c r="G2751" s="243">
        <f t="shared" si="43"/>
        <v>119</v>
      </c>
      <c r="H2751" s="244"/>
      <c r="I2751" s="71" t="e">
        <f>IF(COUNTIF((rName rData),H2751),"","Name Error!")</f>
        <v>#NAME?</v>
      </c>
    </row>
    <row r="2752" spans="2:9" s="126" customFormat="1" ht="15" customHeight="1" x14ac:dyDescent="0.25">
      <c r="B2752" s="271" t="s">
        <v>267</v>
      </c>
      <c r="C2752" s="272" t="s">
        <v>268</v>
      </c>
      <c r="D2752" s="275" t="s">
        <v>216</v>
      </c>
      <c r="E2752" s="275">
        <v>41648.3512962963</v>
      </c>
      <c r="F2752" s="276">
        <v>2</v>
      </c>
      <c r="G2752" s="243">
        <f t="shared" si="43"/>
        <v>119</v>
      </c>
      <c r="H2752" s="244"/>
      <c r="I2752" s="71" t="e">
        <f>IF(COUNTIF((rName rData),H2752),"","Name Error!")</f>
        <v>#NAME?</v>
      </c>
    </row>
    <row r="2753" spans="2:9" s="126" customFormat="1" ht="15" customHeight="1" x14ac:dyDescent="0.25">
      <c r="B2753" s="271" t="s">
        <v>358</v>
      </c>
      <c r="C2753" s="272" t="s">
        <v>357</v>
      </c>
      <c r="D2753" s="275" t="s">
        <v>216</v>
      </c>
      <c r="E2753" s="275">
        <v>41648.354189814818</v>
      </c>
      <c r="F2753" s="276">
        <v>3</v>
      </c>
      <c r="G2753" s="243">
        <f t="shared" si="43"/>
        <v>119</v>
      </c>
      <c r="H2753" s="244"/>
      <c r="I2753" s="71" t="e">
        <f>IF(COUNTIF((rName rData),H2753),"","Name Error!")</f>
        <v>#NAME?</v>
      </c>
    </row>
    <row r="2754" spans="2:9" s="126" customFormat="1" ht="15" customHeight="1" x14ac:dyDescent="0.25">
      <c r="B2754" s="271" t="s">
        <v>322</v>
      </c>
      <c r="C2754" s="272" t="s">
        <v>321</v>
      </c>
      <c r="D2754" s="275" t="s">
        <v>216</v>
      </c>
      <c r="E2754" s="275">
        <v>41648.435127314813</v>
      </c>
      <c r="F2754" s="276">
        <v>1</v>
      </c>
      <c r="G2754" s="243">
        <f t="shared" si="43"/>
        <v>119</v>
      </c>
      <c r="H2754" s="244"/>
      <c r="I2754" s="71" t="e">
        <f>IF(COUNTIF((rName rData),H2754),"","Name Error!")</f>
        <v>#NAME?</v>
      </c>
    </row>
    <row r="2755" spans="2:9" s="126" customFormat="1" ht="15" customHeight="1" x14ac:dyDescent="0.25">
      <c r="B2755" s="271" t="s">
        <v>365</v>
      </c>
      <c r="C2755" s="272" t="s">
        <v>364</v>
      </c>
      <c r="D2755" s="275" t="s">
        <v>216</v>
      </c>
      <c r="E2755" s="275">
        <v>41648.536400462966</v>
      </c>
      <c r="F2755" s="276">
        <v>1</v>
      </c>
      <c r="G2755" s="243">
        <f t="shared" si="43"/>
        <v>119</v>
      </c>
      <c r="H2755" s="244"/>
      <c r="I2755" s="71" t="e">
        <f>IF(COUNTIF((rName rData),H2755),"","Name Error!")</f>
        <v>#NAME?</v>
      </c>
    </row>
    <row r="2756" spans="2:9" s="126" customFormat="1" ht="15" customHeight="1" x14ac:dyDescent="0.25">
      <c r="B2756" s="271" t="s">
        <v>345</v>
      </c>
      <c r="C2756" s="272" t="s">
        <v>344</v>
      </c>
      <c r="D2756" s="275" t="s">
        <v>216</v>
      </c>
      <c r="E2756" s="275">
        <v>41648.7656712963</v>
      </c>
      <c r="F2756" s="276">
        <v>1</v>
      </c>
      <c r="G2756" s="243">
        <f t="shared" si="43"/>
        <v>119</v>
      </c>
      <c r="H2756" s="244"/>
      <c r="I2756" s="71" t="e">
        <f>IF(COUNTIF((rName rData),H2756),"","Name Error!")</f>
        <v>#NAME?</v>
      </c>
    </row>
    <row r="2757" spans="2:9" s="126" customFormat="1" ht="15" customHeight="1" x14ac:dyDescent="0.25">
      <c r="B2757" s="271" t="s">
        <v>335</v>
      </c>
      <c r="C2757" s="272" t="s">
        <v>334</v>
      </c>
      <c r="D2757" s="275" t="s">
        <v>216</v>
      </c>
      <c r="E2757" s="275">
        <v>41648.84138888889</v>
      </c>
      <c r="F2757" s="276">
        <v>1</v>
      </c>
      <c r="G2757" s="243">
        <f t="shared" si="43"/>
        <v>119</v>
      </c>
      <c r="H2757" s="244"/>
      <c r="I2757" s="71" t="e">
        <f>IF(COUNTIF((rName rData),H2757),"","Name Error!")</f>
        <v>#NAME?</v>
      </c>
    </row>
    <row r="2758" spans="2:9" s="126" customFormat="1" ht="15" customHeight="1" x14ac:dyDescent="0.25">
      <c r="B2758" s="271" t="s">
        <v>352</v>
      </c>
      <c r="C2758" s="272" t="s">
        <v>351</v>
      </c>
      <c r="D2758" s="275" t="s">
        <v>216</v>
      </c>
      <c r="E2758" s="275">
        <v>41648.897777777776</v>
      </c>
      <c r="F2758" s="276">
        <v>2</v>
      </c>
      <c r="G2758" s="243">
        <f t="shared" si="43"/>
        <v>119</v>
      </c>
      <c r="H2758" s="244"/>
      <c r="I2758" s="71" t="e">
        <f>IF(COUNTIF((rName rData),H2758),"","Name Error!")</f>
        <v>#NAME?</v>
      </c>
    </row>
    <row r="2759" spans="2:9" s="126" customFormat="1" ht="15" customHeight="1" x14ac:dyDescent="0.25">
      <c r="B2759" s="271" t="s">
        <v>339</v>
      </c>
      <c r="C2759" s="272" t="s">
        <v>338</v>
      </c>
      <c r="D2759" s="275" t="s">
        <v>216</v>
      </c>
      <c r="E2759" s="275">
        <v>41649.071909722225</v>
      </c>
      <c r="F2759" s="276">
        <v>3</v>
      </c>
      <c r="G2759" s="243">
        <f t="shared" si="43"/>
        <v>119</v>
      </c>
      <c r="H2759" s="244"/>
      <c r="I2759" s="71" t="e">
        <f>IF(COUNTIF((rName rData),H2759),"","Name Error!")</f>
        <v>#NAME?</v>
      </c>
    </row>
    <row r="2760" spans="2:9" s="126" customFormat="1" ht="15" customHeight="1" x14ac:dyDescent="0.25">
      <c r="B2760" s="271" t="s">
        <v>331</v>
      </c>
      <c r="C2760" s="272" t="s">
        <v>330</v>
      </c>
      <c r="D2760" s="275" t="s">
        <v>216</v>
      </c>
      <c r="E2760" s="275">
        <v>41649.088923611111</v>
      </c>
      <c r="F2760" s="276">
        <v>1</v>
      </c>
      <c r="G2760" s="243">
        <f t="shared" si="43"/>
        <v>119</v>
      </c>
      <c r="H2760" s="244"/>
      <c r="I2760" s="71" t="e">
        <f>IF(COUNTIF((rName rData),H2760),"","Name Error!")</f>
        <v>#NAME?</v>
      </c>
    </row>
    <row r="2761" spans="2:9" s="126" customFormat="1" ht="15" customHeight="1" x14ac:dyDescent="0.25">
      <c r="B2761" s="271" t="s">
        <v>367</v>
      </c>
      <c r="C2761" s="272" t="s">
        <v>366</v>
      </c>
      <c r="D2761" s="275" t="s">
        <v>216</v>
      </c>
      <c r="E2761" s="275">
        <v>41649.228020833332</v>
      </c>
      <c r="F2761" s="276">
        <v>1</v>
      </c>
      <c r="G2761" s="243">
        <f t="shared" si="43"/>
        <v>119</v>
      </c>
      <c r="H2761" s="244"/>
      <c r="I2761" s="71" t="e">
        <f>IF(COUNTIF((rName rData),H2761),"","Name Error!")</f>
        <v>#NAME?</v>
      </c>
    </row>
    <row r="2762" spans="2:9" s="126" customFormat="1" ht="15" customHeight="1" x14ac:dyDescent="0.25">
      <c r="B2762" s="271" t="s">
        <v>354</v>
      </c>
      <c r="C2762" s="272" t="s">
        <v>353</v>
      </c>
      <c r="D2762" s="275" t="s">
        <v>216</v>
      </c>
      <c r="E2762" s="275">
        <v>41649.26053240741</v>
      </c>
      <c r="F2762" s="276">
        <v>4</v>
      </c>
      <c r="G2762" s="243">
        <f t="shared" ref="G2762:G2825" si="44">TRUNC((E2762-start)/7)+1</f>
        <v>119</v>
      </c>
      <c r="H2762" s="244"/>
      <c r="I2762" s="71" t="e">
        <f>IF(COUNTIF((rName rData),H2762),"","Name Error!")</f>
        <v>#NAME?</v>
      </c>
    </row>
    <row r="2763" spans="2:9" s="126" customFormat="1" ht="15" customHeight="1" x14ac:dyDescent="0.25">
      <c r="B2763" s="271" t="s">
        <v>333</v>
      </c>
      <c r="C2763" s="272" t="s">
        <v>332</v>
      </c>
      <c r="D2763" s="275" t="s">
        <v>216</v>
      </c>
      <c r="E2763" s="275">
        <v>41649.261423611111</v>
      </c>
      <c r="F2763" s="276">
        <v>3</v>
      </c>
      <c r="G2763" s="243">
        <f t="shared" si="44"/>
        <v>119</v>
      </c>
      <c r="H2763" s="244"/>
      <c r="I2763" s="71" t="e">
        <f>IF(COUNTIF((rName rData),H2763),"","Name Error!")</f>
        <v>#NAME?</v>
      </c>
    </row>
    <row r="2764" spans="2:9" s="126" customFormat="1" ht="15" customHeight="1" x14ac:dyDescent="0.25">
      <c r="B2764" s="271" t="s">
        <v>358</v>
      </c>
      <c r="C2764" s="272" t="s">
        <v>357</v>
      </c>
      <c r="D2764" s="275" t="s">
        <v>216</v>
      </c>
      <c r="E2764" s="275">
        <v>41649.361064814817</v>
      </c>
      <c r="F2764" s="276">
        <v>7</v>
      </c>
      <c r="G2764" s="243">
        <f t="shared" si="44"/>
        <v>119</v>
      </c>
      <c r="H2764" s="244"/>
      <c r="I2764" s="71" t="e">
        <f>IF(COUNTIF((rName rData),H2764),"","Name Error!")</f>
        <v>#NAME?</v>
      </c>
    </row>
    <row r="2765" spans="2:9" s="126" customFormat="1" ht="15" customHeight="1" x14ac:dyDescent="0.25">
      <c r="B2765" s="271" t="s">
        <v>365</v>
      </c>
      <c r="C2765" s="272" t="s">
        <v>364</v>
      </c>
      <c r="D2765" s="275" t="s">
        <v>216</v>
      </c>
      <c r="E2765" s="275">
        <v>41649.491608796299</v>
      </c>
      <c r="F2765" s="276">
        <v>1</v>
      </c>
      <c r="G2765" s="243">
        <f t="shared" si="44"/>
        <v>119</v>
      </c>
      <c r="H2765" s="244"/>
      <c r="I2765" s="71" t="e">
        <f>IF(COUNTIF((rName rData),H2765),"","Name Error!")</f>
        <v>#NAME?</v>
      </c>
    </row>
    <row r="2766" spans="2:9" s="126" customFormat="1" ht="15" customHeight="1" x14ac:dyDescent="0.25">
      <c r="B2766" s="271" t="s">
        <v>279</v>
      </c>
      <c r="C2766" s="272" t="s">
        <v>280</v>
      </c>
      <c r="D2766" s="275" t="s">
        <v>216</v>
      </c>
      <c r="E2766" s="275">
        <v>41649.523414351854</v>
      </c>
      <c r="F2766" s="276">
        <v>1</v>
      </c>
      <c r="G2766" s="243">
        <f t="shared" si="44"/>
        <v>119</v>
      </c>
      <c r="H2766" s="244"/>
      <c r="I2766" s="71" t="e">
        <f>IF(COUNTIF((rName rData),H2766),"","Name Error!")</f>
        <v>#NAME?</v>
      </c>
    </row>
    <row r="2767" spans="2:9" s="126" customFormat="1" ht="15" customHeight="1" x14ac:dyDescent="0.25">
      <c r="B2767" s="271" t="s">
        <v>352</v>
      </c>
      <c r="C2767" s="272" t="s">
        <v>351</v>
      </c>
      <c r="D2767" s="275" t="s">
        <v>216</v>
      </c>
      <c r="E2767" s="275">
        <v>41649.576342592591</v>
      </c>
      <c r="F2767" s="276">
        <v>4</v>
      </c>
      <c r="G2767" s="243">
        <f t="shared" si="44"/>
        <v>119</v>
      </c>
      <c r="H2767" s="244"/>
      <c r="I2767" s="71" t="e">
        <f>IF(COUNTIF((rName rData),H2767),"","Name Error!")</f>
        <v>#NAME?</v>
      </c>
    </row>
    <row r="2768" spans="2:9" s="126" customFormat="1" ht="15" customHeight="1" x14ac:dyDescent="0.25">
      <c r="B2768" s="271" t="s">
        <v>267</v>
      </c>
      <c r="C2768" s="272" t="s">
        <v>268</v>
      </c>
      <c r="D2768" s="275" t="s">
        <v>216</v>
      </c>
      <c r="E2768" s="275">
        <v>41649.61074074074</v>
      </c>
      <c r="F2768" s="276">
        <v>2</v>
      </c>
      <c r="G2768" s="243">
        <f t="shared" si="44"/>
        <v>119</v>
      </c>
      <c r="H2768" s="244"/>
      <c r="I2768" s="71" t="e">
        <f>IF(COUNTIF((rName rData),H2768),"","Name Error!")</f>
        <v>#NAME?</v>
      </c>
    </row>
    <row r="2769" spans="2:9" s="126" customFormat="1" ht="15" customHeight="1" x14ac:dyDescent="0.25">
      <c r="B2769" s="271" t="s">
        <v>356</v>
      </c>
      <c r="C2769" s="272" t="s">
        <v>355</v>
      </c>
      <c r="D2769" s="275" t="s">
        <v>216</v>
      </c>
      <c r="E2769" s="275">
        <v>41649.749236111114</v>
      </c>
      <c r="F2769" s="276">
        <v>2</v>
      </c>
      <c r="G2769" s="243">
        <f t="shared" si="44"/>
        <v>119</v>
      </c>
      <c r="H2769" s="244"/>
      <c r="I2769" s="71" t="e">
        <f>IF(COUNTIF((rName rData),H2769),"","Name Error!")</f>
        <v>#NAME?</v>
      </c>
    </row>
    <row r="2770" spans="2:9" s="126" customFormat="1" ht="15" customHeight="1" x14ac:dyDescent="0.25">
      <c r="B2770" s="271" t="s">
        <v>335</v>
      </c>
      <c r="C2770" s="272" t="s">
        <v>334</v>
      </c>
      <c r="D2770" s="275" t="s">
        <v>216</v>
      </c>
      <c r="E2770" s="275">
        <v>41649.826921296299</v>
      </c>
      <c r="F2770" s="276">
        <v>2</v>
      </c>
      <c r="G2770" s="243">
        <f t="shared" si="44"/>
        <v>119</v>
      </c>
      <c r="H2770" s="244"/>
      <c r="I2770" s="71" t="e">
        <f>IF(COUNTIF((rName rData),H2770),"","Name Error!")</f>
        <v>#NAME?</v>
      </c>
    </row>
    <row r="2771" spans="2:9" s="126" customFormat="1" ht="15" customHeight="1" x14ac:dyDescent="0.25">
      <c r="B2771" s="271" t="s">
        <v>345</v>
      </c>
      <c r="C2771" s="272" t="s">
        <v>344</v>
      </c>
      <c r="D2771" s="275" t="s">
        <v>216</v>
      </c>
      <c r="E2771" s="275">
        <v>41649.836388888885</v>
      </c>
      <c r="F2771" s="276">
        <v>1</v>
      </c>
      <c r="G2771" s="243">
        <f t="shared" si="44"/>
        <v>119</v>
      </c>
      <c r="H2771" s="244"/>
      <c r="I2771" s="71" t="e">
        <f>IF(COUNTIF((rName rData),H2771),"","Name Error!")</f>
        <v>#NAME?</v>
      </c>
    </row>
    <row r="2772" spans="2:9" s="126" customFormat="1" ht="15" customHeight="1" x14ac:dyDescent="0.25">
      <c r="B2772" s="271" t="s">
        <v>341</v>
      </c>
      <c r="C2772" s="272" t="s">
        <v>340</v>
      </c>
      <c r="D2772" s="275" t="s">
        <v>216</v>
      </c>
      <c r="E2772" s="275">
        <v>41649.837199074071</v>
      </c>
      <c r="F2772" s="276">
        <v>2</v>
      </c>
      <c r="G2772" s="243">
        <f t="shared" si="44"/>
        <v>119</v>
      </c>
      <c r="H2772" s="244"/>
      <c r="I2772" s="71" t="e">
        <f>IF(COUNTIF((rName rData),H2772),"","Name Error!")</f>
        <v>#NAME?</v>
      </c>
    </row>
    <row r="2773" spans="2:9" s="126" customFormat="1" ht="15" customHeight="1" x14ac:dyDescent="0.25">
      <c r="B2773" s="271" t="s">
        <v>322</v>
      </c>
      <c r="C2773" s="272" t="s">
        <v>321</v>
      </c>
      <c r="D2773" s="275" t="s">
        <v>216</v>
      </c>
      <c r="E2773" s="275">
        <v>41649.837650462963</v>
      </c>
      <c r="F2773" s="276">
        <v>1</v>
      </c>
      <c r="G2773" s="243">
        <f t="shared" si="44"/>
        <v>119</v>
      </c>
      <c r="H2773" s="244"/>
      <c r="I2773" s="71" t="e">
        <f>IF(COUNTIF((rName rData),H2773),"","Name Error!")</f>
        <v>#NAME?</v>
      </c>
    </row>
    <row r="2774" spans="2:9" s="126" customFormat="1" ht="15" customHeight="1" x14ac:dyDescent="0.25">
      <c r="B2774" s="271" t="s">
        <v>371</v>
      </c>
      <c r="C2774" s="272" t="s">
        <v>370</v>
      </c>
      <c r="D2774" s="275" t="s">
        <v>216</v>
      </c>
      <c r="E2774" s="275">
        <v>41649.871516203704</v>
      </c>
      <c r="F2774" s="276">
        <v>1</v>
      </c>
      <c r="G2774" s="243">
        <f t="shared" si="44"/>
        <v>119</v>
      </c>
      <c r="H2774" s="244"/>
      <c r="I2774" s="71" t="e">
        <f>IF(COUNTIF((rName rData),H2774),"","Name Error!")</f>
        <v>#NAME?</v>
      </c>
    </row>
    <row r="2775" spans="2:9" s="126" customFormat="1" ht="15" customHeight="1" x14ac:dyDescent="0.25">
      <c r="B2775" s="271" t="s">
        <v>362</v>
      </c>
      <c r="C2775" s="272" t="s">
        <v>361</v>
      </c>
      <c r="D2775" s="275" t="s">
        <v>216</v>
      </c>
      <c r="E2775" s="275">
        <v>41649.920983796299</v>
      </c>
      <c r="F2775" s="276">
        <v>1</v>
      </c>
      <c r="G2775" s="243">
        <f t="shared" si="44"/>
        <v>119</v>
      </c>
      <c r="H2775" s="244"/>
      <c r="I2775" s="71" t="e">
        <f>IF(COUNTIF((rName rData),H2775),"","Name Error!")</f>
        <v>#NAME?</v>
      </c>
    </row>
    <row r="2776" spans="2:9" s="126" customFormat="1" ht="15" customHeight="1" x14ac:dyDescent="0.25">
      <c r="B2776" s="271" t="s">
        <v>350</v>
      </c>
      <c r="C2776" s="272" t="s">
        <v>349</v>
      </c>
      <c r="D2776" s="275" t="s">
        <v>216</v>
      </c>
      <c r="E2776" s="275">
        <v>41649.942118055558</v>
      </c>
      <c r="F2776" s="276">
        <v>1</v>
      </c>
      <c r="G2776" s="243">
        <f t="shared" si="44"/>
        <v>119</v>
      </c>
      <c r="H2776" s="244"/>
      <c r="I2776" s="71" t="e">
        <f>IF(COUNTIF((rName rData),H2776),"","Name Error!")</f>
        <v>#NAME?</v>
      </c>
    </row>
    <row r="2777" spans="2:9" s="126" customFormat="1" ht="15" customHeight="1" x14ac:dyDescent="0.25">
      <c r="B2777" s="271" t="s">
        <v>339</v>
      </c>
      <c r="C2777" s="272" t="s">
        <v>338</v>
      </c>
      <c r="D2777" s="275" t="s">
        <v>216</v>
      </c>
      <c r="E2777" s="275">
        <v>41650.015868055554</v>
      </c>
      <c r="F2777" s="276">
        <v>3</v>
      </c>
      <c r="G2777" s="243">
        <f t="shared" si="44"/>
        <v>120</v>
      </c>
      <c r="H2777" s="244"/>
      <c r="I2777" s="71" t="e">
        <f>IF(COUNTIF((rName rData),H2777),"","Name Error!")</f>
        <v>#NAME?</v>
      </c>
    </row>
    <row r="2778" spans="2:9" s="126" customFormat="1" ht="15" customHeight="1" x14ac:dyDescent="0.25">
      <c r="B2778" s="271" t="s">
        <v>331</v>
      </c>
      <c r="C2778" s="272" t="s">
        <v>330</v>
      </c>
      <c r="D2778" s="275" t="s">
        <v>216</v>
      </c>
      <c r="E2778" s="275">
        <v>41650.044363425928</v>
      </c>
      <c r="F2778" s="276">
        <v>1</v>
      </c>
      <c r="G2778" s="243">
        <f t="shared" si="44"/>
        <v>120</v>
      </c>
      <c r="H2778" s="244"/>
      <c r="I2778" s="71" t="e">
        <f>IF(COUNTIF((rName rData),H2778),"","Name Error!")</f>
        <v>#NAME?</v>
      </c>
    </row>
    <row r="2779" spans="2:9" s="126" customFormat="1" ht="15" customHeight="1" x14ac:dyDescent="0.25">
      <c r="B2779" s="271" t="s">
        <v>333</v>
      </c>
      <c r="C2779" s="272" t="s">
        <v>332</v>
      </c>
      <c r="D2779" s="275" t="s">
        <v>216</v>
      </c>
      <c r="E2779" s="275">
        <v>41650.05332175926</v>
      </c>
      <c r="F2779" s="276">
        <v>2</v>
      </c>
      <c r="G2779" s="243">
        <f t="shared" si="44"/>
        <v>120</v>
      </c>
      <c r="H2779" s="244"/>
      <c r="I2779" s="71" t="e">
        <f>IF(COUNTIF((rName rData),H2779),"","Name Error!")</f>
        <v>#NAME?</v>
      </c>
    </row>
    <row r="2780" spans="2:9" s="126" customFormat="1" ht="15" customHeight="1" x14ac:dyDescent="0.25">
      <c r="B2780" s="271" t="s">
        <v>345</v>
      </c>
      <c r="C2780" s="272" t="s">
        <v>344</v>
      </c>
      <c r="D2780" s="275" t="s">
        <v>216</v>
      </c>
      <c r="E2780" s="275">
        <v>41650.194502314815</v>
      </c>
      <c r="F2780" s="276">
        <v>3</v>
      </c>
      <c r="G2780" s="243">
        <f t="shared" si="44"/>
        <v>120</v>
      </c>
      <c r="H2780" s="244"/>
      <c r="I2780" s="71" t="e">
        <f>IF(COUNTIF((rName rData),H2780),"","Name Error!")</f>
        <v>#NAME?</v>
      </c>
    </row>
    <row r="2781" spans="2:9" s="126" customFormat="1" ht="15" customHeight="1" x14ac:dyDescent="0.25">
      <c r="B2781" s="271" t="s">
        <v>371</v>
      </c>
      <c r="C2781" s="272" t="s">
        <v>370</v>
      </c>
      <c r="D2781" s="275" t="s">
        <v>216</v>
      </c>
      <c r="E2781" s="275">
        <v>41650.261319444442</v>
      </c>
      <c r="F2781" s="276">
        <v>2</v>
      </c>
      <c r="G2781" s="243">
        <f t="shared" si="44"/>
        <v>120</v>
      </c>
      <c r="H2781" s="244"/>
      <c r="I2781" s="71" t="e">
        <f>IF(COUNTIF((rName rData),H2781),"","Name Error!")</f>
        <v>#NAME?</v>
      </c>
    </row>
    <row r="2782" spans="2:9" s="126" customFormat="1" ht="15" customHeight="1" x14ac:dyDescent="0.25">
      <c r="B2782" s="271" t="s">
        <v>335</v>
      </c>
      <c r="C2782" s="272" t="s">
        <v>334</v>
      </c>
      <c r="D2782" s="275" t="s">
        <v>216</v>
      </c>
      <c r="E2782" s="275">
        <v>41650.328912037039</v>
      </c>
      <c r="F2782" s="276">
        <v>1</v>
      </c>
      <c r="G2782" s="243">
        <f t="shared" si="44"/>
        <v>120</v>
      </c>
      <c r="H2782" s="244"/>
      <c r="I2782" s="71" t="e">
        <f>IF(COUNTIF((rName rData),H2782),"","Name Error!")</f>
        <v>#NAME?</v>
      </c>
    </row>
    <row r="2783" spans="2:9" s="126" customFormat="1" ht="15" customHeight="1" x14ac:dyDescent="0.25">
      <c r="B2783" s="271" t="s">
        <v>365</v>
      </c>
      <c r="C2783" s="272" t="s">
        <v>364</v>
      </c>
      <c r="D2783" s="275" t="s">
        <v>216</v>
      </c>
      <c r="E2783" s="275">
        <v>41650.384444444448</v>
      </c>
      <c r="F2783" s="276">
        <v>1</v>
      </c>
      <c r="G2783" s="243">
        <f t="shared" si="44"/>
        <v>120</v>
      </c>
      <c r="H2783" s="244"/>
      <c r="I2783" s="71" t="e">
        <f>IF(COUNTIF((rName rData),H2783),"","Name Error!")</f>
        <v>#NAME?</v>
      </c>
    </row>
    <row r="2784" spans="2:9" s="126" customFormat="1" ht="15" customHeight="1" x14ac:dyDescent="0.25">
      <c r="B2784" s="271" t="s">
        <v>356</v>
      </c>
      <c r="C2784" s="272" t="s">
        <v>355</v>
      </c>
      <c r="D2784" s="275" t="s">
        <v>216</v>
      </c>
      <c r="E2784" s="275">
        <v>41650.385046296295</v>
      </c>
      <c r="F2784" s="276">
        <v>2</v>
      </c>
      <c r="G2784" s="243">
        <f t="shared" si="44"/>
        <v>120</v>
      </c>
      <c r="H2784" s="244"/>
      <c r="I2784" s="71" t="e">
        <f>IF(COUNTIF((rName rData),H2784),"","Name Error!")</f>
        <v>#NAME?</v>
      </c>
    </row>
    <row r="2785" spans="2:9" s="126" customFormat="1" ht="15" customHeight="1" x14ac:dyDescent="0.25">
      <c r="B2785" s="271" t="s">
        <v>341</v>
      </c>
      <c r="C2785" s="272" t="s">
        <v>340</v>
      </c>
      <c r="D2785" s="275" t="s">
        <v>216</v>
      </c>
      <c r="E2785" s="275">
        <v>41650.443784722222</v>
      </c>
      <c r="F2785" s="276">
        <v>1</v>
      </c>
      <c r="G2785" s="243">
        <f t="shared" si="44"/>
        <v>120</v>
      </c>
      <c r="H2785" s="244"/>
      <c r="I2785" s="71" t="e">
        <f>IF(COUNTIF((rName rData),H2785),"","Name Error!")</f>
        <v>#NAME?</v>
      </c>
    </row>
    <row r="2786" spans="2:9" s="126" customFormat="1" ht="15" customHeight="1" x14ac:dyDescent="0.25">
      <c r="B2786" s="271" t="s">
        <v>362</v>
      </c>
      <c r="C2786" s="272" t="s">
        <v>361</v>
      </c>
      <c r="D2786" s="275" t="s">
        <v>216</v>
      </c>
      <c r="E2786" s="275">
        <v>41650.45045138889</v>
      </c>
      <c r="F2786" s="276">
        <v>3</v>
      </c>
      <c r="G2786" s="243">
        <f t="shared" si="44"/>
        <v>120</v>
      </c>
      <c r="H2786" s="244"/>
      <c r="I2786" s="71" t="e">
        <f>IF(COUNTIF((rName rData),H2786),"","Name Error!")</f>
        <v>#NAME?</v>
      </c>
    </row>
    <row r="2787" spans="2:9" s="126" customFormat="1" ht="15" customHeight="1" x14ac:dyDescent="0.25">
      <c r="B2787" s="271" t="s">
        <v>350</v>
      </c>
      <c r="C2787" s="272" t="s">
        <v>349</v>
      </c>
      <c r="D2787" s="275" t="s">
        <v>216</v>
      </c>
      <c r="E2787" s="275">
        <v>41650.475312499999</v>
      </c>
      <c r="F2787" s="276">
        <v>1</v>
      </c>
      <c r="G2787" s="243">
        <f t="shared" si="44"/>
        <v>120</v>
      </c>
      <c r="H2787" s="244"/>
      <c r="I2787" s="71" t="e">
        <f>IF(COUNTIF((rName rData),H2787),"","Name Error!")</f>
        <v>#NAME?</v>
      </c>
    </row>
    <row r="2788" spans="2:9" s="126" customFormat="1" ht="15" customHeight="1" x14ac:dyDescent="0.25">
      <c r="B2788" s="271" t="s">
        <v>267</v>
      </c>
      <c r="C2788" s="272" t="s">
        <v>268</v>
      </c>
      <c r="D2788" s="275" t="s">
        <v>216</v>
      </c>
      <c r="E2788" s="275">
        <v>41650.612638888888</v>
      </c>
      <c r="F2788" s="276">
        <v>1</v>
      </c>
      <c r="G2788" s="243">
        <f t="shared" si="44"/>
        <v>120</v>
      </c>
      <c r="H2788" s="244"/>
      <c r="I2788" s="71" t="e">
        <f>IF(COUNTIF((rName rData),H2788),"","Name Error!")</f>
        <v>#NAME?</v>
      </c>
    </row>
    <row r="2789" spans="2:9" s="126" customFormat="1" ht="15" customHeight="1" x14ac:dyDescent="0.25">
      <c r="B2789" s="271" t="s">
        <v>362</v>
      </c>
      <c r="C2789" s="272" t="s">
        <v>361</v>
      </c>
      <c r="D2789" s="275" t="s">
        <v>216</v>
      </c>
      <c r="E2789" s="275">
        <v>41651.091863425929</v>
      </c>
      <c r="F2789" s="276">
        <v>2</v>
      </c>
      <c r="G2789" s="243">
        <f t="shared" si="44"/>
        <v>120</v>
      </c>
      <c r="H2789" s="244"/>
      <c r="I2789" s="71" t="e">
        <f>IF(COUNTIF((rName rData),H2789),"","Name Error!")</f>
        <v>#NAME?</v>
      </c>
    </row>
    <row r="2790" spans="2:9" s="126" customFormat="1" ht="15" customHeight="1" x14ac:dyDescent="0.25">
      <c r="B2790" s="271" t="s">
        <v>371</v>
      </c>
      <c r="C2790" s="272" t="s">
        <v>370</v>
      </c>
      <c r="D2790" s="275" t="s">
        <v>216</v>
      </c>
      <c r="E2790" s="275">
        <v>41651.306712962964</v>
      </c>
      <c r="F2790" s="276">
        <v>1</v>
      </c>
      <c r="G2790" s="243">
        <f t="shared" si="44"/>
        <v>120</v>
      </c>
      <c r="H2790" s="244"/>
      <c r="I2790" s="71" t="e">
        <f>IF(COUNTIF((rName rData),H2790),"","Name Error!")</f>
        <v>#NAME?</v>
      </c>
    </row>
    <row r="2791" spans="2:9" s="126" customFormat="1" ht="15" customHeight="1" x14ac:dyDescent="0.25">
      <c r="B2791" s="271" t="s">
        <v>267</v>
      </c>
      <c r="C2791" s="272" t="s">
        <v>268</v>
      </c>
      <c r="D2791" s="275" t="s">
        <v>216</v>
      </c>
      <c r="E2791" s="275">
        <v>41651.412870370368</v>
      </c>
      <c r="F2791" s="276">
        <v>1</v>
      </c>
      <c r="G2791" s="243">
        <f t="shared" si="44"/>
        <v>120</v>
      </c>
      <c r="H2791" s="244"/>
      <c r="I2791" s="71" t="e">
        <f>IF(COUNTIF((rName rData),H2791),"","Name Error!")</f>
        <v>#NAME?</v>
      </c>
    </row>
    <row r="2792" spans="2:9" s="126" customFormat="1" ht="15" customHeight="1" x14ac:dyDescent="0.25">
      <c r="B2792" s="271" t="s">
        <v>358</v>
      </c>
      <c r="C2792" s="272" t="s">
        <v>357</v>
      </c>
      <c r="D2792" s="275" t="s">
        <v>216</v>
      </c>
      <c r="E2792" s="275">
        <v>41651.812997685185</v>
      </c>
      <c r="F2792" s="276">
        <v>1</v>
      </c>
      <c r="G2792" s="243">
        <f t="shared" si="44"/>
        <v>120</v>
      </c>
      <c r="H2792" s="244"/>
      <c r="I2792" s="71" t="e">
        <f>IF(COUNTIF((rName rData),H2792),"","Name Error!")</f>
        <v>#NAME?</v>
      </c>
    </row>
    <row r="2793" spans="2:9" s="126" customFormat="1" ht="15" customHeight="1" x14ac:dyDescent="0.25">
      <c r="B2793" s="271" t="s">
        <v>354</v>
      </c>
      <c r="C2793" s="272" t="s">
        <v>353</v>
      </c>
      <c r="D2793" s="275" t="s">
        <v>216</v>
      </c>
      <c r="E2793" s="275">
        <v>41651.895636574074</v>
      </c>
      <c r="F2793" s="276">
        <v>1</v>
      </c>
      <c r="G2793" s="243">
        <f t="shared" si="44"/>
        <v>120</v>
      </c>
      <c r="H2793" s="244"/>
      <c r="I2793" s="71" t="e">
        <f>IF(COUNTIF((rName rData),H2793),"","Name Error!")</f>
        <v>#NAME?</v>
      </c>
    </row>
    <row r="2794" spans="2:9" s="126" customFormat="1" ht="15" customHeight="1" x14ac:dyDescent="0.25">
      <c r="B2794" s="271" t="s">
        <v>362</v>
      </c>
      <c r="C2794" s="272" t="s">
        <v>361</v>
      </c>
      <c r="D2794" s="275" t="s">
        <v>216</v>
      </c>
      <c r="E2794" s="275">
        <v>41652.48909722222</v>
      </c>
      <c r="F2794" s="276">
        <v>3</v>
      </c>
      <c r="G2794" s="243">
        <f t="shared" si="44"/>
        <v>120</v>
      </c>
      <c r="H2794" s="244"/>
      <c r="I2794" s="71" t="e">
        <f>IF(COUNTIF((rName rData),H2794),"","Name Error!")</f>
        <v>#NAME?</v>
      </c>
    </row>
    <row r="2795" spans="2:9" s="126" customFormat="1" ht="15" customHeight="1" x14ac:dyDescent="0.25">
      <c r="B2795" s="271" t="s">
        <v>333</v>
      </c>
      <c r="C2795" s="272" t="s">
        <v>332</v>
      </c>
      <c r="D2795" s="275" t="s">
        <v>216</v>
      </c>
      <c r="E2795" s="275">
        <v>41652.830300925925</v>
      </c>
      <c r="F2795" s="276">
        <v>1</v>
      </c>
      <c r="G2795" s="243">
        <f t="shared" si="44"/>
        <v>120</v>
      </c>
      <c r="H2795" s="244"/>
      <c r="I2795" s="71" t="e">
        <f>IF(COUNTIF((rName rData),H2795),"","Name Error!")</f>
        <v>#NAME?</v>
      </c>
    </row>
    <row r="2796" spans="2:9" s="126" customFormat="1" ht="15" customHeight="1" x14ac:dyDescent="0.25">
      <c r="B2796" s="271" t="s">
        <v>362</v>
      </c>
      <c r="C2796" s="272" t="s">
        <v>361</v>
      </c>
      <c r="D2796" s="275" t="s">
        <v>216</v>
      </c>
      <c r="E2796" s="275">
        <v>41653.103877314818</v>
      </c>
      <c r="F2796" s="276">
        <v>2</v>
      </c>
      <c r="G2796" s="243">
        <f t="shared" si="44"/>
        <v>120</v>
      </c>
      <c r="H2796" s="244"/>
      <c r="I2796" s="71" t="e">
        <f>IF(COUNTIF((rName rData),H2796),"","Name Error!")</f>
        <v>#NAME?</v>
      </c>
    </row>
    <row r="2797" spans="2:9" s="126" customFormat="1" ht="15" customHeight="1" x14ac:dyDescent="0.25">
      <c r="B2797" s="271" t="s">
        <v>331</v>
      </c>
      <c r="C2797" s="272" t="s">
        <v>330</v>
      </c>
      <c r="D2797" s="275" t="s">
        <v>216</v>
      </c>
      <c r="E2797" s="275">
        <v>41653.690706018519</v>
      </c>
      <c r="F2797" s="276">
        <v>1</v>
      </c>
      <c r="G2797" s="243">
        <f t="shared" si="44"/>
        <v>120</v>
      </c>
      <c r="H2797" s="244"/>
      <c r="I2797" s="71" t="e">
        <f>IF(COUNTIF((rName rData),H2797),"","Name Error!")</f>
        <v>#NAME?</v>
      </c>
    </row>
    <row r="2798" spans="2:9" s="126" customFormat="1" ht="15" customHeight="1" x14ac:dyDescent="0.25">
      <c r="B2798" s="271" t="s">
        <v>331</v>
      </c>
      <c r="C2798" s="272" t="s">
        <v>330</v>
      </c>
      <c r="D2798" s="275" t="s">
        <v>216</v>
      </c>
      <c r="E2798" s="275">
        <v>41654.004641203705</v>
      </c>
      <c r="F2798" s="276">
        <v>2</v>
      </c>
      <c r="G2798" s="243">
        <f t="shared" si="44"/>
        <v>120</v>
      </c>
      <c r="H2798" s="244"/>
      <c r="I2798" s="71" t="e">
        <f>IF(COUNTIF((rName rData),H2798),"","Name Error!")</f>
        <v>#NAME?</v>
      </c>
    </row>
    <row r="2799" spans="2:9" s="126" customFormat="1" ht="15" customHeight="1" x14ac:dyDescent="0.25">
      <c r="B2799" s="271" t="s">
        <v>267</v>
      </c>
      <c r="C2799" s="272" t="s">
        <v>268</v>
      </c>
      <c r="D2799" s="275" t="s">
        <v>216</v>
      </c>
      <c r="E2799" s="275">
        <v>41654.85659722222</v>
      </c>
      <c r="F2799" s="276">
        <v>1</v>
      </c>
      <c r="G2799" s="243">
        <f t="shared" si="44"/>
        <v>120</v>
      </c>
      <c r="H2799" s="244"/>
      <c r="I2799" s="71" t="e">
        <f>IF(COUNTIF((rName rData),H2799),"","Name Error!")</f>
        <v>#NAME?</v>
      </c>
    </row>
    <row r="2800" spans="2:9" s="126" customFormat="1" ht="15" customHeight="1" x14ac:dyDescent="0.25">
      <c r="B2800" s="271" t="s">
        <v>341</v>
      </c>
      <c r="C2800" s="272" t="s">
        <v>340</v>
      </c>
      <c r="D2800" s="275" t="s">
        <v>216</v>
      </c>
      <c r="E2800" s="275">
        <v>41655.391863425924</v>
      </c>
      <c r="F2800" s="276">
        <v>1</v>
      </c>
      <c r="G2800" s="243">
        <f t="shared" si="44"/>
        <v>120</v>
      </c>
      <c r="H2800" s="244"/>
      <c r="I2800" s="71" t="e">
        <f>IF(COUNTIF((rName rData),H2800),"","Name Error!")</f>
        <v>#NAME?</v>
      </c>
    </row>
    <row r="2801" spans="2:9" s="126" customFormat="1" ht="15" customHeight="1" x14ac:dyDescent="0.25">
      <c r="B2801" s="271" t="s">
        <v>267</v>
      </c>
      <c r="C2801" s="272" t="s">
        <v>268</v>
      </c>
      <c r="D2801" s="275" t="s">
        <v>216</v>
      </c>
      <c r="E2801" s="275">
        <v>41655.569201388891</v>
      </c>
      <c r="F2801" s="276">
        <v>1</v>
      </c>
      <c r="G2801" s="243">
        <f t="shared" si="44"/>
        <v>120</v>
      </c>
      <c r="H2801" s="244"/>
      <c r="I2801" s="71" t="e">
        <f>IF(COUNTIF((rName rData),H2801),"","Name Error!")</f>
        <v>#NAME?</v>
      </c>
    </row>
    <row r="2802" spans="2:9" s="126" customFormat="1" ht="15" customHeight="1" x14ac:dyDescent="0.25">
      <c r="B2802" s="271" t="s">
        <v>337</v>
      </c>
      <c r="C2802" s="272" t="s">
        <v>336</v>
      </c>
      <c r="D2802" s="275" t="s">
        <v>216</v>
      </c>
      <c r="E2802" s="275">
        <v>41655.614224537036</v>
      </c>
      <c r="F2802" s="276">
        <v>1</v>
      </c>
      <c r="G2802" s="243">
        <f t="shared" si="44"/>
        <v>120</v>
      </c>
      <c r="H2802" s="244"/>
      <c r="I2802" s="71" t="e">
        <f>IF(COUNTIF((rName rData),H2802),"","Name Error!")</f>
        <v>#NAME?</v>
      </c>
    </row>
    <row r="2803" spans="2:9" s="126" customFormat="1" ht="15" customHeight="1" x14ac:dyDescent="0.25">
      <c r="B2803" s="271" t="s">
        <v>358</v>
      </c>
      <c r="C2803" s="272" t="s">
        <v>357</v>
      </c>
      <c r="D2803" s="275" t="s">
        <v>216</v>
      </c>
      <c r="E2803" s="275">
        <v>41656.370740740742</v>
      </c>
      <c r="F2803" s="276">
        <v>2</v>
      </c>
      <c r="G2803" s="243">
        <f t="shared" si="44"/>
        <v>120</v>
      </c>
      <c r="H2803" s="244"/>
      <c r="I2803" s="71" t="e">
        <f>IF(COUNTIF((rName rData),H2803),"","Name Error!")</f>
        <v>#NAME?</v>
      </c>
    </row>
    <row r="2804" spans="2:9" s="126" customFormat="1" ht="15" customHeight="1" x14ac:dyDescent="0.25">
      <c r="B2804" s="271" t="s">
        <v>350</v>
      </c>
      <c r="C2804" s="272" t="s">
        <v>349</v>
      </c>
      <c r="D2804" s="275" t="s">
        <v>216</v>
      </c>
      <c r="E2804" s="275">
        <v>41656.500289351854</v>
      </c>
      <c r="F2804" s="276">
        <v>1</v>
      </c>
      <c r="G2804" s="243">
        <f t="shared" si="44"/>
        <v>120</v>
      </c>
      <c r="H2804" s="244"/>
      <c r="I2804" s="71" t="e">
        <f>IF(COUNTIF((rName rData),H2804),"","Name Error!")</f>
        <v>#NAME?</v>
      </c>
    </row>
    <row r="2805" spans="2:9" s="126" customFormat="1" ht="15" customHeight="1" x14ac:dyDescent="0.25">
      <c r="B2805" s="271" t="s">
        <v>354</v>
      </c>
      <c r="C2805" s="272" t="s">
        <v>353</v>
      </c>
      <c r="D2805" s="275" t="s">
        <v>216</v>
      </c>
      <c r="E2805" s="275">
        <v>41656.601435185185</v>
      </c>
      <c r="F2805" s="276">
        <v>1</v>
      </c>
      <c r="G2805" s="243">
        <f t="shared" si="44"/>
        <v>120</v>
      </c>
      <c r="H2805" s="244"/>
      <c r="I2805" s="71" t="e">
        <f>IF(COUNTIF((rName rData),H2805),"","Name Error!")</f>
        <v>#NAME?</v>
      </c>
    </row>
    <row r="2806" spans="2:9" s="126" customFormat="1" ht="15" customHeight="1" x14ac:dyDescent="0.25">
      <c r="B2806" s="271" t="s">
        <v>267</v>
      </c>
      <c r="C2806" s="272" t="s">
        <v>268</v>
      </c>
      <c r="D2806" s="275" t="s">
        <v>216</v>
      </c>
      <c r="E2806" s="275">
        <v>41656.704768518517</v>
      </c>
      <c r="F2806" s="276">
        <v>1</v>
      </c>
      <c r="G2806" s="243">
        <f t="shared" si="44"/>
        <v>120</v>
      </c>
      <c r="H2806" s="244"/>
      <c r="I2806" s="71" t="e">
        <f>IF(COUNTIF((rName rData),H2806),"","Name Error!")</f>
        <v>#NAME?</v>
      </c>
    </row>
    <row r="2807" spans="2:9" s="126" customFormat="1" ht="15" customHeight="1" x14ac:dyDescent="0.25">
      <c r="B2807" s="271" t="s">
        <v>362</v>
      </c>
      <c r="C2807" s="272" t="s">
        <v>361</v>
      </c>
      <c r="D2807" s="275" t="s">
        <v>216</v>
      </c>
      <c r="E2807" s="275">
        <v>41656.94809027778</v>
      </c>
      <c r="F2807" s="276">
        <v>1</v>
      </c>
      <c r="G2807" s="243">
        <f t="shared" si="44"/>
        <v>120</v>
      </c>
      <c r="H2807" s="244"/>
      <c r="I2807" s="71" t="e">
        <f>IF(COUNTIF((rName rData),H2807),"","Name Error!")</f>
        <v>#NAME?</v>
      </c>
    </row>
    <row r="2808" spans="2:9" s="126" customFormat="1" ht="15" customHeight="1" x14ac:dyDescent="0.25">
      <c r="B2808" s="271" t="s">
        <v>362</v>
      </c>
      <c r="C2808" s="272" t="s">
        <v>361</v>
      </c>
      <c r="D2808" s="275" t="s">
        <v>216</v>
      </c>
      <c r="E2808" s="275">
        <v>41657.034733796296</v>
      </c>
      <c r="F2808" s="276">
        <v>2</v>
      </c>
      <c r="G2808" s="243">
        <f t="shared" si="44"/>
        <v>121</v>
      </c>
      <c r="H2808" s="244"/>
      <c r="I2808" s="71" t="e">
        <f>IF(COUNTIF((rName rData),H2808),"","Name Error!")</f>
        <v>#NAME?</v>
      </c>
    </row>
    <row r="2809" spans="2:9" s="126" customFormat="1" ht="15" customHeight="1" x14ac:dyDescent="0.25">
      <c r="B2809" s="271" t="s">
        <v>267</v>
      </c>
      <c r="C2809" s="272" t="s">
        <v>268</v>
      </c>
      <c r="D2809" s="275" t="s">
        <v>216</v>
      </c>
      <c r="E2809" s="275">
        <v>41657.366631944446</v>
      </c>
      <c r="F2809" s="276">
        <v>1</v>
      </c>
      <c r="G2809" s="243">
        <f t="shared" si="44"/>
        <v>121</v>
      </c>
      <c r="H2809" s="244"/>
      <c r="I2809" s="71" t="e">
        <f>IF(COUNTIF((rName rData),H2809),"","Name Error!")</f>
        <v>#NAME?</v>
      </c>
    </row>
    <row r="2810" spans="2:9" s="126" customFormat="1" ht="15" customHeight="1" x14ac:dyDescent="0.25">
      <c r="B2810" s="271" t="s">
        <v>341</v>
      </c>
      <c r="C2810" s="272" t="s">
        <v>340</v>
      </c>
      <c r="D2810" s="275" t="s">
        <v>216</v>
      </c>
      <c r="E2810" s="275">
        <v>41657.406608796293</v>
      </c>
      <c r="F2810" s="276">
        <v>2</v>
      </c>
      <c r="G2810" s="243">
        <f t="shared" si="44"/>
        <v>121</v>
      </c>
      <c r="H2810" s="244"/>
      <c r="I2810" s="71" t="e">
        <f>IF(COUNTIF((rName rData),H2810),"","Name Error!")</f>
        <v>#NAME?</v>
      </c>
    </row>
    <row r="2811" spans="2:9" s="126" customFormat="1" ht="15" customHeight="1" x14ac:dyDescent="0.25">
      <c r="B2811" s="271" t="s">
        <v>328</v>
      </c>
      <c r="C2811" s="272" t="s">
        <v>327</v>
      </c>
      <c r="D2811" s="275" t="s">
        <v>216</v>
      </c>
      <c r="E2811" s="275">
        <v>41657.585532407407</v>
      </c>
      <c r="F2811" s="276">
        <v>1</v>
      </c>
      <c r="G2811" s="243">
        <f t="shared" si="44"/>
        <v>121</v>
      </c>
      <c r="H2811" s="244"/>
      <c r="I2811" s="71" t="e">
        <f>IF(COUNTIF((rName rData),H2811),"","Name Error!")</f>
        <v>#NAME?</v>
      </c>
    </row>
    <row r="2812" spans="2:9" s="126" customFormat="1" ht="15" customHeight="1" x14ac:dyDescent="0.25">
      <c r="B2812" s="271" t="s">
        <v>324</v>
      </c>
      <c r="C2812" s="272" t="s">
        <v>323</v>
      </c>
      <c r="D2812" s="275" t="s">
        <v>216</v>
      </c>
      <c r="E2812" s="275">
        <v>41658.070289351854</v>
      </c>
      <c r="F2812" s="276">
        <v>3</v>
      </c>
      <c r="G2812" s="243">
        <f t="shared" si="44"/>
        <v>121</v>
      </c>
      <c r="H2812" s="244"/>
      <c r="I2812" s="71" t="e">
        <f>IF(COUNTIF((rName rData),H2812),"","Name Error!")</f>
        <v>#NAME?</v>
      </c>
    </row>
    <row r="2813" spans="2:9" s="126" customFormat="1" ht="15" customHeight="1" x14ac:dyDescent="0.25">
      <c r="B2813" s="271" t="s">
        <v>267</v>
      </c>
      <c r="C2813" s="272" t="s">
        <v>268</v>
      </c>
      <c r="D2813" s="275" t="s">
        <v>216</v>
      </c>
      <c r="E2813" s="275">
        <v>41658.521307870367</v>
      </c>
      <c r="F2813" s="276">
        <v>2</v>
      </c>
      <c r="G2813" s="243">
        <f t="shared" si="44"/>
        <v>121</v>
      </c>
      <c r="H2813" s="244"/>
      <c r="I2813" s="71" t="e">
        <f>IF(COUNTIF((rName rData),H2813),"","Name Error!")</f>
        <v>#NAME?</v>
      </c>
    </row>
    <row r="2814" spans="2:9" s="126" customFormat="1" ht="15" customHeight="1" x14ac:dyDescent="0.25">
      <c r="B2814" s="271" t="s">
        <v>337</v>
      </c>
      <c r="C2814" s="272" t="s">
        <v>336</v>
      </c>
      <c r="D2814" s="275" t="s">
        <v>216</v>
      </c>
      <c r="E2814" s="275">
        <v>41658.681631944448</v>
      </c>
      <c r="F2814" s="276">
        <v>3</v>
      </c>
      <c r="G2814" s="243">
        <f t="shared" si="44"/>
        <v>121</v>
      </c>
      <c r="H2814" s="244"/>
      <c r="I2814" s="71" t="e">
        <f>IF(COUNTIF((rName rData),H2814),"","Name Error!")</f>
        <v>#NAME?</v>
      </c>
    </row>
    <row r="2815" spans="2:9" s="126" customFormat="1" ht="15" customHeight="1" x14ac:dyDescent="0.25">
      <c r="B2815" s="271" t="s">
        <v>331</v>
      </c>
      <c r="C2815" s="272" t="s">
        <v>330</v>
      </c>
      <c r="D2815" s="275" t="s">
        <v>216</v>
      </c>
      <c r="E2815" s="275">
        <v>41658.727013888885</v>
      </c>
      <c r="F2815" s="276">
        <v>1</v>
      </c>
      <c r="G2815" s="243">
        <f t="shared" si="44"/>
        <v>121</v>
      </c>
      <c r="H2815" s="244"/>
      <c r="I2815" s="71" t="e">
        <f>IF(COUNTIF((rName rData),H2815),"","Name Error!")</f>
        <v>#NAME?</v>
      </c>
    </row>
    <row r="2816" spans="2:9" s="126" customFormat="1" ht="15" customHeight="1" x14ac:dyDescent="0.25">
      <c r="B2816" s="271" t="s">
        <v>358</v>
      </c>
      <c r="C2816" s="272" t="s">
        <v>357</v>
      </c>
      <c r="D2816" s="275" t="s">
        <v>216</v>
      </c>
      <c r="E2816" s="275">
        <v>41658.813877314817</v>
      </c>
      <c r="F2816" s="276">
        <v>1</v>
      </c>
      <c r="G2816" s="243">
        <f t="shared" si="44"/>
        <v>121</v>
      </c>
      <c r="H2816" s="244"/>
      <c r="I2816" s="71" t="e">
        <f>IF(COUNTIF((rName rData),H2816),"","Name Error!")</f>
        <v>#NAME?</v>
      </c>
    </row>
    <row r="2817" spans="2:9" s="126" customFormat="1" ht="15" customHeight="1" x14ac:dyDescent="0.25">
      <c r="B2817" s="271" t="s">
        <v>322</v>
      </c>
      <c r="C2817" s="272" t="s">
        <v>321</v>
      </c>
      <c r="D2817" s="275" t="s">
        <v>216</v>
      </c>
      <c r="E2817" s="275">
        <v>41658.831180555557</v>
      </c>
      <c r="F2817" s="276">
        <v>1</v>
      </c>
      <c r="G2817" s="243">
        <f t="shared" si="44"/>
        <v>121</v>
      </c>
      <c r="H2817" s="244"/>
      <c r="I2817" s="71" t="e">
        <f>IF(COUNTIF((rName rData),H2817),"","Name Error!")</f>
        <v>#NAME?</v>
      </c>
    </row>
    <row r="2818" spans="2:9" s="126" customFormat="1" ht="15" customHeight="1" x14ac:dyDescent="0.25">
      <c r="B2818" s="271" t="s">
        <v>371</v>
      </c>
      <c r="C2818" s="272" t="s">
        <v>370</v>
      </c>
      <c r="D2818" s="275" t="s">
        <v>216</v>
      </c>
      <c r="E2818" s="275">
        <v>41658.84479166667</v>
      </c>
      <c r="F2818" s="276">
        <v>2</v>
      </c>
      <c r="G2818" s="243">
        <f t="shared" si="44"/>
        <v>121</v>
      </c>
      <c r="H2818" s="244"/>
      <c r="I2818" s="71" t="e">
        <f>IF(COUNTIF((rName rData),H2818),"","Name Error!")</f>
        <v>#NAME?</v>
      </c>
    </row>
    <row r="2819" spans="2:9" s="126" customFormat="1" ht="15" customHeight="1" x14ac:dyDescent="0.25">
      <c r="B2819" s="271" t="s">
        <v>356</v>
      </c>
      <c r="C2819" s="272" t="s">
        <v>355</v>
      </c>
      <c r="D2819" s="275" t="s">
        <v>216</v>
      </c>
      <c r="E2819" s="275">
        <v>41658.848043981481</v>
      </c>
      <c r="F2819" s="276">
        <v>1</v>
      </c>
      <c r="G2819" s="243">
        <f t="shared" si="44"/>
        <v>121</v>
      </c>
      <c r="H2819" s="244"/>
      <c r="I2819" s="71" t="e">
        <f>IF(COUNTIF((rName rData),H2819),"","Name Error!")</f>
        <v>#NAME?</v>
      </c>
    </row>
    <row r="2820" spans="2:9" s="126" customFormat="1" ht="15" customHeight="1" x14ac:dyDescent="0.25">
      <c r="B2820" s="271" t="s">
        <v>333</v>
      </c>
      <c r="C2820" s="272" t="s">
        <v>332</v>
      </c>
      <c r="D2820" s="275" t="s">
        <v>216</v>
      </c>
      <c r="E2820" s="275">
        <v>41658.883958333332</v>
      </c>
      <c r="F2820" s="276">
        <v>2</v>
      </c>
      <c r="G2820" s="243">
        <f t="shared" si="44"/>
        <v>121</v>
      </c>
      <c r="H2820" s="244"/>
      <c r="I2820" s="71" t="e">
        <f>IF(COUNTIF((rName rData),H2820),"","Name Error!")</f>
        <v>#NAME?</v>
      </c>
    </row>
    <row r="2821" spans="2:9" s="126" customFormat="1" ht="15" customHeight="1" x14ac:dyDescent="0.25">
      <c r="B2821" s="271" t="s">
        <v>365</v>
      </c>
      <c r="C2821" s="272" t="s">
        <v>364</v>
      </c>
      <c r="D2821" s="275" t="s">
        <v>216</v>
      </c>
      <c r="E2821" s="275">
        <v>41658.935347222221</v>
      </c>
      <c r="F2821" s="276">
        <v>2</v>
      </c>
      <c r="G2821" s="243">
        <f t="shared" si="44"/>
        <v>121</v>
      </c>
      <c r="H2821" s="244"/>
      <c r="I2821" s="71" t="e">
        <f>IF(COUNTIF((rName rData),H2821),"","Name Error!")</f>
        <v>#NAME?</v>
      </c>
    </row>
    <row r="2822" spans="2:9" s="126" customFormat="1" ht="15" customHeight="1" x14ac:dyDescent="0.25">
      <c r="B2822" s="271" t="s">
        <v>328</v>
      </c>
      <c r="C2822" s="272" t="s">
        <v>327</v>
      </c>
      <c r="D2822" s="275" t="s">
        <v>216</v>
      </c>
      <c r="E2822" s="275">
        <v>41658.949849537035</v>
      </c>
      <c r="F2822" s="276">
        <v>1</v>
      </c>
      <c r="G2822" s="243">
        <f t="shared" si="44"/>
        <v>121</v>
      </c>
      <c r="H2822" s="244"/>
      <c r="I2822" s="71" t="e">
        <f>IF(COUNTIF((rName rData),H2822),"","Name Error!")</f>
        <v>#NAME?</v>
      </c>
    </row>
    <row r="2823" spans="2:9" s="126" customFormat="1" ht="15" customHeight="1" x14ac:dyDescent="0.25">
      <c r="B2823" s="271" t="s">
        <v>267</v>
      </c>
      <c r="C2823" s="272" t="s">
        <v>268</v>
      </c>
      <c r="D2823" s="275" t="s">
        <v>216</v>
      </c>
      <c r="E2823" s="275">
        <v>41659.329606481479</v>
      </c>
      <c r="F2823" s="276">
        <v>2</v>
      </c>
      <c r="G2823" s="243">
        <f t="shared" si="44"/>
        <v>121</v>
      </c>
      <c r="H2823" s="244"/>
      <c r="I2823" s="71" t="e">
        <f>IF(COUNTIF((rName rData),H2823),"","Name Error!")</f>
        <v>#NAME?</v>
      </c>
    </row>
    <row r="2824" spans="2:9" s="126" customFormat="1" ht="15" customHeight="1" x14ac:dyDescent="0.25">
      <c r="B2824" s="271" t="s">
        <v>358</v>
      </c>
      <c r="C2824" s="272" t="s">
        <v>357</v>
      </c>
      <c r="D2824" s="275" t="s">
        <v>216</v>
      </c>
      <c r="E2824" s="275">
        <v>41659.34039351852</v>
      </c>
      <c r="F2824" s="276">
        <v>2</v>
      </c>
      <c r="G2824" s="243">
        <f t="shared" si="44"/>
        <v>121</v>
      </c>
      <c r="H2824" s="244"/>
      <c r="I2824" s="71" t="e">
        <f>IF(COUNTIF((rName rData),H2824),"","Name Error!")</f>
        <v>#NAME?</v>
      </c>
    </row>
    <row r="2825" spans="2:9" s="126" customFormat="1" ht="15" customHeight="1" x14ac:dyDescent="0.25">
      <c r="B2825" s="271" t="s">
        <v>350</v>
      </c>
      <c r="C2825" s="272" t="s">
        <v>349</v>
      </c>
      <c r="D2825" s="275" t="s">
        <v>216</v>
      </c>
      <c r="E2825" s="275">
        <v>41659.526712962965</v>
      </c>
      <c r="F2825" s="276">
        <v>1</v>
      </c>
      <c r="G2825" s="243">
        <f t="shared" si="44"/>
        <v>121</v>
      </c>
      <c r="H2825" s="244"/>
      <c r="I2825" s="71" t="e">
        <f>IF(COUNTIF((rName rData),H2825),"","Name Error!")</f>
        <v>#NAME?</v>
      </c>
    </row>
    <row r="2826" spans="2:9" s="126" customFormat="1" ht="15" customHeight="1" x14ac:dyDescent="0.25">
      <c r="B2826" s="271" t="s">
        <v>337</v>
      </c>
      <c r="C2826" s="272" t="s">
        <v>336</v>
      </c>
      <c r="D2826" s="275" t="s">
        <v>216</v>
      </c>
      <c r="E2826" s="275">
        <v>41659.581574074073</v>
      </c>
      <c r="F2826" s="276">
        <v>1</v>
      </c>
      <c r="G2826" s="243">
        <f t="shared" ref="G2826:G2889" si="45">TRUNC((E2826-start)/7)+1</f>
        <v>121</v>
      </c>
      <c r="H2826" s="244"/>
      <c r="I2826" s="71" t="e">
        <f>IF(COUNTIF((rName rData),H2826),"","Name Error!")</f>
        <v>#NAME?</v>
      </c>
    </row>
    <row r="2827" spans="2:9" s="126" customFormat="1" ht="15" customHeight="1" x14ac:dyDescent="0.25">
      <c r="B2827" s="271" t="s">
        <v>356</v>
      </c>
      <c r="C2827" s="272" t="s">
        <v>355</v>
      </c>
      <c r="D2827" s="275" t="s">
        <v>216</v>
      </c>
      <c r="E2827" s="275">
        <v>41659.742800925924</v>
      </c>
      <c r="F2827" s="276">
        <v>1</v>
      </c>
      <c r="G2827" s="243">
        <f t="shared" si="45"/>
        <v>121</v>
      </c>
      <c r="H2827" s="244"/>
      <c r="I2827" s="71" t="e">
        <f>IF(COUNTIF((rName rData),H2827),"","Name Error!")</f>
        <v>#NAME?</v>
      </c>
    </row>
    <row r="2828" spans="2:9" s="126" customFormat="1" ht="15" customHeight="1" x14ac:dyDescent="0.25">
      <c r="B2828" s="271" t="s">
        <v>358</v>
      </c>
      <c r="C2828" s="272" t="s">
        <v>357</v>
      </c>
      <c r="D2828" s="275" t="s">
        <v>216</v>
      </c>
      <c r="E2828" s="275">
        <v>41660.491365740738</v>
      </c>
      <c r="F2828" s="276">
        <v>1</v>
      </c>
      <c r="G2828" s="243">
        <f t="shared" si="45"/>
        <v>121</v>
      </c>
      <c r="H2828" s="244"/>
      <c r="I2828" s="71" t="e">
        <f>IF(COUNTIF((rName rData),H2828),"","Name Error!")</f>
        <v>#NAME?</v>
      </c>
    </row>
    <row r="2829" spans="2:9" s="126" customFormat="1" ht="15" customHeight="1" x14ac:dyDescent="0.25">
      <c r="B2829" s="271" t="s">
        <v>354</v>
      </c>
      <c r="C2829" s="272" t="s">
        <v>353</v>
      </c>
      <c r="D2829" s="275" t="s">
        <v>216</v>
      </c>
      <c r="E2829" s="275">
        <v>41660.794988425929</v>
      </c>
      <c r="F2829" s="276">
        <v>2</v>
      </c>
      <c r="G2829" s="243">
        <f t="shared" si="45"/>
        <v>121</v>
      </c>
      <c r="H2829" s="244"/>
      <c r="I2829" s="71" t="e">
        <f>IF(COUNTIF((rName rData),H2829),"","Name Error!")</f>
        <v>#NAME?</v>
      </c>
    </row>
    <row r="2830" spans="2:9" s="126" customFormat="1" ht="15" customHeight="1" x14ac:dyDescent="0.25">
      <c r="B2830" s="271" t="s">
        <v>367</v>
      </c>
      <c r="C2830" s="272" t="s">
        <v>366</v>
      </c>
      <c r="D2830" s="275" t="s">
        <v>216</v>
      </c>
      <c r="E2830" s="275">
        <v>41660.843402777777</v>
      </c>
      <c r="F2830" s="276">
        <v>1</v>
      </c>
      <c r="G2830" s="243">
        <f t="shared" si="45"/>
        <v>121</v>
      </c>
      <c r="H2830" s="244"/>
      <c r="I2830" s="71" t="e">
        <f>IF(COUNTIF((rName rData),H2830),"","Name Error!")</f>
        <v>#NAME?</v>
      </c>
    </row>
    <row r="2831" spans="2:9" s="126" customFormat="1" ht="15" customHeight="1" x14ac:dyDescent="0.25">
      <c r="B2831" s="271" t="s">
        <v>335</v>
      </c>
      <c r="C2831" s="272" t="s">
        <v>334</v>
      </c>
      <c r="D2831" s="275" t="s">
        <v>216</v>
      </c>
      <c r="E2831" s="275">
        <v>41660.915405092594</v>
      </c>
      <c r="F2831" s="276">
        <v>1</v>
      </c>
      <c r="G2831" s="243">
        <f t="shared" si="45"/>
        <v>121</v>
      </c>
      <c r="H2831" s="244"/>
      <c r="I2831" s="71" t="e">
        <f>IF(COUNTIF((rName rData),H2831),"","Name Error!")</f>
        <v>#NAME?</v>
      </c>
    </row>
    <row r="2832" spans="2:9" s="126" customFormat="1" ht="15" customHeight="1" x14ac:dyDescent="0.25">
      <c r="B2832" s="271" t="s">
        <v>331</v>
      </c>
      <c r="C2832" s="272" t="s">
        <v>330</v>
      </c>
      <c r="D2832" s="275" t="s">
        <v>216</v>
      </c>
      <c r="E2832" s="275">
        <v>41661.038518518515</v>
      </c>
      <c r="F2832" s="276">
        <v>1</v>
      </c>
      <c r="G2832" s="243">
        <f t="shared" si="45"/>
        <v>121</v>
      </c>
      <c r="H2832" s="244"/>
      <c r="I2832" s="71" t="e">
        <f>IF(COUNTIF((rName rData),H2832),"","Name Error!")</f>
        <v>#NAME?</v>
      </c>
    </row>
    <row r="2833" spans="2:9" s="126" customFormat="1" ht="15" customHeight="1" x14ac:dyDescent="0.25">
      <c r="B2833" s="271" t="s">
        <v>331</v>
      </c>
      <c r="C2833" s="272" t="s">
        <v>330</v>
      </c>
      <c r="D2833" s="275" t="s">
        <v>216</v>
      </c>
      <c r="E2833" s="275">
        <v>41662.003923611112</v>
      </c>
      <c r="F2833" s="276">
        <v>1</v>
      </c>
      <c r="G2833" s="243">
        <f t="shared" si="45"/>
        <v>121</v>
      </c>
      <c r="H2833" s="244"/>
      <c r="I2833" s="71" t="e">
        <f>IF(COUNTIF((rName rData),H2833),"","Name Error!")</f>
        <v>#NAME?</v>
      </c>
    </row>
    <row r="2834" spans="2:9" s="126" customFormat="1" ht="15" customHeight="1" x14ac:dyDescent="0.25">
      <c r="B2834" s="271" t="s">
        <v>322</v>
      </c>
      <c r="C2834" s="272" t="s">
        <v>321</v>
      </c>
      <c r="D2834" s="275" t="s">
        <v>216</v>
      </c>
      <c r="E2834" s="275">
        <v>41662.621828703705</v>
      </c>
      <c r="F2834" s="276">
        <v>1</v>
      </c>
      <c r="G2834" s="243">
        <f t="shared" si="45"/>
        <v>121</v>
      </c>
      <c r="H2834" s="244"/>
      <c r="I2834" s="71" t="e">
        <f>IF(COUNTIF((rName rData),H2834),"","Name Error!")</f>
        <v>#NAME?</v>
      </c>
    </row>
    <row r="2835" spans="2:9" s="126" customFormat="1" ht="15" customHeight="1" x14ac:dyDescent="0.25">
      <c r="B2835" s="271" t="s">
        <v>358</v>
      </c>
      <c r="C2835" s="272" t="s">
        <v>357</v>
      </c>
      <c r="D2835" s="275" t="s">
        <v>216</v>
      </c>
      <c r="E2835" s="275">
        <v>41662.892754629633</v>
      </c>
      <c r="F2835" s="276">
        <v>1</v>
      </c>
      <c r="G2835" s="243">
        <f t="shared" si="45"/>
        <v>121</v>
      </c>
      <c r="H2835" s="244"/>
      <c r="I2835" s="71" t="e">
        <f>IF(COUNTIF((rName rData),H2835),"","Name Error!")</f>
        <v>#NAME?</v>
      </c>
    </row>
    <row r="2836" spans="2:9" s="126" customFormat="1" ht="15" customHeight="1" x14ac:dyDescent="0.25">
      <c r="B2836" s="271" t="s">
        <v>328</v>
      </c>
      <c r="C2836" s="272" t="s">
        <v>327</v>
      </c>
      <c r="D2836" s="275" t="s">
        <v>216</v>
      </c>
      <c r="E2836" s="275">
        <v>41662.903703703705</v>
      </c>
      <c r="F2836" s="276">
        <v>2</v>
      </c>
      <c r="G2836" s="243">
        <f t="shared" si="45"/>
        <v>121</v>
      </c>
      <c r="H2836" s="244"/>
      <c r="I2836" s="71" t="e">
        <f>IF(COUNTIF((rName rData),H2836),"","Name Error!")</f>
        <v>#NAME?</v>
      </c>
    </row>
    <row r="2837" spans="2:9" s="126" customFormat="1" ht="15" customHeight="1" x14ac:dyDescent="0.25">
      <c r="B2837" s="271" t="s">
        <v>324</v>
      </c>
      <c r="C2837" s="272" t="s">
        <v>323</v>
      </c>
      <c r="D2837" s="275" t="s">
        <v>216</v>
      </c>
      <c r="E2837" s="275">
        <v>41662.97047453704</v>
      </c>
      <c r="F2837" s="276">
        <v>2</v>
      </c>
      <c r="G2837" s="243">
        <f t="shared" si="45"/>
        <v>121</v>
      </c>
      <c r="H2837" s="244"/>
      <c r="I2837" s="71" t="e">
        <f>IF(COUNTIF((rName rData),H2837),"","Name Error!")</f>
        <v>#NAME?</v>
      </c>
    </row>
    <row r="2838" spans="2:9" s="126" customFormat="1" ht="15" customHeight="1" x14ac:dyDescent="0.25">
      <c r="B2838" s="271" t="s">
        <v>337</v>
      </c>
      <c r="C2838" s="272" t="s">
        <v>336</v>
      </c>
      <c r="D2838" s="275" t="s">
        <v>216</v>
      </c>
      <c r="E2838" s="275">
        <v>41662.97693287037</v>
      </c>
      <c r="F2838" s="276">
        <v>1</v>
      </c>
      <c r="G2838" s="243">
        <f t="shared" si="45"/>
        <v>121</v>
      </c>
      <c r="H2838" s="244"/>
      <c r="I2838" s="71" t="e">
        <f>IF(COUNTIF((rName rData),H2838),"","Name Error!")</f>
        <v>#NAME?</v>
      </c>
    </row>
    <row r="2839" spans="2:9" s="126" customFormat="1" ht="15" customHeight="1" x14ac:dyDescent="0.25">
      <c r="B2839" s="271" t="s">
        <v>367</v>
      </c>
      <c r="C2839" s="272" t="s">
        <v>366</v>
      </c>
      <c r="D2839" s="275" t="s">
        <v>216</v>
      </c>
      <c r="E2839" s="275">
        <v>41663.380960648145</v>
      </c>
      <c r="F2839" s="276">
        <v>1</v>
      </c>
      <c r="G2839" s="243">
        <f t="shared" si="45"/>
        <v>121</v>
      </c>
      <c r="H2839" s="244"/>
      <c r="I2839" s="71" t="e">
        <f>IF(COUNTIF((rName rData),H2839),"","Name Error!")</f>
        <v>#NAME?</v>
      </c>
    </row>
    <row r="2840" spans="2:9" s="126" customFormat="1" ht="15" customHeight="1" x14ac:dyDescent="0.25">
      <c r="B2840" s="271" t="s">
        <v>341</v>
      </c>
      <c r="C2840" s="272" t="s">
        <v>340</v>
      </c>
      <c r="D2840" s="275" t="s">
        <v>216</v>
      </c>
      <c r="E2840" s="275">
        <v>41663.844131944446</v>
      </c>
      <c r="F2840" s="276">
        <v>2</v>
      </c>
      <c r="G2840" s="243">
        <f t="shared" si="45"/>
        <v>121</v>
      </c>
      <c r="H2840" s="244"/>
      <c r="I2840" s="71" t="e">
        <f>IF(COUNTIF((rName rData),H2840),"","Name Error!")</f>
        <v>#NAME?</v>
      </c>
    </row>
    <row r="2841" spans="2:9" s="126" customFormat="1" ht="15" customHeight="1" x14ac:dyDescent="0.25">
      <c r="B2841" s="271" t="s">
        <v>339</v>
      </c>
      <c r="C2841" s="272" t="s">
        <v>338</v>
      </c>
      <c r="D2841" s="275" t="s">
        <v>216</v>
      </c>
      <c r="E2841" s="275">
        <v>41663.912719907406</v>
      </c>
      <c r="F2841" s="276">
        <v>1</v>
      </c>
      <c r="G2841" s="243">
        <f t="shared" si="45"/>
        <v>121</v>
      </c>
      <c r="H2841" s="244"/>
      <c r="I2841" s="71" t="e">
        <f>IF(COUNTIF((rName rData),H2841),"","Name Error!")</f>
        <v>#NAME?</v>
      </c>
    </row>
    <row r="2842" spans="2:9" s="126" customFormat="1" ht="15" customHeight="1" x14ac:dyDescent="0.25">
      <c r="B2842" s="271" t="s">
        <v>322</v>
      </c>
      <c r="C2842" s="272" t="s">
        <v>321</v>
      </c>
      <c r="D2842" s="275" t="s">
        <v>216</v>
      </c>
      <c r="E2842" s="275">
        <v>41664.335034722222</v>
      </c>
      <c r="F2842" s="276">
        <v>3</v>
      </c>
      <c r="G2842" s="243">
        <f t="shared" si="45"/>
        <v>122</v>
      </c>
      <c r="H2842" s="244"/>
      <c r="I2842" s="71" t="e">
        <f>IF(COUNTIF((rName rData),H2842),"","Name Error!")</f>
        <v>#NAME?</v>
      </c>
    </row>
    <row r="2843" spans="2:9" s="126" customFormat="1" ht="15" customHeight="1" x14ac:dyDescent="0.25">
      <c r="B2843" s="271" t="s">
        <v>328</v>
      </c>
      <c r="C2843" s="272" t="s">
        <v>327</v>
      </c>
      <c r="D2843" s="275" t="s">
        <v>216</v>
      </c>
      <c r="E2843" s="275">
        <v>41664.613622685189</v>
      </c>
      <c r="F2843" s="276">
        <v>2</v>
      </c>
      <c r="G2843" s="243">
        <f t="shared" si="45"/>
        <v>122</v>
      </c>
      <c r="H2843" s="244"/>
      <c r="I2843" s="71" t="e">
        <f>IF(COUNTIF((rName rData),H2843),"","Name Error!")</f>
        <v>#NAME?</v>
      </c>
    </row>
    <row r="2844" spans="2:9" s="126" customFormat="1" ht="15" customHeight="1" x14ac:dyDescent="0.25">
      <c r="B2844" s="271" t="s">
        <v>328</v>
      </c>
      <c r="C2844" s="272" t="s">
        <v>327</v>
      </c>
      <c r="D2844" s="275" t="s">
        <v>216</v>
      </c>
      <c r="E2844" s="275">
        <v>41665.148587962962</v>
      </c>
      <c r="F2844" s="276">
        <v>3</v>
      </c>
      <c r="G2844" s="243">
        <f t="shared" si="45"/>
        <v>122</v>
      </c>
      <c r="H2844" s="244"/>
      <c r="I2844" s="71" t="e">
        <f>IF(COUNTIF((rName rData),H2844),"","Name Error!")</f>
        <v>#NAME?</v>
      </c>
    </row>
    <row r="2845" spans="2:9" s="126" customFormat="1" ht="15" customHeight="1" x14ac:dyDescent="0.25">
      <c r="B2845" s="271" t="s">
        <v>267</v>
      </c>
      <c r="C2845" s="272" t="s">
        <v>268</v>
      </c>
      <c r="D2845" s="275" t="s">
        <v>216</v>
      </c>
      <c r="E2845" s="275">
        <v>41665.292986111112</v>
      </c>
      <c r="F2845" s="276">
        <v>3</v>
      </c>
      <c r="G2845" s="243">
        <f t="shared" si="45"/>
        <v>122</v>
      </c>
      <c r="H2845" s="244"/>
      <c r="I2845" s="71" t="e">
        <f>IF(COUNTIF((rName rData),H2845),"","Name Error!")</f>
        <v>#NAME?</v>
      </c>
    </row>
    <row r="2846" spans="2:9" s="126" customFormat="1" ht="15" customHeight="1" x14ac:dyDescent="0.25">
      <c r="B2846" s="271" t="s">
        <v>337</v>
      </c>
      <c r="C2846" s="272" t="s">
        <v>336</v>
      </c>
      <c r="D2846" s="275" t="s">
        <v>216</v>
      </c>
      <c r="E2846" s="275">
        <v>41665.54824074074</v>
      </c>
      <c r="F2846" s="276">
        <v>1</v>
      </c>
      <c r="G2846" s="243">
        <f t="shared" si="45"/>
        <v>122</v>
      </c>
      <c r="H2846" s="244"/>
      <c r="I2846" s="71" t="e">
        <f>IF(COUNTIF((rName rData),H2846),"","Name Error!")</f>
        <v>#NAME?</v>
      </c>
    </row>
    <row r="2847" spans="2:9" s="126" customFormat="1" ht="15" customHeight="1" x14ac:dyDescent="0.25">
      <c r="B2847" s="271" t="s">
        <v>356</v>
      </c>
      <c r="C2847" s="272" t="s">
        <v>355</v>
      </c>
      <c r="D2847" s="275" t="s">
        <v>216</v>
      </c>
      <c r="E2847" s="275">
        <v>41665.56040509259</v>
      </c>
      <c r="F2847" s="276">
        <v>2</v>
      </c>
      <c r="G2847" s="243">
        <f t="shared" si="45"/>
        <v>122</v>
      </c>
      <c r="H2847" s="244"/>
      <c r="I2847" s="71" t="e">
        <f>IF(COUNTIF((rName rData),H2847),"","Name Error!")</f>
        <v>#NAME?</v>
      </c>
    </row>
    <row r="2848" spans="2:9" s="126" customFormat="1" ht="15" customHeight="1" x14ac:dyDescent="0.25">
      <c r="B2848" s="271" t="s">
        <v>335</v>
      </c>
      <c r="C2848" s="272" t="s">
        <v>334</v>
      </c>
      <c r="D2848" s="275" t="s">
        <v>216</v>
      </c>
      <c r="E2848" s="275">
        <v>41665.617997685185</v>
      </c>
      <c r="F2848" s="276">
        <v>2</v>
      </c>
      <c r="G2848" s="243">
        <f t="shared" si="45"/>
        <v>122</v>
      </c>
      <c r="H2848" s="244"/>
      <c r="I2848" s="71" t="e">
        <f>IF(COUNTIF((rName rData),H2848),"","Name Error!")</f>
        <v>#NAME?</v>
      </c>
    </row>
    <row r="2849" spans="2:9" s="126" customFormat="1" ht="15" customHeight="1" x14ac:dyDescent="0.25">
      <c r="B2849" s="271" t="s">
        <v>345</v>
      </c>
      <c r="C2849" s="272" t="s">
        <v>344</v>
      </c>
      <c r="D2849" s="275" t="s">
        <v>216</v>
      </c>
      <c r="E2849" s="275">
        <v>41665.622696759259</v>
      </c>
      <c r="F2849" s="276">
        <v>2</v>
      </c>
      <c r="G2849" s="243">
        <f t="shared" si="45"/>
        <v>122</v>
      </c>
      <c r="H2849" s="244"/>
      <c r="I2849" s="71" t="e">
        <f>IF(COUNTIF((rName rData),H2849),"","Name Error!")</f>
        <v>#NAME?</v>
      </c>
    </row>
    <row r="2850" spans="2:9" s="126" customFormat="1" ht="15" customHeight="1" x14ac:dyDescent="0.25">
      <c r="B2850" s="271" t="s">
        <v>371</v>
      </c>
      <c r="C2850" s="272" t="s">
        <v>370</v>
      </c>
      <c r="D2850" s="275" t="s">
        <v>216</v>
      </c>
      <c r="E2850" s="275">
        <v>41665.653136574074</v>
      </c>
      <c r="F2850" s="276">
        <v>5</v>
      </c>
      <c r="G2850" s="243">
        <f t="shared" si="45"/>
        <v>122</v>
      </c>
      <c r="H2850" s="244"/>
      <c r="I2850" s="71" t="e">
        <f>IF(COUNTIF((rName rData),H2850),"","Name Error!")</f>
        <v>#NAME?</v>
      </c>
    </row>
    <row r="2851" spans="2:9" s="126" customFormat="1" ht="15" customHeight="1" x14ac:dyDescent="0.25">
      <c r="B2851" s="271" t="s">
        <v>352</v>
      </c>
      <c r="C2851" s="272" t="s">
        <v>351</v>
      </c>
      <c r="D2851" s="275" t="s">
        <v>216</v>
      </c>
      <c r="E2851" s="275">
        <v>41665.667800925927</v>
      </c>
      <c r="F2851" s="276">
        <v>2</v>
      </c>
      <c r="G2851" s="243">
        <f t="shared" si="45"/>
        <v>122</v>
      </c>
      <c r="H2851" s="244"/>
      <c r="I2851" s="71" t="e">
        <f>IF(COUNTIF((rName rData),H2851),"","Name Error!")</f>
        <v>#NAME?</v>
      </c>
    </row>
    <row r="2852" spans="2:9" s="126" customFormat="1" ht="15" customHeight="1" x14ac:dyDescent="0.25">
      <c r="B2852" s="271" t="s">
        <v>350</v>
      </c>
      <c r="C2852" s="272" t="s">
        <v>349</v>
      </c>
      <c r="D2852" s="275" t="s">
        <v>216</v>
      </c>
      <c r="E2852" s="275">
        <v>41665.671215277776</v>
      </c>
      <c r="F2852" s="276">
        <v>1</v>
      </c>
      <c r="G2852" s="243">
        <f t="shared" si="45"/>
        <v>122</v>
      </c>
      <c r="H2852" s="244"/>
      <c r="I2852" s="71" t="e">
        <f>IF(COUNTIF((rName rData),H2852),"","Name Error!")</f>
        <v>#NAME?</v>
      </c>
    </row>
    <row r="2853" spans="2:9" s="126" customFormat="1" ht="15" customHeight="1" x14ac:dyDescent="0.25">
      <c r="B2853" s="271" t="s">
        <v>341</v>
      </c>
      <c r="C2853" s="272" t="s">
        <v>340</v>
      </c>
      <c r="D2853" s="275" t="s">
        <v>216</v>
      </c>
      <c r="E2853" s="275">
        <v>41665.69054398148</v>
      </c>
      <c r="F2853" s="276">
        <v>1</v>
      </c>
      <c r="G2853" s="243">
        <f t="shared" si="45"/>
        <v>122</v>
      </c>
      <c r="H2853" s="244"/>
      <c r="I2853" s="71" t="e">
        <f>IF(COUNTIF((rName rData),H2853),"","Name Error!")</f>
        <v>#NAME?</v>
      </c>
    </row>
    <row r="2854" spans="2:9" s="126" customFormat="1" ht="15" customHeight="1" x14ac:dyDescent="0.25">
      <c r="B2854" s="271" t="s">
        <v>354</v>
      </c>
      <c r="C2854" s="272" t="s">
        <v>353</v>
      </c>
      <c r="D2854" s="275" t="s">
        <v>216</v>
      </c>
      <c r="E2854" s="275">
        <v>41665.698483796295</v>
      </c>
      <c r="F2854" s="276">
        <v>1</v>
      </c>
      <c r="G2854" s="243">
        <f t="shared" si="45"/>
        <v>122</v>
      </c>
      <c r="H2854" s="244"/>
      <c r="I2854" s="71" t="e">
        <f>IF(COUNTIF((rName rData),H2854),"","Name Error!")</f>
        <v>#NAME?</v>
      </c>
    </row>
    <row r="2855" spans="2:9" s="126" customFormat="1" ht="15" customHeight="1" x14ac:dyDescent="0.25">
      <c r="B2855" s="271" t="s">
        <v>365</v>
      </c>
      <c r="C2855" s="272" t="s">
        <v>364</v>
      </c>
      <c r="D2855" s="275" t="s">
        <v>216</v>
      </c>
      <c r="E2855" s="275">
        <v>41665.706979166665</v>
      </c>
      <c r="F2855" s="276">
        <v>1</v>
      </c>
      <c r="G2855" s="243">
        <f t="shared" si="45"/>
        <v>122</v>
      </c>
      <c r="H2855" s="244"/>
      <c r="I2855" s="71" t="e">
        <f>IF(COUNTIF((rName rData),H2855),"","Name Error!")</f>
        <v>#NAME?</v>
      </c>
    </row>
    <row r="2856" spans="2:9" s="126" customFormat="1" ht="15" customHeight="1" x14ac:dyDescent="0.25">
      <c r="B2856" s="271" t="s">
        <v>358</v>
      </c>
      <c r="C2856" s="272" t="s">
        <v>357</v>
      </c>
      <c r="D2856" s="275" t="s">
        <v>216</v>
      </c>
      <c r="E2856" s="275">
        <v>41665.809953703705</v>
      </c>
      <c r="F2856" s="276">
        <v>2</v>
      </c>
      <c r="G2856" s="243">
        <f t="shared" si="45"/>
        <v>122</v>
      </c>
      <c r="H2856" s="244"/>
      <c r="I2856" s="71" t="e">
        <f>IF(COUNTIF((rName rData),H2856),"","Name Error!")</f>
        <v>#NAME?</v>
      </c>
    </row>
    <row r="2857" spans="2:9" s="126" customFormat="1" ht="15" customHeight="1" x14ac:dyDescent="0.25">
      <c r="B2857" s="271" t="s">
        <v>331</v>
      </c>
      <c r="C2857" s="272" t="s">
        <v>330</v>
      </c>
      <c r="D2857" s="275" t="s">
        <v>216</v>
      </c>
      <c r="E2857" s="275">
        <v>41665.967986111114</v>
      </c>
      <c r="F2857" s="276">
        <v>1</v>
      </c>
      <c r="G2857" s="243">
        <f t="shared" si="45"/>
        <v>122</v>
      </c>
      <c r="H2857" s="244"/>
      <c r="I2857" s="71" t="e">
        <f>IF(COUNTIF((rName rData),H2857),"","Name Error!")</f>
        <v>#NAME?</v>
      </c>
    </row>
    <row r="2858" spans="2:9" s="126" customFormat="1" ht="15" customHeight="1" x14ac:dyDescent="0.25">
      <c r="B2858" s="271" t="s">
        <v>339</v>
      </c>
      <c r="C2858" s="272" t="s">
        <v>338</v>
      </c>
      <c r="D2858" s="275" t="s">
        <v>216</v>
      </c>
      <c r="E2858" s="275">
        <v>41666.252280092594</v>
      </c>
      <c r="F2858" s="276">
        <v>1</v>
      </c>
      <c r="G2858" s="243">
        <f t="shared" si="45"/>
        <v>122</v>
      </c>
      <c r="H2858" s="244"/>
      <c r="I2858" s="71" t="e">
        <f>IF(COUNTIF((rName rData),H2858),"","Name Error!")</f>
        <v>#NAME?</v>
      </c>
    </row>
    <row r="2859" spans="2:9" s="126" customFormat="1" ht="15" customHeight="1" x14ac:dyDescent="0.25">
      <c r="B2859" s="271" t="s">
        <v>345</v>
      </c>
      <c r="C2859" s="272" t="s">
        <v>344</v>
      </c>
      <c r="D2859" s="275" t="s">
        <v>216</v>
      </c>
      <c r="E2859" s="275">
        <v>41666.354571759257</v>
      </c>
      <c r="F2859" s="276">
        <v>4</v>
      </c>
      <c r="G2859" s="243">
        <f t="shared" si="45"/>
        <v>122</v>
      </c>
      <c r="H2859" s="244"/>
      <c r="I2859" s="71" t="e">
        <f>IF(COUNTIF((rName rData),H2859),"","Name Error!")</f>
        <v>#NAME?</v>
      </c>
    </row>
    <row r="2860" spans="2:9" s="126" customFormat="1" ht="15" customHeight="1" x14ac:dyDescent="0.25">
      <c r="B2860" s="271" t="s">
        <v>356</v>
      </c>
      <c r="C2860" s="272" t="s">
        <v>355</v>
      </c>
      <c r="D2860" s="275" t="s">
        <v>216</v>
      </c>
      <c r="E2860" s="275">
        <v>41666.361863425926</v>
      </c>
      <c r="F2860" s="276">
        <v>1</v>
      </c>
      <c r="G2860" s="243">
        <f t="shared" si="45"/>
        <v>122</v>
      </c>
      <c r="H2860" s="244"/>
      <c r="I2860" s="71" t="e">
        <f>IF(COUNTIF((rName rData),H2860),"","Name Error!")</f>
        <v>#NAME?</v>
      </c>
    </row>
    <row r="2861" spans="2:9" s="126" customFormat="1" ht="15" customHeight="1" x14ac:dyDescent="0.25">
      <c r="B2861" s="271" t="s">
        <v>354</v>
      </c>
      <c r="C2861" s="272" t="s">
        <v>353</v>
      </c>
      <c r="D2861" s="275" t="s">
        <v>216</v>
      </c>
      <c r="E2861" s="275">
        <v>41666.453414351854</v>
      </c>
      <c r="F2861" s="276">
        <v>1</v>
      </c>
      <c r="G2861" s="243">
        <f t="shared" si="45"/>
        <v>122</v>
      </c>
      <c r="H2861" s="244"/>
      <c r="I2861" s="71" t="e">
        <f>IF(COUNTIF((rName rData),H2861),"","Name Error!")</f>
        <v>#NAME?</v>
      </c>
    </row>
    <row r="2862" spans="2:9" s="126" customFormat="1" ht="15" customHeight="1" x14ac:dyDescent="0.25">
      <c r="B2862" s="271" t="s">
        <v>333</v>
      </c>
      <c r="C2862" s="272" t="s">
        <v>332</v>
      </c>
      <c r="D2862" s="275" t="s">
        <v>216</v>
      </c>
      <c r="E2862" s="275">
        <v>41666.517280092594</v>
      </c>
      <c r="F2862" s="276">
        <v>1</v>
      </c>
      <c r="G2862" s="243">
        <f t="shared" si="45"/>
        <v>122</v>
      </c>
      <c r="H2862" s="244"/>
      <c r="I2862" s="71" t="e">
        <f>IF(COUNTIF((rName rData),H2862),"","Name Error!")</f>
        <v>#NAME?</v>
      </c>
    </row>
    <row r="2863" spans="2:9" s="126" customFormat="1" ht="15" customHeight="1" x14ac:dyDescent="0.25">
      <c r="B2863" s="271" t="s">
        <v>352</v>
      </c>
      <c r="C2863" s="272" t="s">
        <v>351</v>
      </c>
      <c r="D2863" s="275" t="s">
        <v>216</v>
      </c>
      <c r="E2863" s="275">
        <v>41666.698564814818</v>
      </c>
      <c r="F2863" s="276">
        <v>1</v>
      </c>
      <c r="G2863" s="243">
        <f t="shared" si="45"/>
        <v>122</v>
      </c>
      <c r="H2863" s="244"/>
      <c r="I2863" s="71" t="e">
        <f>IF(COUNTIF((rName rData),H2863),"","Name Error!")</f>
        <v>#NAME?</v>
      </c>
    </row>
    <row r="2864" spans="2:9" s="126" customFormat="1" ht="15" customHeight="1" x14ac:dyDescent="0.25">
      <c r="B2864" s="271" t="s">
        <v>331</v>
      </c>
      <c r="C2864" s="272" t="s">
        <v>330</v>
      </c>
      <c r="D2864" s="275" t="s">
        <v>216</v>
      </c>
      <c r="E2864" s="275">
        <v>41666.762094907404</v>
      </c>
      <c r="F2864" s="276">
        <v>1</v>
      </c>
      <c r="G2864" s="243">
        <f t="shared" si="45"/>
        <v>122</v>
      </c>
      <c r="H2864" s="244"/>
      <c r="I2864" s="71" t="e">
        <f>IF(COUNTIF((rName rData),H2864),"","Name Error!")</f>
        <v>#NAME?</v>
      </c>
    </row>
    <row r="2865" spans="2:9" s="126" customFormat="1" ht="15" customHeight="1" x14ac:dyDescent="0.25">
      <c r="B2865" s="271" t="s">
        <v>341</v>
      </c>
      <c r="C2865" s="272" t="s">
        <v>340</v>
      </c>
      <c r="D2865" s="275" t="s">
        <v>216</v>
      </c>
      <c r="E2865" s="275">
        <v>41666.838437500002</v>
      </c>
      <c r="F2865" s="276">
        <v>1</v>
      </c>
      <c r="G2865" s="243">
        <f t="shared" si="45"/>
        <v>122</v>
      </c>
      <c r="H2865" s="244"/>
      <c r="I2865" s="71" t="e">
        <f>IF(COUNTIF((rName rData),H2865),"","Name Error!")</f>
        <v>#NAME?</v>
      </c>
    </row>
    <row r="2866" spans="2:9" s="126" customFormat="1" ht="15" customHeight="1" x14ac:dyDescent="0.25">
      <c r="B2866" s="271" t="s">
        <v>322</v>
      </c>
      <c r="C2866" s="272" t="s">
        <v>321</v>
      </c>
      <c r="D2866" s="275" t="s">
        <v>216</v>
      </c>
      <c r="E2866" s="275">
        <v>41666.89402777778</v>
      </c>
      <c r="F2866" s="276">
        <v>1</v>
      </c>
      <c r="G2866" s="243">
        <f t="shared" si="45"/>
        <v>122</v>
      </c>
      <c r="H2866" s="244"/>
      <c r="I2866" s="71" t="e">
        <f>IF(COUNTIF((rName rData),H2866),"","Name Error!")</f>
        <v>#NAME?</v>
      </c>
    </row>
    <row r="2867" spans="2:9" s="126" customFormat="1" ht="15" customHeight="1" x14ac:dyDescent="0.25">
      <c r="B2867" s="271" t="s">
        <v>339</v>
      </c>
      <c r="C2867" s="272" t="s">
        <v>338</v>
      </c>
      <c r="D2867" s="275" t="s">
        <v>216</v>
      </c>
      <c r="E2867" s="275">
        <v>41667.192106481481</v>
      </c>
      <c r="F2867" s="276">
        <v>1</v>
      </c>
      <c r="G2867" s="243">
        <f t="shared" si="45"/>
        <v>122</v>
      </c>
      <c r="H2867" s="244"/>
      <c r="I2867" s="71" t="e">
        <f>IF(COUNTIF((rName rData),H2867),"","Name Error!")</f>
        <v>#NAME?</v>
      </c>
    </row>
    <row r="2868" spans="2:9" s="126" customFormat="1" ht="15" customHeight="1" x14ac:dyDescent="0.25">
      <c r="B2868" s="271" t="s">
        <v>354</v>
      </c>
      <c r="C2868" s="272" t="s">
        <v>353</v>
      </c>
      <c r="D2868" s="275" t="s">
        <v>216</v>
      </c>
      <c r="E2868" s="275">
        <v>41667.654074074075</v>
      </c>
      <c r="F2868" s="276">
        <v>2</v>
      </c>
      <c r="G2868" s="243">
        <f t="shared" si="45"/>
        <v>122</v>
      </c>
      <c r="H2868" s="244"/>
      <c r="I2868" s="71" t="e">
        <f>IF(COUNTIF((rName rData),H2868),"","Name Error!")</f>
        <v>#NAME?</v>
      </c>
    </row>
    <row r="2869" spans="2:9" s="126" customFormat="1" ht="15" customHeight="1" x14ac:dyDescent="0.25">
      <c r="B2869" s="271" t="s">
        <v>352</v>
      </c>
      <c r="C2869" s="272" t="s">
        <v>351</v>
      </c>
      <c r="D2869" s="275" t="s">
        <v>216</v>
      </c>
      <c r="E2869" s="275">
        <v>41667.709594907406</v>
      </c>
      <c r="F2869" s="276">
        <v>2</v>
      </c>
      <c r="G2869" s="243">
        <f t="shared" si="45"/>
        <v>122</v>
      </c>
      <c r="H2869" s="244"/>
      <c r="I2869" s="71" t="e">
        <f>IF(COUNTIF((rName rData),H2869),"","Name Error!")</f>
        <v>#NAME?</v>
      </c>
    </row>
    <row r="2870" spans="2:9" s="126" customFormat="1" ht="15" customHeight="1" x14ac:dyDescent="0.25">
      <c r="B2870" s="271" t="s">
        <v>371</v>
      </c>
      <c r="C2870" s="272" t="s">
        <v>370</v>
      </c>
      <c r="D2870" s="275" t="s">
        <v>216</v>
      </c>
      <c r="E2870" s="275">
        <v>41667.722870370373</v>
      </c>
      <c r="F2870" s="276">
        <v>2</v>
      </c>
      <c r="G2870" s="243">
        <f t="shared" si="45"/>
        <v>122</v>
      </c>
      <c r="H2870" s="244"/>
      <c r="I2870" s="71" t="e">
        <f>IF(COUNTIF((rName rData),H2870),"","Name Error!")</f>
        <v>#NAME?</v>
      </c>
    </row>
    <row r="2871" spans="2:9" s="126" customFormat="1" ht="15" customHeight="1" x14ac:dyDescent="0.25">
      <c r="B2871" s="271" t="s">
        <v>339</v>
      </c>
      <c r="C2871" s="272" t="s">
        <v>338</v>
      </c>
      <c r="D2871" s="275" t="s">
        <v>216</v>
      </c>
      <c r="E2871" s="275">
        <v>41668.226712962962</v>
      </c>
      <c r="F2871" s="276">
        <v>1</v>
      </c>
      <c r="G2871" s="243">
        <f t="shared" si="45"/>
        <v>122</v>
      </c>
      <c r="H2871" s="244"/>
      <c r="I2871" s="71" t="e">
        <f>IF(COUNTIF((rName rData),H2871),"","Name Error!")</f>
        <v>#NAME?</v>
      </c>
    </row>
    <row r="2872" spans="2:9" s="126" customFormat="1" ht="15" customHeight="1" x14ac:dyDescent="0.25">
      <c r="B2872" s="271" t="s">
        <v>365</v>
      </c>
      <c r="C2872" s="272" t="s">
        <v>364</v>
      </c>
      <c r="D2872" s="275" t="s">
        <v>216</v>
      </c>
      <c r="E2872" s="275">
        <v>41668.302986111114</v>
      </c>
      <c r="F2872" s="276">
        <v>1</v>
      </c>
      <c r="G2872" s="243">
        <f t="shared" si="45"/>
        <v>122</v>
      </c>
      <c r="H2872" s="244"/>
      <c r="I2872" s="71" t="e">
        <f>IF(COUNTIF((rName rData),H2872),"","Name Error!")</f>
        <v>#NAME?</v>
      </c>
    </row>
    <row r="2873" spans="2:9" s="126" customFormat="1" ht="15" customHeight="1" x14ac:dyDescent="0.25">
      <c r="B2873" s="271" t="s">
        <v>356</v>
      </c>
      <c r="C2873" s="272" t="s">
        <v>355</v>
      </c>
      <c r="D2873" s="275" t="s">
        <v>216</v>
      </c>
      <c r="E2873" s="275">
        <v>41668.353576388887</v>
      </c>
      <c r="F2873" s="276">
        <v>3</v>
      </c>
      <c r="G2873" s="243">
        <f t="shared" si="45"/>
        <v>122</v>
      </c>
      <c r="H2873" s="244"/>
      <c r="I2873" s="71" t="e">
        <f>IF(COUNTIF((rName rData),H2873),"","Name Error!")</f>
        <v>#NAME?</v>
      </c>
    </row>
    <row r="2874" spans="2:9" s="126" customFormat="1" ht="15" customHeight="1" x14ac:dyDescent="0.25">
      <c r="B2874" s="271" t="s">
        <v>333</v>
      </c>
      <c r="C2874" s="272" t="s">
        <v>332</v>
      </c>
      <c r="D2874" s="275" t="s">
        <v>216</v>
      </c>
      <c r="E2874" s="275">
        <v>41668.533750000002</v>
      </c>
      <c r="F2874" s="276">
        <v>1</v>
      </c>
      <c r="G2874" s="243">
        <f t="shared" si="45"/>
        <v>122</v>
      </c>
      <c r="H2874" s="244"/>
      <c r="I2874" s="71" t="e">
        <f>IF(COUNTIF((rName rData),H2874),"","Name Error!")</f>
        <v>#NAME?</v>
      </c>
    </row>
    <row r="2875" spans="2:9" s="126" customFormat="1" ht="15" customHeight="1" x14ac:dyDescent="0.25">
      <c r="B2875" s="271" t="s">
        <v>345</v>
      </c>
      <c r="C2875" s="272" t="s">
        <v>344</v>
      </c>
      <c r="D2875" s="275" t="s">
        <v>216</v>
      </c>
      <c r="E2875" s="275">
        <v>41668.806620370371</v>
      </c>
      <c r="F2875" s="276">
        <v>2</v>
      </c>
      <c r="G2875" s="243">
        <f t="shared" si="45"/>
        <v>122</v>
      </c>
      <c r="H2875" s="244"/>
      <c r="I2875" s="71" t="e">
        <f>IF(COUNTIF((rName rData),H2875),"","Name Error!")</f>
        <v>#NAME?</v>
      </c>
    </row>
    <row r="2876" spans="2:9" s="126" customFormat="1" ht="15" customHeight="1" x14ac:dyDescent="0.25">
      <c r="B2876" s="271" t="s">
        <v>350</v>
      </c>
      <c r="C2876" s="272" t="s">
        <v>349</v>
      </c>
      <c r="D2876" s="275" t="s">
        <v>216</v>
      </c>
      <c r="E2876" s="275">
        <v>41668.954826388886</v>
      </c>
      <c r="F2876" s="276">
        <v>1</v>
      </c>
      <c r="G2876" s="243">
        <f t="shared" si="45"/>
        <v>122</v>
      </c>
      <c r="H2876" s="244"/>
      <c r="I2876" s="71" t="e">
        <f>IF(COUNTIF((rName rData),H2876),"","Name Error!")</f>
        <v>#NAME?</v>
      </c>
    </row>
    <row r="2877" spans="2:9" s="126" customFormat="1" ht="15" customHeight="1" x14ac:dyDescent="0.25">
      <c r="B2877" s="271" t="s">
        <v>339</v>
      </c>
      <c r="C2877" s="272" t="s">
        <v>338</v>
      </c>
      <c r="D2877" s="275" t="s">
        <v>216</v>
      </c>
      <c r="E2877" s="275">
        <v>41669.348182870373</v>
      </c>
      <c r="F2877" s="276">
        <v>2</v>
      </c>
      <c r="G2877" s="243">
        <f t="shared" si="45"/>
        <v>122</v>
      </c>
      <c r="H2877" s="244"/>
      <c r="I2877" s="71" t="e">
        <f>IF(COUNTIF((rName rData),H2877),"","Name Error!")</f>
        <v>#NAME?</v>
      </c>
    </row>
    <row r="2878" spans="2:9" s="126" customFormat="1" ht="15" customHeight="1" x14ac:dyDescent="0.25">
      <c r="B2878" s="271" t="s">
        <v>345</v>
      </c>
      <c r="C2878" s="272" t="s">
        <v>344</v>
      </c>
      <c r="D2878" s="275" t="s">
        <v>216</v>
      </c>
      <c r="E2878" s="275">
        <v>41669.361840277779</v>
      </c>
      <c r="F2878" s="276">
        <v>2</v>
      </c>
      <c r="G2878" s="243">
        <f t="shared" si="45"/>
        <v>122</v>
      </c>
      <c r="H2878" s="244"/>
      <c r="I2878" s="71" t="e">
        <f>IF(COUNTIF((rName rData),H2878),"","Name Error!")</f>
        <v>#NAME?</v>
      </c>
    </row>
    <row r="2879" spans="2:9" s="126" customFormat="1" ht="15" customHeight="1" x14ac:dyDescent="0.25">
      <c r="B2879" s="271" t="s">
        <v>341</v>
      </c>
      <c r="C2879" s="272" t="s">
        <v>340</v>
      </c>
      <c r="D2879" s="275" t="s">
        <v>216</v>
      </c>
      <c r="E2879" s="275">
        <v>41669.555266203701</v>
      </c>
      <c r="F2879" s="276">
        <v>1</v>
      </c>
      <c r="G2879" s="243">
        <f t="shared" si="45"/>
        <v>122</v>
      </c>
      <c r="H2879" s="244"/>
      <c r="I2879" s="71" t="e">
        <f>IF(COUNTIF((rName rData),H2879),"","Name Error!")</f>
        <v>#NAME?</v>
      </c>
    </row>
    <row r="2880" spans="2:9" s="126" customFormat="1" ht="15" customHeight="1" x14ac:dyDescent="0.25">
      <c r="B2880" s="271" t="s">
        <v>337</v>
      </c>
      <c r="C2880" s="272" t="s">
        <v>336</v>
      </c>
      <c r="D2880" s="275" t="s">
        <v>216</v>
      </c>
      <c r="E2880" s="275">
        <v>41669.780092592591</v>
      </c>
      <c r="F2880" s="276">
        <v>1</v>
      </c>
      <c r="G2880" s="243">
        <f t="shared" si="45"/>
        <v>122</v>
      </c>
      <c r="H2880" s="244"/>
      <c r="I2880" s="71" t="e">
        <f>IF(COUNTIF((rName rData),H2880),"","Name Error!")</f>
        <v>#NAME?</v>
      </c>
    </row>
    <row r="2881" spans="2:9" s="126" customFormat="1" ht="15" customHeight="1" x14ac:dyDescent="0.25">
      <c r="B2881" s="271" t="s">
        <v>358</v>
      </c>
      <c r="C2881" s="272" t="s">
        <v>357</v>
      </c>
      <c r="D2881" s="275" t="s">
        <v>216</v>
      </c>
      <c r="E2881" s="275">
        <v>41669.786261574074</v>
      </c>
      <c r="F2881" s="276">
        <v>1</v>
      </c>
      <c r="G2881" s="243">
        <f t="shared" si="45"/>
        <v>122</v>
      </c>
      <c r="H2881" s="244"/>
      <c r="I2881" s="71" t="e">
        <f>IF(COUNTIF((rName rData),H2881),"","Name Error!")</f>
        <v>#NAME?</v>
      </c>
    </row>
    <row r="2882" spans="2:9" s="126" customFormat="1" ht="15" customHeight="1" x14ac:dyDescent="0.25">
      <c r="B2882" s="271" t="s">
        <v>324</v>
      </c>
      <c r="C2882" s="272" t="s">
        <v>323</v>
      </c>
      <c r="D2882" s="275" t="s">
        <v>216</v>
      </c>
      <c r="E2882" s="275">
        <v>41669.79583333333</v>
      </c>
      <c r="F2882" s="276">
        <v>1</v>
      </c>
      <c r="G2882" s="243">
        <f t="shared" si="45"/>
        <v>122</v>
      </c>
      <c r="H2882" s="244"/>
      <c r="I2882" s="71" t="e">
        <f>IF(COUNTIF((rName rData),H2882),"","Name Error!")</f>
        <v>#NAME?</v>
      </c>
    </row>
    <row r="2883" spans="2:9" s="126" customFormat="1" ht="15" customHeight="1" x14ac:dyDescent="0.25">
      <c r="B2883" s="271" t="s">
        <v>371</v>
      </c>
      <c r="C2883" s="272" t="s">
        <v>370</v>
      </c>
      <c r="D2883" s="275" t="s">
        <v>216</v>
      </c>
      <c r="E2883" s="275">
        <v>41669.798877314817</v>
      </c>
      <c r="F2883" s="276">
        <v>1</v>
      </c>
      <c r="G2883" s="243">
        <f t="shared" si="45"/>
        <v>122</v>
      </c>
      <c r="H2883" s="244"/>
      <c r="I2883" s="71" t="e">
        <f>IF(COUNTIF((rName rData),H2883),"","Name Error!")</f>
        <v>#NAME?</v>
      </c>
    </row>
    <row r="2884" spans="2:9" s="126" customFormat="1" ht="15" customHeight="1" x14ac:dyDescent="0.25">
      <c r="B2884" s="271" t="s">
        <v>367</v>
      </c>
      <c r="C2884" s="272" t="s">
        <v>366</v>
      </c>
      <c r="D2884" s="275" t="s">
        <v>216</v>
      </c>
      <c r="E2884" s="275">
        <v>41669.847627314812</v>
      </c>
      <c r="F2884" s="276">
        <v>3</v>
      </c>
      <c r="G2884" s="243">
        <f t="shared" si="45"/>
        <v>122</v>
      </c>
      <c r="H2884" s="244"/>
      <c r="I2884" s="71" t="e">
        <f>IF(COUNTIF((rName rData),H2884),"","Name Error!")</f>
        <v>#NAME?</v>
      </c>
    </row>
    <row r="2885" spans="2:9" s="126" customFormat="1" ht="15" customHeight="1" x14ac:dyDescent="0.25">
      <c r="B2885" s="271" t="s">
        <v>367</v>
      </c>
      <c r="C2885" s="272" t="s">
        <v>366</v>
      </c>
      <c r="D2885" s="275" t="s">
        <v>216</v>
      </c>
      <c r="E2885" s="275">
        <v>41670.013935185183</v>
      </c>
      <c r="F2885" s="276">
        <v>2</v>
      </c>
      <c r="G2885" s="243">
        <f t="shared" si="45"/>
        <v>122</v>
      </c>
      <c r="H2885" s="244"/>
      <c r="I2885" s="71" t="e">
        <f>IF(COUNTIF((rName rData),H2885),"","Name Error!")</f>
        <v>#NAME?</v>
      </c>
    </row>
    <row r="2886" spans="2:9" s="126" customFormat="1" ht="15" customHeight="1" x14ac:dyDescent="0.25">
      <c r="B2886" s="271" t="s">
        <v>335</v>
      </c>
      <c r="C2886" s="272" t="s">
        <v>334</v>
      </c>
      <c r="D2886" s="275" t="s">
        <v>216</v>
      </c>
      <c r="E2886" s="275">
        <v>41670.344895833332</v>
      </c>
      <c r="F2886" s="276">
        <v>1</v>
      </c>
      <c r="G2886" s="243">
        <f t="shared" si="45"/>
        <v>122</v>
      </c>
      <c r="H2886" s="244"/>
      <c r="I2886" s="71" t="e">
        <f>IF(COUNTIF((rName rData),H2886),"","Name Error!")</f>
        <v>#NAME?</v>
      </c>
    </row>
    <row r="2887" spans="2:9" s="126" customFormat="1" ht="15" customHeight="1" x14ac:dyDescent="0.25">
      <c r="B2887" s="271" t="s">
        <v>356</v>
      </c>
      <c r="C2887" s="272" t="s">
        <v>355</v>
      </c>
      <c r="D2887" s="275" t="s">
        <v>216</v>
      </c>
      <c r="E2887" s="275">
        <v>41670.386817129627</v>
      </c>
      <c r="F2887" s="276">
        <v>1</v>
      </c>
      <c r="G2887" s="243">
        <f t="shared" si="45"/>
        <v>122</v>
      </c>
      <c r="H2887" s="244"/>
      <c r="I2887" s="71" t="e">
        <f>IF(COUNTIF((rName rData),H2887),"","Name Error!")</f>
        <v>#NAME?</v>
      </c>
    </row>
    <row r="2888" spans="2:9" s="126" customFormat="1" ht="15" customHeight="1" x14ac:dyDescent="0.25">
      <c r="B2888" s="271" t="s">
        <v>354</v>
      </c>
      <c r="C2888" s="272" t="s">
        <v>353</v>
      </c>
      <c r="D2888" s="275" t="s">
        <v>216</v>
      </c>
      <c r="E2888" s="275">
        <v>41670.63517361111</v>
      </c>
      <c r="F2888" s="276">
        <v>1</v>
      </c>
      <c r="G2888" s="243">
        <f t="shared" si="45"/>
        <v>122</v>
      </c>
      <c r="H2888" s="244"/>
      <c r="I2888" s="71" t="e">
        <f>IF(COUNTIF((rName rData),H2888),"","Name Error!")</f>
        <v>#NAME?</v>
      </c>
    </row>
    <row r="2889" spans="2:9" s="126" customFormat="1" ht="15" customHeight="1" x14ac:dyDescent="0.25">
      <c r="B2889" s="271" t="s">
        <v>331</v>
      </c>
      <c r="C2889" s="272" t="s">
        <v>330</v>
      </c>
      <c r="D2889" s="275" t="s">
        <v>216</v>
      </c>
      <c r="E2889" s="275">
        <v>41670.768726851849</v>
      </c>
      <c r="F2889" s="276">
        <v>2</v>
      </c>
      <c r="G2889" s="243">
        <f t="shared" si="45"/>
        <v>122</v>
      </c>
      <c r="H2889" s="244"/>
      <c r="I2889" s="71" t="e">
        <f>IF(COUNTIF((rName rData),H2889),"","Name Error!")</f>
        <v>#NAME?</v>
      </c>
    </row>
    <row r="2890" spans="2:9" s="126" customFormat="1" ht="15" customHeight="1" x14ac:dyDescent="0.25">
      <c r="B2890" s="271" t="s">
        <v>333</v>
      </c>
      <c r="C2890" s="272" t="s">
        <v>332</v>
      </c>
      <c r="D2890" s="275" t="s">
        <v>216</v>
      </c>
      <c r="E2890" s="275">
        <v>41671.048101851855</v>
      </c>
      <c r="F2890" s="276">
        <v>6</v>
      </c>
      <c r="G2890" s="243">
        <f t="shared" ref="G2890:G2953" si="46">TRUNC((E2890-start)/7)+1</f>
        <v>123</v>
      </c>
      <c r="H2890" s="244"/>
      <c r="I2890" s="71" t="e">
        <f>IF(COUNTIF((rName rData),H2890),"","Name Error!")</f>
        <v>#NAME?</v>
      </c>
    </row>
    <row r="2891" spans="2:9" s="126" customFormat="1" ht="15" customHeight="1" x14ac:dyDescent="0.25">
      <c r="B2891" s="271" t="s">
        <v>331</v>
      </c>
      <c r="C2891" s="272" t="s">
        <v>330</v>
      </c>
      <c r="D2891" s="275" t="s">
        <v>216</v>
      </c>
      <c r="E2891" s="275">
        <v>41671.062789351854</v>
      </c>
      <c r="F2891" s="276">
        <v>1</v>
      </c>
      <c r="G2891" s="243">
        <f t="shared" si="46"/>
        <v>123</v>
      </c>
      <c r="H2891" s="244"/>
      <c r="I2891" s="71" t="e">
        <f>IF(COUNTIF((rName rData),H2891),"","Name Error!")</f>
        <v>#NAME?</v>
      </c>
    </row>
    <row r="2892" spans="2:9" s="126" customFormat="1" ht="15" customHeight="1" x14ac:dyDescent="0.25">
      <c r="B2892" s="271" t="s">
        <v>267</v>
      </c>
      <c r="C2892" s="272" t="s">
        <v>268</v>
      </c>
      <c r="D2892" s="275" t="s">
        <v>216</v>
      </c>
      <c r="E2892" s="275">
        <v>41671.34165509259</v>
      </c>
      <c r="F2892" s="276">
        <v>1</v>
      </c>
      <c r="G2892" s="243">
        <f t="shared" si="46"/>
        <v>123</v>
      </c>
      <c r="H2892" s="244"/>
      <c r="I2892" s="71" t="e">
        <f>IF(COUNTIF((rName rData),H2892),"","Name Error!")</f>
        <v>#NAME?</v>
      </c>
    </row>
    <row r="2893" spans="2:9" s="126" customFormat="1" ht="15" customHeight="1" x14ac:dyDescent="0.25">
      <c r="B2893" s="271" t="s">
        <v>352</v>
      </c>
      <c r="C2893" s="272" t="s">
        <v>351</v>
      </c>
      <c r="D2893" s="275" t="s">
        <v>216</v>
      </c>
      <c r="E2893" s="275">
        <v>41671.500787037039</v>
      </c>
      <c r="F2893" s="276">
        <v>3</v>
      </c>
      <c r="G2893" s="243">
        <f t="shared" si="46"/>
        <v>123</v>
      </c>
      <c r="H2893" s="244"/>
      <c r="I2893" s="71" t="e">
        <f>IF(COUNTIF((rName rData),H2893),"","Name Error!")</f>
        <v>#NAME?</v>
      </c>
    </row>
    <row r="2894" spans="2:9" s="126" customFormat="1" ht="15" customHeight="1" x14ac:dyDescent="0.25">
      <c r="B2894" s="271" t="s">
        <v>356</v>
      </c>
      <c r="C2894" s="272" t="s">
        <v>355</v>
      </c>
      <c r="D2894" s="275" t="s">
        <v>216</v>
      </c>
      <c r="E2894" s="275">
        <v>41671.583032407405</v>
      </c>
      <c r="F2894" s="276">
        <v>3</v>
      </c>
      <c r="G2894" s="243">
        <f t="shared" si="46"/>
        <v>123</v>
      </c>
      <c r="H2894" s="244"/>
      <c r="I2894" s="71" t="e">
        <f>IF(COUNTIF((rName rData),H2894),"","Name Error!")</f>
        <v>#NAME?</v>
      </c>
    </row>
    <row r="2895" spans="2:9" s="126" customFormat="1" ht="15" customHeight="1" x14ac:dyDescent="0.25">
      <c r="B2895" s="271" t="s">
        <v>328</v>
      </c>
      <c r="C2895" s="272" t="s">
        <v>327</v>
      </c>
      <c r="D2895" s="275" t="s">
        <v>216</v>
      </c>
      <c r="E2895" s="275">
        <v>41671.693472222221</v>
      </c>
      <c r="F2895" s="276">
        <v>3</v>
      </c>
      <c r="G2895" s="243">
        <f t="shared" si="46"/>
        <v>123</v>
      </c>
      <c r="H2895" s="244"/>
      <c r="I2895" s="71" t="e">
        <f>IF(COUNTIF((rName rData),H2895),"","Name Error!")</f>
        <v>#NAME?</v>
      </c>
    </row>
    <row r="2896" spans="2:9" s="126" customFormat="1" ht="15" customHeight="1" x14ac:dyDescent="0.25">
      <c r="B2896" s="271" t="s">
        <v>322</v>
      </c>
      <c r="C2896" s="272" t="s">
        <v>321</v>
      </c>
      <c r="D2896" s="275" t="s">
        <v>216</v>
      </c>
      <c r="E2896" s="275">
        <v>41671.752256944441</v>
      </c>
      <c r="F2896" s="276">
        <v>2</v>
      </c>
      <c r="G2896" s="243">
        <f t="shared" si="46"/>
        <v>123</v>
      </c>
      <c r="H2896" s="244"/>
      <c r="I2896" s="71" t="e">
        <f>IF(COUNTIF((rName rData),H2896),"","Name Error!")</f>
        <v>#NAME?</v>
      </c>
    </row>
    <row r="2897" spans="2:9" s="126" customFormat="1" ht="15" customHeight="1" x14ac:dyDescent="0.25">
      <c r="B2897" s="271" t="s">
        <v>350</v>
      </c>
      <c r="C2897" s="272" t="s">
        <v>349</v>
      </c>
      <c r="D2897" s="275" t="s">
        <v>216</v>
      </c>
      <c r="E2897" s="275">
        <v>41671.769895833335</v>
      </c>
      <c r="F2897" s="276">
        <v>1</v>
      </c>
      <c r="G2897" s="243">
        <f t="shared" si="46"/>
        <v>123</v>
      </c>
      <c r="H2897" s="244"/>
      <c r="I2897" s="71" t="e">
        <f>IF(COUNTIF((rName rData),H2897),"","Name Error!")</f>
        <v>#NAME?</v>
      </c>
    </row>
    <row r="2898" spans="2:9" s="126" customFormat="1" ht="15" customHeight="1" x14ac:dyDescent="0.25">
      <c r="B2898" s="271" t="s">
        <v>358</v>
      </c>
      <c r="C2898" s="272" t="s">
        <v>357</v>
      </c>
      <c r="D2898" s="275" t="s">
        <v>216</v>
      </c>
      <c r="E2898" s="275">
        <v>41671.851666666669</v>
      </c>
      <c r="F2898" s="276">
        <v>2</v>
      </c>
      <c r="G2898" s="243">
        <f t="shared" si="46"/>
        <v>123</v>
      </c>
      <c r="H2898" s="244"/>
      <c r="I2898" s="71" t="e">
        <f>IF(COUNTIF((rName rData),H2898),"","Name Error!")</f>
        <v>#NAME?</v>
      </c>
    </row>
    <row r="2899" spans="2:9" s="126" customFormat="1" ht="15" customHeight="1" x14ac:dyDescent="0.25">
      <c r="B2899" s="271" t="s">
        <v>328</v>
      </c>
      <c r="C2899" s="272" t="s">
        <v>327</v>
      </c>
      <c r="D2899" s="275" t="s">
        <v>216</v>
      </c>
      <c r="E2899" s="275">
        <v>41672.039166666669</v>
      </c>
      <c r="F2899" s="276">
        <v>2</v>
      </c>
      <c r="G2899" s="243">
        <f t="shared" si="46"/>
        <v>123</v>
      </c>
      <c r="H2899" s="244"/>
      <c r="I2899" s="71" t="e">
        <f>IF(COUNTIF((rName rData),H2899),"","Name Error!")</f>
        <v>#NAME?</v>
      </c>
    </row>
    <row r="2900" spans="2:9" s="126" customFormat="1" ht="15" customHeight="1" x14ac:dyDescent="0.25">
      <c r="B2900" s="271" t="s">
        <v>267</v>
      </c>
      <c r="C2900" s="272" t="s">
        <v>268</v>
      </c>
      <c r="D2900" s="275" t="s">
        <v>216</v>
      </c>
      <c r="E2900" s="275">
        <v>41672.404895833337</v>
      </c>
      <c r="F2900" s="276">
        <v>2</v>
      </c>
      <c r="G2900" s="243">
        <f t="shared" si="46"/>
        <v>123</v>
      </c>
      <c r="H2900" s="244"/>
      <c r="I2900" s="71" t="e">
        <f>IF(COUNTIF((rName rData),H2900),"","Name Error!")</f>
        <v>#NAME?</v>
      </c>
    </row>
    <row r="2901" spans="2:9" s="126" customFormat="1" ht="15" customHeight="1" x14ac:dyDescent="0.25">
      <c r="B2901" s="271" t="s">
        <v>337</v>
      </c>
      <c r="C2901" s="272" t="s">
        <v>336</v>
      </c>
      <c r="D2901" s="275" t="s">
        <v>216</v>
      </c>
      <c r="E2901" s="275">
        <v>41672.56349537037</v>
      </c>
      <c r="F2901" s="276">
        <v>1</v>
      </c>
      <c r="G2901" s="243">
        <f t="shared" si="46"/>
        <v>123</v>
      </c>
      <c r="H2901" s="244"/>
      <c r="I2901" s="71" t="e">
        <f>IF(COUNTIF((rName rData),H2901),"","Name Error!")</f>
        <v>#NAME?</v>
      </c>
    </row>
    <row r="2902" spans="2:9" s="126" customFormat="1" ht="15" customHeight="1" x14ac:dyDescent="0.25">
      <c r="B2902" s="271" t="s">
        <v>335</v>
      </c>
      <c r="C2902" s="272" t="s">
        <v>334</v>
      </c>
      <c r="D2902" s="275" t="s">
        <v>216</v>
      </c>
      <c r="E2902" s="275">
        <v>41672.652708333335</v>
      </c>
      <c r="F2902" s="276">
        <v>1</v>
      </c>
      <c r="G2902" s="243">
        <f t="shared" si="46"/>
        <v>123</v>
      </c>
      <c r="H2902" s="244"/>
      <c r="I2902" s="71" t="e">
        <f>IF(COUNTIF((rName rData),H2902),"","Name Error!")</f>
        <v>#NAME?</v>
      </c>
    </row>
    <row r="2903" spans="2:9" s="126" customFormat="1" ht="15" customHeight="1" x14ac:dyDescent="0.25">
      <c r="B2903" s="271" t="s">
        <v>322</v>
      </c>
      <c r="C2903" s="272" t="s">
        <v>321</v>
      </c>
      <c r="D2903" s="275" t="s">
        <v>216</v>
      </c>
      <c r="E2903" s="275">
        <v>41672.915659722225</v>
      </c>
      <c r="F2903" s="276">
        <v>1</v>
      </c>
      <c r="G2903" s="243">
        <f t="shared" si="46"/>
        <v>123</v>
      </c>
      <c r="H2903" s="244"/>
      <c r="I2903" s="71" t="e">
        <f>IF(COUNTIF((rName rData),H2903),"","Name Error!")</f>
        <v>#NAME?</v>
      </c>
    </row>
    <row r="2904" spans="2:9" s="126" customFormat="1" ht="15" customHeight="1" x14ac:dyDescent="0.25">
      <c r="B2904" s="271" t="s">
        <v>331</v>
      </c>
      <c r="C2904" s="272" t="s">
        <v>330</v>
      </c>
      <c r="D2904" s="275" t="s">
        <v>216</v>
      </c>
      <c r="E2904" s="275">
        <v>41672.975358796299</v>
      </c>
      <c r="F2904" s="276">
        <v>1</v>
      </c>
      <c r="G2904" s="243">
        <f t="shared" si="46"/>
        <v>123</v>
      </c>
      <c r="H2904" s="244"/>
      <c r="I2904" s="71" t="e">
        <f>IF(COUNTIF((rName rData),H2904),"","Name Error!")</f>
        <v>#NAME?</v>
      </c>
    </row>
    <row r="2905" spans="2:9" s="126" customFormat="1" ht="15" customHeight="1" x14ac:dyDescent="0.25">
      <c r="B2905" s="271" t="s">
        <v>335</v>
      </c>
      <c r="C2905" s="272" t="s">
        <v>334</v>
      </c>
      <c r="D2905" s="275" t="s">
        <v>216</v>
      </c>
      <c r="E2905" s="275">
        <v>41673.27553240741</v>
      </c>
      <c r="F2905" s="276">
        <v>1</v>
      </c>
      <c r="G2905" s="243">
        <f t="shared" si="46"/>
        <v>123</v>
      </c>
      <c r="H2905" s="244"/>
      <c r="I2905" s="71" t="e">
        <f>IF(COUNTIF((rName rData),H2905),"","Name Error!")</f>
        <v>#NAME?</v>
      </c>
    </row>
    <row r="2906" spans="2:9" s="126" customFormat="1" ht="15" customHeight="1" x14ac:dyDescent="0.25">
      <c r="B2906" s="271" t="s">
        <v>339</v>
      </c>
      <c r="C2906" s="272" t="s">
        <v>338</v>
      </c>
      <c r="D2906" s="275" t="s">
        <v>216</v>
      </c>
      <c r="E2906" s="275">
        <v>41673.733715277776</v>
      </c>
      <c r="F2906" s="276">
        <v>3</v>
      </c>
      <c r="G2906" s="243">
        <f t="shared" si="46"/>
        <v>123</v>
      </c>
      <c r="H2906" s="244"/>
      <c r="I2906" s="71" t="e">
        <f>IF(COUNTIF((rName rData),H2906),"","Name Error!")</f>
        <v>#NAME?</v>
      </c>
    </row>
    <row r="2907" spans="2:9" s="126" customFormat="1" ht="15" customHeight="1" x14ac:dyDescent="0.25">
      <c r="B2907" s="271" t="s">
        <v>371</v>
      </c>
      <c r="C2907" s="272" t="s">
        <v>370</v>
      </c>
      <c r="D2907" s="275" t="s">
        <v>216</v>
      </c>
      <c r="E2907" s="275">
        <v>41673.770682870374</v>
      </c>
      <c r="F2907" s="276">
        <v>1</v>
      </c>
      <c r="G2907" s="243">
        <f t="shared" si="46"/>
        <v>123</v>
      </c>
      <c r="H2907" s="244"/>
      <c r="I2907" s="71" t="e">
        <f>IF(COUNTIF((rName rData),H2907),"","Name Error!")</f>
        <v>#NAME?</v>
      </c>
    </row>
    <row r="2908" spans="2:9" s="126" customFormat="1" ht="15" customHeight="1" x14ac:dyDescent="0.25">
      <c r="B2908" s="271" t="s">
        <v>331</v>
      </c>
      <c r="C2908" s="272" t="s">
        <v>330</v>
      </c>
      <c r="D2908" s="275" t="s">
        <v>216</v>
      </c>
      <c r="E2908" s="275">
        <v>41673.888958333337</v>
      </c>
      <c r="F2908" s="276">
        <v>1</v>
      </c>
      <c r="G2908" s="243">
        <f t="shared" si="46"/>
        <v>123</v>
      </c>
      <c r="H2908" s="244"/>
      <c r="I2908" s="71" t="e">
        <f>IF(COUNTIF((rName rData),H2908),"","Name Error!")</f>
        <v>#NAME?</v>
      </c>
    </row>
    <row r="2909" spans="2:9" s="126" customFormat="1" ht="15" customHeight="1" x14ac:dyDescent="0.25">
      <c r="B2909" s="271" t="s">
        <v>322</v>
      </c>
      <c r="C2909" s="272" t="s">
        <v>321</v>
      </c>
      <c r="D2909" s="275" t="s">
        <v>216</v>
      </c>
      <c r="E2909" s="275">
        <v>41673.974988425929</v>
      </c>
      <c r="F2909" s="276">
        <v>2</v>
      </c>
      <c r="G2909" s="243">
        <f t="shared" si="46"/>
        <v>123</v>
      </c>
      <c r="H2909" s="244"/>
      <c r="I2909" s="71" t="e">
        <f>IF(COUNTIF((rName rData),H2909),"","Name Error!")</f>
        <v>#NAME?</v>
      </c>
    </row>
    <row r="2910" spans="2:9" s="126" customFormat="1" ht="15" customHeight="1" x14ac:dyDescent="0.25">
      <c r="B2910" s="271" t="s">
        <v>331</v>
      </c>
      <c r="C2910" s="272" t="s">
        <v>330</v>
      </c>
      <c r="D2910" s="275" t="s">
        <v>216</v>
      </c>
      <c r="E2910" s="275">
        <v>41674.000115740739</v>
      </c>
      <c r="F2910" s="276">
        <v>1</v>
      </c>
      <c r="G2910" s="243">
        <f t="shared" si="46"/>
        <v>123</v>
      </c>
      <c r="H2910" s="244"/>
      <c r="I2910" s="71" t="e">
        <f>IF(COUNTIF((rName rData),H2910),"","Name Error!")</f>
        <v>#NAME?</v>
      </c>
    </row>
    <row r="2911" spans="2:9" s="126" customFormat="1" ht="15" customHeight="1" x14ac:dyDescent="0.25">
      <c r="B2911" s="271" t="s">
        <v>345</v>
      </c>
      <c r="C2911" s="272" t="s">
        <v>344</v>
      </c>
      <c r="D2911" s="275" t="s">
        <v>216</v>
      </c>
      <c r="E2911" s="275">
        <v>41674.420486111114</v>
      </c>
      <c r="F2911" s="276">
        <v>1</v>
      </c>
      <c r="G2911" s="243">
        <f t="shared" si="46"/>
        <v>123</v>
      </c>
      <c r="H2911" s="244"/>
      <c r="I2911" s="71" t="e">
        <f>IF(COUNTIF((rName rData),H2911),"","Name Error!")</f>
        <v>#NAME?</v>
      </c>
    </row>
    <row r="2912" spans="2:9" s="126" customFormat="1" ht="15" customHeight="1" x14ac:dyDescent="0.25">
      <c r="B2912" s="271" t="s">
        <v>341</v>
      </c>
      <c r="C2912" s="272" t="s">
        <v>340</v>
      </c>
      <c r="D2912" s="275" t="s">
        <v>216</v>
      </c>
      <c r="E2912" s="275">
        <v>41674.449502314812</v>
      </c>
      <c r="F2912" s="276">
        <v>1</v>
      </c>
      <c r="G2912" s="243">
        <f t="shared" si="46"/>
        <v>123</v>
      </c>
      <c r="H2912" s="244"/>
      <c r="I2912" s="71" t="e">
        <f>IF(COUNTIF((rName rData),H2912),"","Name Error!")</f>
        <v>#NAME?</v>
      </c>
    </row>
    <row r="2913" spans="2:9" s="126" customFormat="1" ht="15" customHeight="1" x14ac:dyDescent="0.25">
      <c r="B2913" s="271" t="s">
        <v>352</v>
      </c>
      <c r="C2913" s="272" t="s">
        <v>351</v>
      </c>
      <c r="D2913" s="275" t="s">
        <v>216</v>
      </c>
      <c r="E2913" s="275">
        <v>41674.735335648147</v>
      </c>
      <c r="F2913" s="276">
        <v>1</v>
      </c>
      <c r="G2913" s="243">
        <f t="shared" si="46"/>
        <v>123</v>
      </c>
      <c r="H2913" s="244"/>
      <c r="I2913" s="71" t="e">
        <f>IF(COUNTIF((rName rData),H2913),"","Name Error!")</f>
        <v>#NAME?</v>
      </c>
    </row>
    <row r="2914" spans="2:9" s="126" customFormat="1" ht="15" customHeight="1" x14ac:dyDescent="0.25">
      <c r="B2914" s="271" t="s">
        <v>354</v>
      </c>
      <c r="C2914" s="272" t="s">
        <v>353</v>
      </c>
      <c r="D2914" s="275" t="s">
        <v>216</v>
      </c>
      <c r="E2914" s="275">
        <v>41674.849374999998</v>
      </c>
      <c r="F2914" s="276">
        <v>1</v>
      </c>
      <c r="G2914" s="243">
        <f t="shared" si="46"/>
        <v>123</v>
      </c>
      <c r="H2914" s="244"/>
      <c r="I2914" s="71" t="e">
        <f>IF(COUNTIF((rName rData),H2914),"","Name Error!")</f>
        <v>#NAME?</v>
      </c>
    </row>
    <row r="2915" spans="2:9" s="126" customFormat="1" ht="15" customHeight="1" x14ac:dyDescent="0.25">
      <c r="B2915" s="271" t="s">
        <v>365</v>
      </c>
      <c r="C2915" s="272" t="s">
        <v>364</v>
      </c>
      <c r="D2915" s="275" t="s">
        <v>216</v>
      </c>
      <c r="E2915" s="275">
        <v>41674.872384259259</v>
      </c>
      <c r="F2915" s="276">
        <v>1</v>
      </c>
      <c r="G2915" s="243">
        <f t="shared" si="46"/>
        <v>123</v>
      </c>
      <c r="H2915" s="244"/>
      <c r="I2915" s="71" t="e">
        <f>IF(COUNTIF((rName rData),H2915),"","Name Error!")</f>
        <v>#NAME?</v>
      </c>
    </row>
    <row r="2916" spans="2:9" s="126" customFormat="1" ht="15" customHeight="1" x14ac:dyDescent="0.25">
      <c r="B2916" s="271" t="s">
        <v>358</v>
      </c>
      <c r="C2916" s="272" t="s">
        <v>357</v>
      </c>
      <c r="D2916" s="275" t="s">
        <v>216</v>
      </c>
      <c r="E2916" s="275">
        <v>41674.895868055559</v>
      </c>
      <c r="F2916" s="276">
        <v>2</v>
      </c>
      <c r="G2916" s="243">
        <f t="shared" si="46"/>
        <v>123</v>
      </c>
      <c r="H2916" s="244"/>
      <c r="I2916" s="71" t="e">
        <f>IF(COUNTIF((rName rData),H2916),"","Name Error!")</f>
        <v>#NAME?</v>
      </c>
    </row>
    <row r="2917" spans="2:9" s="126" customFormat="1" ht="15" customHeight="1" x14ac:dyDescent="0.25">
      <c r="B2917" s="271" t="s">
        <v>337</v>
      </c>
      <c r="C2917" s="272" t="s">
        <v>336</v>
      </c>
      <c r="D2917" s="275" t="s">
        <v>216</v>
      </c>
      <c r="E2917" s="275">
        <v>41674.896655092591</v>
      </c>
      <c r="F2917" s="276">
        <v>1</v>
      </c>
      <c r="G2917" s="243">
        <f t="shared" si="46"/>
        <v>123</v>
      </c>
      <c r="H2917" s="244"/>
      <c r="I2917" s="71" t="e">
        <f>IF(COUNTIF((rName rData),H2917),"","Name Error!")</f>
        <v>#NAME?</v>
      </c>
    </row>
    <row r="2918" spans="2:9" s="126" customFormat="1" ht="15" customHeight="1" x14ac:dyDescent="0.25">
      <c r="B2918" s="271" t="s">
        <v>328</v>
      </c>
      <c r="C2918" s="272" t="s">
        <v>327</v>
      </c>
      <c r="D2918" s="275" t="s">
        <v>216</v>
      </c>
      <c r="E2918" s="275">
        <v>41674.899884259263</v>
      </c>
      <c r="F2918" s="276">
        <v>1</v>
      </c>
      <c r="G2918" s="243">
        <f t="shared" si="46"/>
        <v>123</v>
      </c>
      <c r="H2918" s="244"/>
      <c r="I2918" s="71" t="e">
        <f>IF(COUNTIF((rName rData),H2918),"","Name Error!")</f>
        <v>#NAME?</v>
      </c>
    </row>
    <row r="2919" spans="2:9" s="126" customFormat="1" ht="15" customHeight="1" x14ac:dyDescent="0.25">
      <c r="B2919" s="271" t="s">
        <v>324</v>
      </c>
      <c r="C2919" s="272" t="s">
        <v>323</v>
      </c>
      <c r="D2919" s="275" t="s">
        <v>216</v>
      </c>
      <c r="E2919" s="275">
        <v>41674.911793981482</v>
      </c>
      <c r="F2919" s="276">
        <v>1</v>
      </c>
      <c r="G2919" s="243">
        <f t="shared" si="46"/>
        <v>123</v>
      </c>
      <c r="H2919" s="244"/>
      <c r="I2919" s="71" t="e">
        <f>IF(COUNTIF((rName rData),H2919),"","Name Error!")</f>
        <v>#NAME?</v>
      </c>
    </row>
    <row r="2920" spans="2:9" s="126" customFormat="1" ht="15" customHeight="1" x14ac:dyDescent="0.25">
      <c r="B2920" s="271" t="s">
        <v>341</v>
      </c>
      <c r="C2920" s="272" t="s">
        <v>340</v>
      </c>
      <c r="D2920" s="275" t="s">
        <v>216</v>
      </c>
      <c r="E2920" s="275">
        <v>41675.332453703704</v>
      </c>
      <c r="F2920" s="276">
        <v>2</v>
      </c>
      <c r="G2920" s="243">
        <f t="shared" si="46"/>
        <v>123</v>
      </c>
      <c r="H2920" s="244"/>
      <c r="I2920" s="71" t="e">
        <f>IF(COUNTIF((rName rData),H2920),"","Name Error!")</f>
        <v>#NAME?</v>
      </c>
    </row>
    <row r="2921" spans="2:9" s="126" customFormat="1" ht="15" customHeight="1" x14ac:dyDescent="0.25">
      <c r="B2921" s="271" t="s">
        <v>322</v>
      </c>
      <c r="C2921" s="272" t="s">
        <v>321</v>
      </c>
      <c r="D2921" s="275" t="s">
        <v>216</v>
      </c>
      <c r="E2921" s="275">
        <v>41675.367430555554</v>
      </c>
      <c r="F2921" s="276">
        <v>1</v>
      </c>
      <c r="G2921" s="243">
        <f t="shared" si="46"/>
        <v>123</v>
      </c>
      <c r="H2921" s="244"/>
      <c r="I2921" s="71" t="e">
        <f>IF(COUNTIF((rName rData),H2921),"","Name Error!")</f>
        <v>#NAME?</v>
      </c>
    </row>
    <row r="2922" spans="2:9" s="126" customFormat="1" ht="15" customHeight="1" x14ac:dyDescent="0.25">
      <c r="B2922" s="271" t="s">
        <v>267</v>
      </c>
      <c r="C2922" s="272" t="s">
        <v>268</v>
      </c>
      <c r="D2922" s="275" t="s">
        <v>216</v>
      </c>
      <c r="E2922" s="275">
        <v>41675.393692129626</v>
      </c>
      <c r="F2922" s="276">
        <v>1</v>
      </c>
      <c r="G2922" s="243">
        <f t="shared" si="46"/>
        <v>123</v>
      </c>
      <c r="H2922" s="244"/>
      <c r="I2922" s="71" t="e">
        <f>IF(COUNTIF((rName rData),H2922),"","Name Error!")</f>
        <v>#NAME?</v>
      </c>
    </row>
    <row r="2923" spans="2:9" s="126" customFormat="1" ht="15" customHeight="1" x14ac:dyDescent="0.25">
      <c r="B2923" s="271" t="s">
        <v>358</v>
      </c>
      <c r="C2923" s="272" t="s">
        <v>357</v>
      </c>
      <c r="D2923" s="275" t="s">
        <v>216</v>
      </c>
      <c r="E2923" s="275">
        <v>41675.942986111113</v>
      </c>
      <c r="F2923" s="276">
        <v>1</v>
      </c>
      <c r="G2923" s="243">
        <f t="shared" si="46"/>
        <v>123</v>
      </c>
      <c r="H2923" s="244"/>
      <c r="I2923" s="71" t="e">
        <f>IF(COUNTIF((rName rData),H2923),"","Name Error!")</f>
        <v>#NAME?</v>
      </c>
    </row>
    <row r="2924" spans="2:9" s="126" customFormat="1" ht="15" customHeight="1" x14ac:dyDescent="0.25">
      <c r="B2924" s="271" t="s">
        <v>339</v>
      </c>
      <c r="C2924" s="272" t="s">
        <v>338</v>
      </c>
      <c r="D2924" s="275" t="s">
        <v>216</v>
      </c>
      <c r="E2924" s="275">
        <v>41676.329872685186</v>
      </c>
      <c r="F2924" s="276">
        <v>2</v>
      </c>
      <c r="G2924" s="243">
        <f t="shared" si="46"/>
        <v>123</v>
      </c>
      <c r="H2924" s="244"/>
      <c r="I2924" s="71" t="e">
        <f>IF(COUNTIF((rName rData),H2924),"","Name Error!")</f>
        <v>#NAME?</v>
      </c>
    </row>
    <row r="2925" spans="2:9" s="126" customFormat="1" ht="15" customHeight="1" x14ac:dyDescent="0.25">
      <c r="B2925" s="271" t="s">
        <v>358</v>
      </c>
      <c r="C2925" s="272" t="s">
        <v>357</v>
      </c>
      <c r="D2925" s="275" t="s">
        <v>216</v>
      </c>
      <c r="E2925" s="275">
        <v>41676.890960648147</v>
      </c>
      <c r="F2925" s="276">
        <v>1</v>
      </c>
      <c r="G2925" s="243">
        <f t="shared" si="46"/>
        <v>123</v>
      </c>
      <c r="H2925" s="244"/>
      <c r="I2925" s="71" t="e">
        <f>IF(COUNTIF((rName rData),H2925),"","Name Error!")</f>
        <v>#NAME?</v>
      </c>
    </row>
    <row r="2926" spans="2:9" s="126" customFormat="1" ht="15" customHeight="1" x14ac:dyDescent="0.25">
      <c r="B2926" s="271" t="s">
        <v>324</v>
      </c>
      <c r="C2926" s="272" t="s">
        <v>323</v>
      </c>
      <c r="D2926" s="275" t="s">
        <v>216</v>
      </c>
      <c r="E2926" s="275">
        <v>41676.905104166668</v>
      </c>
      <c r="F2926" s="276">
        <v>1</v>
      </c>
      <c r="G2926" s="243">
        <f t="shared" si="46"/>
        <v>123</v>
      </c>
      <c r="H2926" s="244"/>
      <c r="I2926" s="71" t="e">
        <f>IF(COUNTIF((rName rData),H2926),"","Name Error!")</f>
        <v>#NAME?</v>
      </c>
    </row>
    <row r="2927" spans="2:9" s="126" customFormat="1" ht="15" customHeight="1" x14ac:dyDescent="0.25">
      <c r="B2927" s="271" t="s">
        <v>267</v>
      </c>
      <c r="C2927" s="272" t="s">
        <v>268</v>
      </c>
      <c r="D2927" s="275" t="s">
        <v>216</v>
      </c>
      <c r="E2927" s="275">
        <v>41677.419351851851</v>
      </c>
      <c r="F2927" s="276">
        <v>2</v>
      </c>
      <c r="G2927" s="243">
        <f t="shared" si="46"/>
        <v>123</v>
      </c>
      <c r="H2927" s="244"/>
      <c r="I2927" s="71" t="e">
        <f>IF(COUNTIF((rName rData),H2927),"","Name Error!")</f>
        <v>#NAME?</v>
      </c>
    </row>
    <row r="2928" spans="2:9" s="126" customFormat="1" ht="15" customHeight="1" x14ac:dyDescent="0.25">
      <c r="B2928" s="271" t="s">
        <v>335</v>
      </c>
      <c r="C2928" s="272" t="s">
        <v>334</v>
      </c>
      <c r="D2928" s="275" t="s">
        <v>216</v>
      </c>
      <c r="E2928" s="275">
        <v>41677.461967592593</v>
      </c>
      <c r="F2928" s="276">
        <v>1</v>
      </c>
      <c r="G2928" s="243">
        <f t="shared" si="46"/>
        <v>123</v>
      </c>
      <c r="H2928" s="244"/>
      <c r="I2928" s="71" t="e">
        <f>IF(COUNTIF((rName rData),H2928),"","Name Error!")</f>
        <v>#NAME?</v>
      </c>
    </row>
    <row r="2929" spans="2:9" s="126" customFormat="1" ht="15" customHeight="1" x14ac:dyDescent="0.25">
      <c r="B2929" s="271" t="s">
        <v>371</v>
      </c>
      <c r="C2929" s="272" t="s">
        <v>370</v>
      </c>
      <c r="D2929" s="275" t="s">
        <v>216</v>
      </c>
      <c r="E2929" s="275">
        <v>41678.210879629631</v>
      </c>
      <c r="F2929" s="276">
        <v>5</v>
      </c>
      <c r="G2929" s="243">
        <f t="shared" si="46"/>
        <v>124</v>
      </c>
      <c r="H2929" s="244"/>
      <c r="I2929" s="71" t="e">
        <f>IF(COUNTIF((rName rData),H2929),"","Name Error!")</f>
        <v>#NAME?</v>
      </c>
    </row>
    <row r="2930" spans="2:9" s="126" customFormat="1" ht="15" customHeight="1" x14ac:dyDescent="0.25">
      <c r="B2930" s="271" t="s">
        <v>335</v>
      </c>
      <c r="C2930" s="272" t="s">
        <v>334</v>
      </c>
      <c r="D2930" s="275" t="s">
        <v>216</v>
      </c>
      <c r="E2930" s="275">
        <v>41678.535277777781</v>
      </c>
      <c r="F2930" s="276">
        <v>1</v>
      </c>
      <c r="G2930" s="243">
        <f t="shared" si="46"/>
        <v>124</v>
      </c>
      <c r="H2930" s="244"/>
      <c r="I2930" s="71" t="e">
        <f>IF(COUNTIF((rName rData),H2930),"","Name Error!")</f>
        <v>#NAME?</v>
      </c>
    </row>
    <row r="2931" spans="2:9" s="126" customFormat="1" ht="15" customHeight="1" x14ac:dyDescent="0.25">
      <c r="B2931" s="271" t="s">
        <v>354</v>
      </c>
      <c r="C2931" s="272" t="s">
        <v>353</v>
      </c>
      <c r="D2931" s="275" t="s">
        <v>216</v>
      </c>
      <c r="E2931" s="275">
        <v>41678.582256944443</v>
      </c>
      <c r="F2931" s="276">
        <v>1</v>
      </c>
      <c r="G2931" s="243">
        <f t="shared" si="46"/>
        <v>124</v>
      </c>
      <c r="H2931" s="244"/>
      <c r="I2931" s="71" t="e">
        <f>IF(COUNTIF((rName rData),H2931),"","Name Error!")</f>
        <v>#NAME?</v>
      </c>
    </row>
    <row r="2932" spans="2:9" s="126" customFormat="1" ht="15" customHeight="1" x14ac:dyDescent="0.25">
      <c r="B2932" s="271" t="s">
        <v>328</v>
      </c>
      <c r="C2932" s="272" t="s">
        <v>327</v>
      </c>
      <c r="D2932" s="275" t="s">
        <v>216</v>
      </c>
      <c r="E2932" s="275">
        <v>41678.655393518522</v>
      </c>
      <c r="F2932" s="276">
        <v>1</v>
      </c>
      <c r="G2932" s="243">
        <f t="shared" si="46"/>
        <v>124</v>
      </c>
      <c r="H2932" s="244"/>
      <c r="I2932" s="71" t="e">
        <f>IF(COUNTIF((rName rData),H2932),"","Name Error!")</f>
        <v>#NAME?</v>
      </c>
    </row>
    <row r="2933" spans="2:9" s="126" customFormat="1" ht="15" customHeight="1" x14ac:dyDescent="0.25">
      <c r="B2933" s="271" t="s">
        <v>322</v>
      </c>
      <c r="C2933" s="272" t="s">
        <v>321</v>
      </c>
      <c r="D2933" s="275" t="s">
        <v>216</v>
      </c>
      <c r="E2933" s="275">
        <v>41678.673900462964</v>
      </c>
      <c r="F2933" s="276">
        <v>1</v>
      </c>
      <c r="G2933" s="243">
        <f t="shared" si="46"/>
        <v>124</v>
      </c>
      <c r="H2933" s="244"/>
      <c r="I2933" s="71" t="e">
        <f>IF(COUNTIF((rName rData),H2933),"","Name Error!")</f>
        <v>#NAME?</v>
      </c>
    </row>
    <row r="2934" spans="2:9" s="126" customFormat="1" ht="15" customHeight="1" x14ac:dyDescent="0.25">
      <c r="B2934" s="271" t="s">
        <v>339</v>
      </c>
      <c r="C2934" s="272" t="s">
        <v>338</v>
      </c>
      <c r="D2934" s="275" t="s">
        <v>216</v>
      </c>
      <c r="E2934" s="275">
        <v>41678.675185185188</v>
      </c>
      <c r="F2934" s="276">
        <v>1</v>
      </c>
      <c r="G2934" s="243">
        <f t="shared" si="46"/>
        <v>124</v>
      </c>
      <c r="H2934" s="244"/>
      <c r="I2934" s="71" t="e">
        <f>IF(COUNTIF((rName rData),H2934),"","Name Error!")</f>
        <v>#NAME?</v>
      </c>
    </row>
    <row r="2935" spans="2:9" s="126" customFormat="1" ht="15" customHeight="1" x14ac:dyDescent="0.25">
      <c r="B2935" s="271" t="s">
        <v>352</v>
      </c>
      <c r="C2935" s="272" t="s">
        <v>351</v>
      </c>
      <c r="D2935" s="275" t="s">
        <v>216</v>
      </c>
      <c r="E2935" s="275">
        <v>41678.7344212963</v>
      </c>
      <c r="F2935" s="276">
        <v>1</v>
      </c>
      <c r="G2935" s="243">
        <f t="shared" si="46"/>
        <v>124</v>
      </c>
      <c r="H2935" s="244"/>
      <c r="I2935" s="71" t="e">
        <f>IF(COUNTIF((rName rData),H2935),"","Name Error!")</f>
        <v>#NAME?</v>
      </c>
    </row>
    <row r="2936" spans="2:9" s="126" customFormat="1" ht="15" customHeight="1" x14ac:dyDescent="0.25">
      <c r="B2936" s="271" t="s">
        <v>324</v>
      </c>
      <c r="C2936" s="272" t="s">
        <v>323</v>
      </c>
      <c r="D2936" s="275" t="s">
        <v>216</v>
      </c>
      <c r="E2936" s="275">
        <v>41678.87128472222</v>
      </c>
      <c r="F2936" s="276">
        <v>2</v>
      </c>
      <c r="G2936" s="243">
        <f t="shared" si="46"/>
        <v>124</v>
      </c>
      <c r="H2936" s="244"/>
      <c r="I2936" s="71" t="e">
        <f>IF(COUNTIF((rName rData),H2936),"","Name Error!")</f>
        <v>#NAME?</v>
      </c>
    </row>
    <row r="2937" spans="2:9" s="126" customFormat="1" ht="15" customHeight="1" x14ac:dyDescent="0.25">
      <c r="B2937" s="271" t="s">
        <v>337</v>
      </c>
      <c r="C2937" s="272" t="s">
        <v>336</v>
      </c>
      <c r="D2937" s="275" t="s">
        <v>216</v>
      </c>
      <c r="E2937" s="275">
        <v>41678.916643518518</v>
      </c>
      <c r="F2937" s="276">
        <v>4</v>
      </c>
      <c r="G2937" s="243">
        <f t="shared" si="46"/>
        <v>124</v>
      </c>
      <c r="H2937" s="244"/>
      <c r="I2937" s="71" t="e">
        <f>IF(COUNTIF((rName rData),H2937),"","Name Error!")</f>
        <v>#NAME?</v>
      </c>
    </row>
    <row r="2938" spans="2:9" s="126" customFormat="1" ht="15" customHeight="1" x14ac:dyDescent="0.25">
      <c r="B2938" s="271" t="s">
        <v>337</v>
      </c>
      <c r="C2938" s="272" t="s">
        <v>336</v>
      </c>
      <c r="D2938" s="275" t="s">
        <v>216</v>
      </c>
      <c r="E2938" s="275">
        <v>41679.004618055558</v>
      </c>
      <c r="F2938" s="276">
        <v>1</v>
      </c>
      <c r="G2938" s="243">
        <f t="shared" si="46"/>
        <v>124</v>
      </c>
      <c r="H2938" s="244"/>
      <c r="I2938" s="71" t="e">
        <f>IF(COUNTIF((rName rData),H2938),"","Name Error!")</f>
        <v>#NAME?</v>
      </c>
    </row>
    <row r="2939" spans="2:9" s="126" customFormat="1" ht="15" customHeight="1" x14ac:dyDescent="0.25">
      <c r="B2939" s="271" t="s">
        <v>324</v>
      </c>
      <c r="C2939" s="272" t="s">
        <v>323</v>
      </c>
      <c r="D2939" s="275" t="s">
        <v>216</v>
      </c>
      <c r="E2939" s="275">
        <v>41679.042650462965</v>
      </c>
      <c r="F2939" s="276">
        <v>1</v>
      </c>
      <c r="G2939" s="243">
        <f t="shared" si="46"/>
        <v>124</v>
      </c>
      <c r="H2939" s="244"/>
      <c r="I2939" s="71" t="e">
        <f>IF(COUNTIF((rName rData),H2939),"","Name Error!")</f>
        <v>#NAME?</v>
      </c>
    </row>
    <row r="2940" spans="2:9" s="126" customFormat="1" ht="15" customHeight="1" x14ac:dyDescent="0.25">
      <c r="B2940" s="271" t="s">
        <v>322</v>
      </c>
      <c r="C2940" s="272" t="s">
        <v>321</v>
      </c>
      <c r="D2940" s="275" t="s">
        <v>216</v>
      </c>
      <c r="E2940" s="275">
        <v>41679.35670138889</v>
      </c>
      <c r="F2940" s="276">
        <v>7</v>
      </c>
      <c r="G2940" s="243">
        <f t="shared" si="46"/>
        <v>124</v>
      </c>
      <c r="H2940" s="244"/>
      <c r="I2940" s="71" t="e">
        <f>IF(COUNTIF((rName rData),H2940),"","Name Error!")</f>
        <v>#NAME?</v>
      </c>
    </row>
    <row r="2941" spans="2:9" s="126" customFormat="1" ht="15" customHeight="1" x14ac:dyDescent="0.25">
      <c r="B2941" s="271" t="s">
        <v>356</v>
      </c>
      <c r="C2941" s="272" t="s">
        <v>355</v>
      </c>
      <c r="D2941" s="275" t="s">
        <v>216</v>
      </c>
      <c r="E2941" s="275">
        <v>41679.475115740737</v>
      </c>
      <c r="F2941" s="276">
        <v>4</v>
      </c>
      <c r="G2941" s="243">
        <f t="shared" si="46"/>
        <v>124</v>
      </c>
      <c r="H2941" s="244"/>
      <c r="I2941" s="71" t="e">
        <f>IF(COUNTIF((rName rData),H2941),"","Name Error!")</f>
        <v>#NAME?</v>
      </c>
    </row>
    <row r="2942" spans="2:9" s="126" customFormat="1" ht="15" customHeight="1" x14ac:dyDescent="0.25">
      <c r="B2942" s="271" t="s">
        <v>267</v>
      </c>
      <c r="C2942" s="272" t="s">
        <v>268</v>
      </c>
      <c r="D2942" s="275" t="s">
        <v>216</v>
      </c>
      <c r="E2942" s="275">
        <v>41679.507708333331</v>
      </c>
      <c r="F2942" s="276">
        <v>2</v>
      </c>
      <c r="G2942" s="243">
        <f t="shared" si="46"/>
        <v>124</v>
      </c>
      <c r="H2942" s="244"/>
      <c r="I2942" s="71" t="e">
        <f>IF(COUNTIF((rName rData),H2942),"","Name Error!")</f>
        <v>#NAME?</v>
      </c>
    </row>
    <row r="2943" spans="2:9" s="126" customFormat="1" ht="15" customHeight="1" x14ac:dyDescent="0.25">
      <c r="B2943" s="271" t="s">
        <v>371</v>
      </c>
      <c r="C2943" s="272" t="s">
        <v>370</v>
      </c>
      <c r="D2943" s="275" t="s">
        <v>216</v>
      </c>
      <c r="E2943" s="275">
        <v>41679.550474537034</v>
      </c>
      <c r="F2943" s="276">
        <v>1</v>
      </c>
      <c r="G2943" s="243">
        <f t="shared" si="46"/>
        <v>124</v>
      </c>
      <c r="H2943" s="244"/>
      <c r="I2943" s="71" t="e">
        <f>IF(COUNTIF((rName rData),H2943),"","Name Error!")</f>
        <v>#NAME?</v>
      </c>
    </row>
    <row r="2944" spans="2:9" s="126" customFormat="1" ht="15" customHeight="1" x14ac:dyDescent="0.25">
      <c r="B2944" s="271" t="s">
        <v>335</v>
      </c>
      <c r="C2944" s="272" t="s">
        <v>334</v>
      </c>
      <c r="D2944" s="275" t="s">
        <v>216</v>
      </c>
      <c r="E2944" s="275">
        <v>41679.56962962963</v>
      </c>
      <c r="F2944" s="276">
        <v>7</v>
      </c>
      <c r="G2944" s="243">
        <f t="shared" si="46"/>
        <v>124</v>
      </c>
      <c r="H2944" s="244"/>
      <c r="I2944" s="71" t="e">
        <f>IF(COUNTIF((rName rData),H2944),"","Name Error!")</f>
        <v>#NAME?</v>
      </c>
    </row>
    <row r="2945" spans="2:9" s="126" customFormat="1" ht="15" customHeight="1" x14ac:dyDescent="0.25">
      <c r="B2945" s="271" t="s">
        <v>345</v>
      </c>
      <c r="C2945" s="272" t="s">
        <v>344</v>
      </c>
      <c r="D2945" s="275" t="s">
        <v>216</v>
      </c>
      <c r="E2945" s="275">
        <v>41679.663368055553</v>
      </c>
      <c r="F2945" s="276">
        <v>1</v>
      </c>
      <c r="G2945" s="243">
        <f t="shared" si="46"/>
        <v>124</v>
      </c>
      <c r="H2945" s="244"/>
      <c r="I2945" s="71" t="e">
        <f>IF(COUNTIF((rName rData),H2945),"","Name Error!")</f>
        <v>#NAME?</v>
      </c>
    </row>
    <row r="2946" spans="2:9" s="126" customFormat="1" ht="15" customHeight="1" x14ac:dyDescent="0.25">
      <c r="B2946" s="271" t="s">
        <v>341</v>
      </c>
      <c r="C2946" s="272" t="s">
        <v>340</v>
      </c>
      <c r="D2946" s="275" t="s">
        <v>216</v>
      </c>
      <c r="E2946" s="275">
        <v>41679.73101851852</v>
      </c>
      <c r="F2946" s="276">
        <v>1</v>
      </c>
      <c r="G2946" s="243">
        <f t="shared" si="46"/>
        <v>124</v>
      </c>
      <c r="H2946" s="244"/>
      <c r="I2946" s="71" t="e">
        <f>IF(COUNTIF((rName rData),H2946),"","Name Error!")</f>
        <v>#NAME?</v>
      </c>
    </row>
    <row r="2947" spans="2:9" s="126" customFormat="1" ht="15" customHeight="1" x14ac:dyDescent="0.25">
      <c r="B2947" s="271" t="s">
        <v>333</v>
      </c>
      <c r="C2947" s="272" t="s">
        <v>332</v>
      </c>
      <c r="D2947" s="275" t="s">
        <v>216</v>
      </c>
      <c r="E2947" s="275">
        <v>41679.803171296298</v>
      </c>
      <c r="F2947" s="276">
        <v>1</v>
      </c>
      <c r="G2947" s="243">
        <f t="shared" si="46"/>
        <v>124</v>
      </c>
      <c r="H2947" s="244"/>
      <c r="I2947" s="71" t="e">
        <f>IF(COUNTIF((rName rData),H2947),"","Name Error!")</f>
        <v>#NAME?</v>
      </c>
    </row>
    <row r="2948" spans="2:9" s="126" customFormat="1" ht="15" customHeight="1" x14ac:dyDescent="0.25">
      <c r="B2948" s="271" t="s">
        <v>358</v>
      </c>
      <c r="C2948" s="272" t="s">
        <v>357</v>
      </c>
      <c r="D2948" s="275" t="s">
        <v>216</v>
      </c>
      <c r="E2948" s="275">
        <v>41679.83734953704</v>
      </c>
      <c r="F2948" s="276">
        <v>2</v>
      </c>
      <c r="G2948" s="243">
        <f t="shared" si="46"/>
        <v>124</v>
      </c>
      <c r="H2948" s="244"/>
      <c r="I2948" s="71" t="e">
        <f>IF(COUNTIF((rName rData),H2948),"","Name Error!")</f>
        <v>#NAME?</v>
      </c>
    </row>
    <row r="2949" spans="2:9" s="126" customFormat="1" ht="15" customHeight="1" x14ac:dyDescent="0.25">
      <c r="B2949" s="271" t="s">
        <v>328</v>
      </c>
      <c r="C2949" s="272" t="s">
        <v>327</v>
      </c>
      <c r="D2949" s="275" t="s">
        <v>216</v>
      </c>
      <c r="E2949" s="275">
        <v>41679.854409722226</v>
      </c>
      <c r="F2949" s="276">
        <v>1</v>
      </c>
      <c r="G2949" s="243">
        <f t="shared" si="46"/>
        <v>124</v>
      </c>
      <c r="H2949" s="244"/>
      <c r="I2949" s="71" t="e">
        <f>IF(COUNTIF((rName rData),H2949),"","Name Error!")</f>
        <v>#NAME?</v>
      </c>
    </row>
    <row r="2950" spans="2:9" s="126" customFormat="1" ht="15" customHeight="1" x14ac:dyDescent="0.25">
      <c r="B2950" s="271" t="s">
        <v>352</v>
      </c>
      <c r="C2950" s="272" t="s">
        <v>351</v>
      </c>
      <c r="D2950" s="275" t="s">
        <v>216</v>
      </c>
      <c r="E2950" s="275">
        <v>41679.892858796295</v>
      </c>
      <c r="F2950" s="276">
        <v>1</v>
      </c>
      <c r="G2950" s="243">
        <f t="shared" si="46"/>
        <v>124</v>
      </c>
      <c r="H2950" s="244"/>
      <c r="I2950" s="71" t="e">
        <f>IF(COUNTIF((rName rData),H2950),"","Name Error!")</f>
        <v>#NAME?</v>
      </c>
    </row>
    <row r="2951" spans="2:9" s="126" customFormat="1" ht="15" customHeight="1" x14ac:dyDescent="0.25">
      <c r="B2951" s="271" t="s">
        <v>331</v>
      </c>
      <c r="C2951" s="272" t="s">
        <v>330</v>
      </c>
      <c r="D2951" s="275" t="s">
        <v>216</v>
      </c>
      <c r="E2951" s="275">
        <v>41680.044236111113</v>
      </c>
      <c r="F2951" s="276">
        <v>3</v>
      </c>
      <c r="G2951" s="243">
        <f t="shared" si="46"/>
        <v>124</v>
      </c>
      <c r="H2951" s="244"/>
      <c r="I2951" s="71" t="e">
        <f>IF(COUNTIF((rName rData),H2951),"","Name Error!")</f>
        <v>#NAME?</v>
      </c>
    </row>
    <row r="2952" spans="2:9" s="126" customFormat="1" ht="15" customHeight="1" x14ac:dyDescent="0.25">
      <c r="B2952" s="271" t="s">
        <v>356</v>
      </c>
      <c r="C2952" s="272" t="s">
        <v>355</v>
      </c>
      <c r="D2952" s="275" t="s">
        <v>216</v>
      </c>
      <c r="E2952" s="275">
        <v>41680.329143518517</v>
      </c>
      <c r="F2952" s="276">
        <v>1</v>
      </c>
      <c r="G2952" s="243">
        <f t="shared" si="46"/>
        <v>124</v>
      </c>
      <c r="H2952" s="244"/>
      <c r="I2952" s="71" t="e">
        <f>IF(COUNTIF((rName rData),H2952),"","Name Error!")</f>
        <v>#NAME?</v>
      </c>
    </row>
    <row r="2953" spans="2:9" s="126" customFormat="1" ht="15" customHeight="1" x14ac:dyDescent="0.25">
      <c r="B2953" s="271" t="s">
        <v>335</v>
      </c>
      <c r="C2953" s="272" t="s">
        <v>334</v>
      </c>
      <c r="D2953" s="275" t="s">
        <v>216</v>
      </c>
      <c r="E2953" s="275">
        <v>41680.333749999998</v>
      </c>
      <c r="F2953" s="276">
        <v>4</v>
      </c>
      <c r="G2953" s="243">
        <f t="shared" si="46"/>
        <v>124</v>
      </c>
      <c r="H2953" s="244"/>
      <c r="I2953" s="71" t="e">
        <f>IF(COUNTIF((rName rData),H2953),"","Name Error!")</f>
        <v>#NAME?</v>
      </c>
    </row>
    <row r="2954" spans="2:9" s="126" customFormat="1" ht="15" customHeight="1" x14ac:dyDescent="0.25">
      <c r="B2954" s="271" t="s">
        <v>322</v>
      </c>
      <c r="C2954" s="272" t="s">
        <v>321</v>
      </c>
      <c r="D2954" s="275" t="s">
        <v>216</v>
      </c>
      <c r="E2954" s="275">
        <v>41680.645289351851</v>
      </c>
      <c r="F2954" s="276">
        <v>1</v>
      </c>
      <c r="G2954" s="243">
        <f t="shared" ref="G2954:G3017" si="47">TRUNC((E2954-start)/7)+1</f>
        <v>124</v>
      </c>
      <c r="H2954" s="244"/>
      <c r="I2954" s="71" t="e">
        <f>IF(COUNTIF((rName rData),H2954),"","Name Error!")</f>
        <v>#NAME?</v>
      </c>
    </row>
    <row r="2955" spans="2:9" s="126" customFormat="1" ht="15" customHeight="1" x14ac:dyDescent="0.25">
      <c r="B2955" s="271" t="s">
        <v>352</v>
      </c>
      <c r="C2955" s="272" t="s">
        <v>351</v>
      </c>
      <c r="D2955" s="275" t="s">
        <v>216</v>
      </c>
      <c r="E2955" s="275">
        <v>41680.797824074078</v>
      </c>
      <c r="F2955" s="276">
        <v>1</v>
      </c>
      <c r="G2955" s="243">
        <f t="shared" si="47"/>
        <v>124</v>
      </c>
      <c r="H2955" s="244"/>
      <c r="I2955" s="71" t="e">
        <f>IF(COUNTIF((rName rData),H2955),"","Name Error!")</f>
        <v>#NAME?</v>
      </c>
    </row>
    <row r="2956" spans="2:9" s="126" customFormat="1" ht="15" customHeight="1" x14ac:dyDescent="0.25">
      <c r="B2956" s="271" t="s">
        <v>371</v>
      </c>
      <c r="C2956" s="272" t="s">
        <v>370</v>
      </c>
      <c r="D2956" s="275" t="s">
        <v>216</v>
      </c>
      <c r="E2956" s="275">
        <v>41680.831550925926</v>
      </c>
      <c r="F2956" s="276">
        <v>2</v>
      </c>
      <c r="G2956" s="243">
        <f t="shared" si="47"/>
        <v>124</v>
      </c>
      <c r="H2956" s="244"/>
      <c r="I2956" s="71" t="e">
        <f>IF(COUNTIF((rName rData),H2956),"","Name Error!")</f>
        <v>#NAME?</v>
      </c>
    </row>
    <row r="2957" spans="2:9" s="126" customFormat="1" ht="15" customHeight="1" x14ac:dyDescent="0.25">
      <c r="B2957" s="271" t="s">
        <v>352</v>
      </c>
      <c r="C2957" s="272" t="s">
        <v>351</v>
      </c>
      <c r="D2957" s="275" t="s">
        <v>216</v>
      </c>
      <c r="E2957" s="275">
        <v>41681.178217592591</v>
      </c>
      <c r="F2957" s="276">
        <v>3</v>
      </c>
      <c r="G2957" s="243">
        <f t="shared" si="47"/>
        <v>124</v>
      </c>
      <c r="H2957" s="244"/>
      <c r="I2957" s="71" t="e">
        <f>IF(COUNTIF((rName rData),H2957),"","Name Error!")</f>
        <v>#NAME?</v>
      </c>
    </row>
    <row r="2958" spans="2:9" s="126" customFormat="1" ht="15" customHeight="1" x14ac:dyDescent="0.25">
      <c r="B2958" s="271" t="s">
        <v>354</v>
      </c>
      <c r="C2958" s="272" t="s">
        <v>353</v>
      </c>
      <c r="D2958" s="275" t="s">
        <v>216</v>
      </c>
      <c r="E2958" s="275">
        <v>41681.36141203704</v>
      </c>
      <c r="F2958" s="276">
        <v>1</v>
      </c>
      <c r="G2958" s="243">
        <f t="shared" si="47"/>
        <v>124</v>
      </c>
      <c r="H2958" s="244"/>
      <c r="I2958" s="71" t="e">
        <f>IF(COUNTIF((rName rData),H2958),"","Name Error!")</f>
        <v>#NAME?</v>
      </c>
    </row>
    <row r="2959" spans="2:9" s="126" customFormat="1" ht="15" customHeight="1" x14ac:dyDescent="0.25">
      <c r="B2959" s="271" t="s">
        <v>331</v>
      </c>
      <c r="C2959" s="272" t="s">
        <v>330</v>
      </c>
      <c r="D2959" s="275" t="s">
        <v>216</v>
      </c>
      <c r="E2959" s="275">
        <v>41681.49422453704</v>
      </c>
      <c r="F2959" s="276">
        <v>1</v>
      </c>
      <c r="G2959" s="243">
        <f t="shared" si="47"/>
        <v>124</v>
      </c>
      <c r="H2959" s="244"/>
      <c r="I2959" s="71" t="e">
        <f>IF(COUNTIF((rName rData),H2959),"","Name Error!")</f>
        <v>#NAME?</v>
      </c>
    </row>
    <row r="2960" spans="2:9" s="126" customFormat="1" ht="15" customHeight="1" x14ac:dyDescent="0.25">
      <c r="B2960" s="271" t="s">
        <v>267</v>
      </c>
      <c r="C2960" s="272" t="s">
        <v>268</v>
      </c>
      <c r="D2960" s="275" t="s">
        <v>216</v>
      </c>
      <c r="E2960" s="275">
        <v>41681.543032407404</v>
      </c>
      <c r="F2960" s="276">
        <v>1</v>
      </c>
      <c r="G2960" s="243">
        <f t="shared" si="47"/>
        <v>124</v>
      </c>
      <c r="H2960" s="244"/>
      <c r="I2960" s="71" t="e">
        <f>IF(COUNTIF((rName rData),H2960),"","Name Error!")</f>
        <v>#NAME?</v>
      </c>
    </row>
    <row r="2961" spans="2:9" s="126" customFormat="1" ht="15" customHeight="1" x14ac:dyDescent="0.25">
      <c r="B2961" s="271" t="s">
        <v>345</v>
      </c>
      <c r="C2961" s="272" t="s">
        <v>344</v>
      </c>
      <c r="D2961" s="275" t="s">
        <v>216</v>
      </c>
      <c r="E2961" s="275">
        <v>41681.78633101852</v>
      </c>
      <c r="F2961" s="276">
        <v>2</v>
      </c>
      <c r="G2961" s="243">
        <f t="shared" si="47"/>
        <v>124</v>
      </c>
      <c r="H2961" s="244"/>
      <c r="I2961" s="71" t="e">
        <f>IF(COUNTIF((rName rData),H2961),"","Name Error!")</f>
        <v>#NAME?</v>
      </c>
    </row>
    <row r="2962" spans="2:9" s="126" customFormat="1" ht="15" customHeight="1" x14ac:dyDescent="0.25">
      <c r="B2962" s="271" t="s">
        <v>335</v>
      </c>
      <c r="C2962" s="272" t="s">
        <v>334</v>
      </c>
      <c r="D2962" s="275" t="s">
        <v>216</v>
      </c>
      <c r="E2962" s="275">
        <v>41681.821631944447</v>
      </c>
      <c r="F2962" s="276">
        <v>4</v>
      </c>
      <c r="G2962" s="243">
        <f t="shared" si="47"/>
        <v>124</v>
      </c>
      <c r="H2962" s="244"/>
      <c r="I2962" s="71" t="e">
        <f>IF(COUNTIF((rName rData),H2962),"","Name Error!")</f>
        <v>#NAME?</v>
      </c>
    </row>
    <row r="2963" spans="2:9" s="126" customFormat="1" ht="15" customHeight="1" x14ac:dyDescent="0.25">
      <c r="B2963" s="271" t="s">
        <v>356</v>
      </c>
      <c r="C2963" s="272" t="s">
        <v>355</v>
      </c>
      <c r="D2963" s="275" t="s">
        <v>216</v>
      </c>
      <c r="E2963" s="275">
        <v>41681.835914351854</v>
      </c>
      <c r="F2963" s="276">
        <v>2</v>
      </c>
      <c r="G2963" s="243">
        <f t="shared" si="47"/>
        <v>124</v>
      </c>
      <c r="H2963" s="244"/>
      <c r="I2963" s="71" t="e">
        <f>IF(COUNTIF((rName rData),H2963),"","Name Error!")</f>
        <v>#NAME?</v>
      </c>
    </row>
    <row r="2964" spans="2:9" s="126" customFormat="1" ht="15" customHeight="1" x14ac:dyDescent="0.25">
      <c r="B2964" s="271" t="s">
        <v>362</v>
      </c>
      <c r="C2964" s="272" t="s">
        <v>361</v>
      </c>
      <c r="D2964" s="275" t="s">
        <v>216</v>
      </c>
      <c r="E2964" s="275">
        <v>41681.936990740738</v>
      </c>
      <c r="F2964" s="276">
        <v>1</v>
      </c>
      <c r="G2964" s="243">
        <f t="shared" si="47"/>
        <v>124</v>
      </c>
      <c r="H2964" s="244"/>
      <c r="I2964" s="71" t="e">
        <f>IF(COUNTIF((rName rData),H2964),"","Name Error!")</f>
        <v>#NAME?</v>
      </c>
    </row>
    <row r="2965" spans="2:9" s="126" customFormat="1" ht="15" customHeight="1" x14ac:dyDescent="0.25">
      <c r="B2965" s="271" t="s">
        <v>365</v>
      </c>
      <c r="C2965" s="272" t="s">
        <v>364</v>
      </c>
      <c r="D2965" s="275" t="s">
        <v>216</v>
      </c>
      <c r="E2965" s="275">
        <v>41682.024861111109</v>
      </c>
      <c r="F2965" s="276">
        <v>1</v>
      </c>
      <c r="G2965" s="243">
        <f t="shared" si="47"/>
        <v>124</v>
      </c>
      <c r="H2965" s="244"/>
      <c r="I2965" s="71" t="e">
        <f>IF(COUNTIF((rName rData),H2965),"","Name Error!")</f>
        <v>#NAME?</v>
      </c>
    </row>
    <row r="2966" spans="2:9" s="126" customFormat="1" ht="15" customHeight="1" x14ac:dyDescent="0.25">
      <c r="B2966" s="271" t="s">
        <v>333</v>
      </c>
      <c r="C2966" s="272" t="s">
        <v>332</v>
      </c>
      <c r="D2966" s="275" t="s">
        <v>216</v>
      </c>
      <c r="E2966" s="275">
        <v>41682.185671296298</v>
      </c>
      <c r="F2966" s="276">
        <v>1</v>
      </c>
      <c r="G2966" s="243">
        <f t="shared" si="47"/>
        <v>124</v>
      </c>
      <c r="H2966" s="244"/>
      <c r="I2966" s="71" t="e">
        <f>IF(COUNTIF((rName rData),H2966),"","Name Error!")</f>
        <v>#NAME?</v>
      </c>
    </row>
    <row r="2967" spans="2:9" s="126" customFormat="1" ht="15" customHeight="1" x14ac:dyDescent="0.25">
      <c r="B2967" s="271" t="s">
        <v>354</v>
      </c>
      <c r="C2967" s="272" t="s">
        <v>353</v>
      </c>
      <c r="D2967" s="275" t="s">
        <v>216</v>
      </c>
      <c r="E2967" s="275">
        <v>41682.326909722222</v>
      </c>
      <c r="F2967" s="276">
        <v>4</v>
      </c>
      <c r="G2967" s="243">
        <f t="shared" si="47"/>
        <v>124</v>
      </c>
      <c r="H2967" s="244"/>
      <c r="I2967" s="71" t="e">
        <f>IF(COUNTIF((rName rData),H2967),"","Name Error!")</f>
        <v>#NAME?</v>
      </c>
    </row>
    <row r="2968" spans="2:9" s="126" customFormat="1" ht="15" customHeight="1" x14ac:dyDescent="0.25">
      <c r="B2968" s="271" t="s">
        <v>339</v>
      </c>
      <c r="C2968" s="272" t="s">
        <v>338</v>
      </c>
      <c r="D2968" s="275" t="s">
        <v>216</v>
      </c>
      <c r="E2968" s="275">
        <v>41682.378229166665</v>
      </c>
      <c r="F2968" s="276">
        <v>1</v>
      </c>
      <c r="G2968" s="243">
        <f t="shared" si="47"/>
        <v>124</v>
      </c>
      <c r="H2968" s="244"/>
      <c r="I2968" s="71" t="e">
        <f>IF(COUNTIF((rName rData),H2968),"","Name Error!")</f>
        <v>#NAME?</v>
      </c>
    </row>
    <row r="2969" spans="2:9" s="126" customFormat="1" ht="15" customHeight="1" x14ac:dyDescent="0.25">
      <c r="B2969" s="271" t="s">
        <v>352</v>
      </c>
      <c r="C2969" s="272" t="s">
        <v>351</v>
      </c>
      <c r="D2969" s="275" t="s">
        <v>216</v>
      </c>
      <c r="E2969" s="275">
        <v>41682.626168981478</v>
      </c>
      <c r="F2969" s="276">
        <v>1</v>
      </c>
      <c r="G2969" s="243">
        <f t="shared" si="47"/>
        <v>124</v>
      </c>
      <c r="H2969" s="244"/>
      <c r="I2969" s="71" t="e">
        <f>IF(COUNTIF((rName rData),H2969),"","Name Error!")</f>
        <v>#NAME?</v>
      </c>
    </row>
    <row r="2970" spans="2:9" s="126" customFormat="1" ht="15" customHeight="1" x14ac:dyDescent="0.25">
      <c r="B2970" s="271" t="s">
        <v>322</v>
      </c>
      <c r="C2970" s="272" t="s">
        <v>321</v>
      </c>
      <c r="D2970" s="275" t="s">
        <v>216</v>
      </c>
      <c r="E2970" s="275">
        <v>41682.636574074073</v>
      </c>
      <c r="F2970" s="276">
        <v>1</v>
      </c>
      <c r="G2970" s="243">
        <f t="shared" si="47"/>
        <v>124</v>
      </c>
      <c r="H2970" s="244"/>
      <c r="I2970" s="71" t="e">
        <f>IF(COUNTIF((rName rData),H2970),"","Name Error!")</f>
        <v>#NAME?</v>
      </c>
    </row>
    <row r="2971" spans="2:9" s="126" customFormat="1" ht="15" customHeight="1" x14ac:dyDescent="0.25">
      <c r="B2971" s="271" t="s">
        <v>356</v>
      </c>
      <c r="C2971" s="272" t="s">
        <v>355</v>
      </c>
      <c r="D2971" s="275" t="s">
        <v>216</v>
      </c>
      <c r="E2971" s="275">
        <v>41682.665821759256</v>
      </c>
      <c r="F2971" s="276">
        <v>4</v>
      </c>
      <c r="G2971" s="243">
        <f t="shared" si="47"/>
        <v>124</v>
      </c>
      <c r="H2971" s="244"/>
      <c r="I2971" s="71" t="e">
        <f>IF(COUNTIF((rName rData),H2971),"","Name Error!")</f>
        <v>#NAME?</v>
      </c>
    </row>
    <row r="2972" spans="2:9" s="126" customFormat="1" ht="15" customHeight="1" x14ac:dyDescent="0.25">
      <c r="B2972" s="271" t="s">
        <v>358</v>
      </c>
      <c r="C2972" s="272" t="s">
        <v>357</v>
      </c>
      <c r="D2972" s="275" t="s">
        <v>216</v>
      </c>
      <c r="E2972" s="275">
        <v>41682.725694444445</v>
      </c>
      <c r="F2972" s="276">
        <v>2</v>
      </c>
      <c r="G2972" s="243">
        <f t="shared" si="47"/>
        <v>124</v>
      </c>
      <c r="H2972" s="244"/>
      <c r="I2972" s="71" t="e">
        <f>IF(COUNTIF((rName rData),H2972),"","Name Error!")</f>
        <v>#NAME?</v>
      </c>
    </row>
    <row r="2973" spans="2:9" s="126" customFormat="1" ht="15" customHeight="1" x14ac:dyDescent="0.25">
      <c r="B2973" s="271" t="s">
        <v>337</v>
      </c>
      <c r="C2973" s="272" t="s">
        <v>336</v>
      </c>
      <c r="D2973" s="275" t="s">
        <v>216</v>
      </c>
      <c r="E2973" s="275">
        <v>41682.750844907408</v>
      </c>
      <c r="F2973" s="276">
        <v>1</v>
      </c>
      <c r="G2973" s="243">
        <f t="shared" si="47"/>
        <v>124</v>
      </c>
      <c r="H2973" s="244"/>
      <c r="I2973" s="71" t="e">
        <f>IF(COUNTIF((rName rData),H2973),"","Name Error!")</f>
        <v>#NAME?</v>
      </c>
    </row>
    <row r="2974" spans="2:9" s="126" customFormat="1" ht="15" customHeight="1" x14ac:dyDescent="0.25">
      <c r="B2974" s="271" t="s">
        <v>335</v>
      </c>
      <c r="C2974" s="272" t="s">
        <v>334</v>
      </c>
      <c r="D2974" s="275" t="s">
        <v>216</v>
      </c>
      <c r="E2974" s="275">
        <v>41682.763854166667</v>
      </c>
      <c r="F2974" s="276">
        <v>2</v>
      </c>
      <c r="G2974" s="243">
        <f t="shared" si="47"/>
        <v>124</v>
      </c>
      <c r="H2974" s="244"/>
      <c r="I2974" s="71" t="e">
        <f>IF(COUNTIF((rName rData),H2974),"","Name Error!")</f>
        <v>#NAME?</v>
      </c>
    </row>
    <row r="2975" spans="2:9" s="126" customFormat="1" ht="15" customHeight="1" x14ac:dyDescent="0.25">
      <c r="B2975" s="271" t="s">
        <v>345</v>
      </c>
      <c r="C2975" s="272" t="s">
        <v>344</v>
      </c>
      <c r="D2975" s="275" t="s">
        <v>216</v>
      </c>
      <c r="E2975" s="275">
        <v>41682.790636574071</v>
      </c>
      <c r="F2975" s="276">
        <v>1</v>
      </c>
      <c r="G2975" s="243">
        <f t="shared" si="47"/>
        <v>124</v>
      </c>
      <c r="H2975" s="244"/>
      <c r="I2975" s="71" t="e">
        <f>IF(COUNTIF((rName rData),H2975),"","Name Error!")</f>
        <v>#NAME?</v>
      </c>
    </row>
    <row r="2976" spans="2:9" s="126" customFormat="1" ht="15" customHeight="1" x14ac:dyDescent="0.25">
      <c r="B2976" s="271" t="s">
        <v>371</v>
      </c>
      <c r="C2976" s="272" t="s">
        <v>370</v>
      </c>
      <c r="D2976" s="275" t="s">
        <v>216</v>
      </c>
      <c r="E2976" s="275">
        <v>41682.824155092596</v>
      </c>
      <c r="F2976" s="276">
        <v>2</v>
      </c>
      <c r="G2976" s="243">
        <f t="shared" si="47"/>
        <v>124</v>
      </c>
      <c r="H2976" s="244"/>
      <c r="I2976" s="71" t="e">
        <f>IF(COUNTIF((rName rData),H2976),"","Name Error!")</f>
        <v>#NAME?</v>
      </c>
    </row>
    <row r="2977" spans="2:9" s="126" customFormat="1" ht="15" customHeight="1" x14ac:dyDescent="0.25">
      <c r="B2977" s="271" t="s">
        <v>328</v>
      </c>
      <c r="C2977" s="272" t="s">
        <v>327</v>
      </c>
      <c r="D2977" s="275" t="s">
        <v>216</v>
      </c>
      <c r="E2977" s="275">
        <v>41683.021284722221</v>
      </c>
      <c r="F2977" s="276">
        <v>1</v>
      </c>
      <c r="G2977" s="243">
        <f t="shared" si="47"/>
        <v>124</v>
      </c>
      <c r="H2977" s="244"/>
      <c r="I2977" s="71" t="e">
        <f>IF(COUNTIF((rName rData),H2977),"","Name Error!")</f>
        <v>#NAME?</v>
      </c>
    </row>
    <row r="2978" spans="2:9" s="126" customFormat="1" ht="15" customHeight="1" x14ac:dyDescent="0.25">
      <c r="B2978" s="271" t="s">
        <v>365</v>
      </c>
      <c r="C2978" s="272" t="s">
        <v>364</v>
      </c>
      <c r="D2978" s="275" t="s">
        <v>216</v>
      </c>
      <c r="E2978" s="275">
        <v>41683.367731481485</v>
      </c>
      <c r="F2978" s="276">
        <v>1</v>
      </c>
      <c r="G2978" s="243">
        <f t="shared" si="47"/>
        <v>124</v>
      </c>
      <c r="H2978" s="244"/>
      <c r="I2978" s="71" t="e">
        <f>IF(COUNTIF((rName rData),H2978),"","Name Error!")</f>
        <v>#NAME?</v>
      </c>
    </row>
    <row r="2979" spans="2:9" s="126" customFormat="1" ht="15" customHeight="1" x14ac:dyDescent="0.25">
      <c r="B2979" s="271" t="s">
        <v>358</v>
      </c>
      <c r="C2979" s="272" t="s">
        <v>357</v>
      </c>
      <c r="D2979" s="275" t="s">
        <v>216</v>
      </c>
      <c r="E2979" s="275">
        <v>41683.404189814813</v>
      </c>
      <c r="F2979" s="276">
        <v>5</v>
      </c>
      <c r="G2979" s="243">
        <f t="shared" si="47"/>
        <v>124</v>
      </c>
      <c r="H2979" s="244"/>
      <c r="I2979" s="71" t="e">
        <f>IF(COUNTIF((rName rData),H2979),"","Name Error!")</f>
        <v>#NAME?</v>
      </c>
    </row>
    <row r="2980" spans="2:9" s="126" customFormat="1" ht="15" customHeight="1" x14ac:dyDescent="0.25">
      <c r="B2980" s="271" t="s">
        <v>341</v>
      </c>
      <c r="C2980" s="272" t="s">
        <v>340</v>
      </c>
      <c r="D2980" s="275" t="s">
        <v>216</v>
      </c>
      <c r="E2980" s="275">
        <v>41683.603333333333</v>
      </c>
      <c r="F2980" s="276">
        <v>1</v>
      </c>
      <c r="G2980" s="243">
        <f t="shared" si="47"/>
        <v>124</v>
      </c>
      <c r="H2980" s="244"/>
      <c r="I2980" s="71" t="e">
        <f>IF(COUNTIF((rName rData),H2980),"","Name Error!")</f>
        <v>#NAME?</v>
      </c>
    </row>
    <row r="2981" spans="2:9" s="126" customFormat="1" ht="15" customHeight="1" x14ac:dyDescent="0.25">
      <c r="B2981" s="271" t="s">
        <v>356</v>
      </c>
      <c r="C2981" s="272" t="s">
        <v>355</v>
      </c>
      <c r="D2981" s="275" t="s">
        <v>216</v>
      </c>
      <c r="E2981" s="275">
        <v>41683.6483912037</v>
      </c>
      <c r="F2981" s="276">
        <v>1</v>
      </c>
      <c r="G2981" s="243">
        <f t="shared" si="47"/>
        <v>124</v>
      </c>
      <c r="H2981" s="244"/>
      <c r="I2981" s="71" t="e">
        <f>IF(COUNTIF((rName rData),H2981),"","Name Error!")</f>
        <v>#NAME?</v>
      </c>
    </row>
    <row r="2982" spans="2:9" s="126" customFormat="1" ht="15" customHeight="1" x14ac:dyDescent="0.25">
      <c r="B2982" s="271" t="s">
        <v>341</v>
      </c>
      <c r="C2982" s="272" t="s">
        <v>340</v>
      </c>
      <c r="D2982" s="275" t="s">
        <v>216</v>
      </c>
      <c r="E2982" s="275">
        <v>41684.339432870373</v>
      </c>
      <c r="F2982" s="276">
        <v>1</v>
      </c>
      <c r="G2982" s="243">
        <f t="shared" si="47"/>
        <v>124</v>
      </c>
      <c r="H2982" s="244"/>
      <c r="I2982" s="71" t="e">
        <f>IF(COUNTIF((rName rData),H2982),"","Name Error!")</f>
        <v>#NAME?</v>
      </c>
    </row>
    <row r="2983" spans="2:9" s="126" customFormat="1" ht="15" customHeight="1" x14ac:dyDescent="0.25">
      <c r="B2983" s="271" t="s">
        <v>358</v>
      </c>
      <c r="C2983" s="272" t="s">
        <v>357</v>
      </c>
      <c r="D2983" s="275" t="s">
        <v>216</v>
      </c>
      <c r="E2983" s="275">
        <v>41684.784942129627</v>
      </c>
      <c r="F2983" s="276">
        <v>1</v>
      </c>
      <c r="G2983" s="243">
        <f t="shared" si="47"/>
        <v>124</v>
      </c>
      <c r="H2983" s="244"/>
      <c r="I2983" s="71" t="e">
        <f>IF(COUNTIF((rName rData),H2983),"","Name Error!")</f>
        <v>#NAME?</v>
      </c>
    </row>
    <row r="2984" spans="2:9" s="126" customFormat="1" ht="15" customHeight="1" x14ac:dyDescent="0.25">
      <c r="B2984" s="271" t="s">
        <v>328</v>
      </c>
      <c r="C2984" s="272" t="s">
        <v>327</v>
      </c>
      <c r="D2984" s="275" t="s">
        <v>216</v>
      </c>
      <c r="E2984" s="275">
        <v>41685.056956018518</v>
      </c>
      <c r="F2984" s="276">
        <v>3</v>
      </c>
      <c r="G2984" s="243">
        <f t="shared" si="47"/>
        <v>125</v>
      </c>
      <c r="H2984" s="244"/>
      <c r="I2984" s="71" t="e">
        <f>IF(COUNTIF((rName rData),H2984),"","Name Error!")</f>
        <v>#NAME?</v>
      </c>
    </row>
    <row r="2985" spans="2:9" s="126" customFormat="1" ht="15" customHeight="1" x14ac:dyDescent="0.25">
      <c r="B2985" s="271" t="s">
        <v>322</v>
      </c>
      <c r="C2985" s="272" t="s">
        <v>321</v>
      </c>
      <c r="D2985" s="275" t="s">
        <v>216</v>
      </c>
      <c r="E2985" s="275">
        <v>41685.46603009259</v>
      </c>
      <c r="F2985" s="276">
        <v>4</v>
      </c>
      <c r="G2985" s="243">
        <f t="shared" si="47"/>
        <v>125</v>
      </c>
      <c r="H2985" s="244"/>
      <c r="I2985" s="71" t="e">
        <f>IF(COUNTIF((rName rData),H2985),"","Name Error!")</f>
        <v>#NAME?</v>
      </c>
    </row>
    <row r="2986" spans="2:9" s="126" customFormat="1" ht="15" customHeight="1" x14ac:dyDescent="0.25">
      <c r="B2986" s="271" t="s">
        <v>341</v>
      </c>
      <c r="C2986" s="272" t="s">
        <v>340</v>
      </c>
      <c r="D2986" s="275" t="s">
        <v>216</v>
      </c>
      <c r="E2986" s="275">
        <v>41685.478715277779</v>
      </c>
      <c r="F2986" s="276">
        <v>1</v>
      </c>
      <c r="G2986" s="243">
        <f t="shared" si="47"/>
        <v>125</v>
      </c>
      <c r="H2986" s="244"/>
      <c r="I2986" s="71" t="e">
        <f>IF(COUNTIF((rName rData),H2986),"","Name Error!")</f>
        <v>#NAME?</v>
      </c>
    </row>
    <row r="2987" spans="2:9" s="126" customFormat="1" ht="15" customHeight="1" x14ac:dyDescent="0.25">
      <c r="B2987" s="271" t="s">
        <v>337</v>
      </c>
      <c r="C2987" s="272" t="s">
        <v>336</v>
      </c>
      <c r="D2987" s="275" t="s">
        <v>216</v>
      </c>
      <c r="E2987" s="275">
        <v>41685.650567129633</v>
      </c>
      <c r="F2987" s="276">
        <v>1</v>
      </c>
      <c r="G2987" s="243">
        <f t="shared" si="47"/>
        <v>125</v>
      </c>
      <c r="H2987" s="244"/>
      <c r="I2987" s="71" t="e">
        <f>IF(COUNTIF((rName rData),H2987),"","Name Error!")</f>
        <v>#NAME?</v>
      </c>
    </row>
    <row r="2988" spans="2:9" s="126" customFormat="1" ht="15" customHeight="1" x14ac:dyDescent="0.25">
      <c r="B2988" s="271" t="s">
        <v>362</v>
      </c>
      <c r="C2988" s="272" t="s">
        <v>361</v>
      </c>
      <c r="D2988" s="275" t="s">
        <v>216</v>
      </c>
      <c r="E2988" s="275">
        <v>41685.696770833332</v>
      </c>
      <c r="F2988" s="276">
        <v>1</v>
      </c>
      <c r="G2988" s="243">
        <f t="shared" si="47"/>
        <v>125</v>
      </c>
      <c r="H2988" s="244"/>
      <c r="I2988" s="71" t="e">
        <f>IF(COUNTIF((rName rData),H2988),"","Name Error!")</f>
        <v>#NAME?</v>
      </c>
    </row>
    <row r="2989" spans="2:9" s="126" customFormat="1" ht="15" customHeight="1" x14ac:dyDescent="0.25">
      <c r="B2989" s="271" t="s">
        <v>371</v>
      </c>
      <c r="C2989" s="272" t="s">
        <v>370</v>
      </c>
      <c r="D2989" s="275" t="s">
        <v>216</v>
      </c>
      <c r="E2989" s="275">
        <v>41685.963194444441</v>
      </c>
      <c r="F2989" s="276">
        <v>1</v>
      </c>
      <c r="G2989" s="243">
        <f t="shared" si="47"/>
        <v>125</v>
      </c>
      <c r="H2989" s="244"/>
      <c r="I2989" s="71" t="e">
        <f>IF(COUNTIF((rName rData),H2989),"","Name Error!")</f>
        <v>#NAME?</v>
      </c>
    </row>
    <row r="2990" spans="2:9" s="126" customFormat="1" ht="15" customHeight="1" x14ac:dyDescent="0.25">
      <c r="B2990" s="271" t="s">
        <v>356</v>
      </c>
      <c r="C2990" s="272" t="s">
        <v>355</v>
      </c>
      <c r="D2990" s="275" t="s">
        <v>216</v>
      </c>
      <c r="E2990" s="275">
        <v>41685.969212962962</v>
      </c>
      <c r="F2990" s="276">
        <v>2</v>
      </c>
      <c r="G2990" s="243">
        <f t="shared" si="47"/>
        <v>125</v>
      </c>
      <c r="H2990" s="244"/>
      <c r="I2990" s="71" t="e">
        <f>IF(COUNTIF((rName rData),H2990),"","Name Error!")</f>
        <v>#NAME?</v>
      </c>
    </row>
    <row r="2991" spans="2:9" s="126" customFormat="1" ht="15" customHeight="1" x14ac:dyDescent="0.25">
      <c r="B2991" s="271" t="s">
        <v>328</v>
      </c>
      <c r="C2991" s="272" t="s">
        <v>327</v>
      </c>
      <c r="D2991" s="275" t="s">
        <v>216</v>
      </c>
      <c r="E2991" s="275">
        <v>41686.010625000003</v>
      </c>
      <c r="F2991" s="276">
        <v>2</v>
      </c>
      <c r="G2991" s="243">
        <f t="shared" si="47"/>
        <v>125</v>
      </c>
      <c r="H2991" s="244"/>
      <c r="I2991" s="71" t="e">
        <f>IF(COUNTIF((rName rData),H2991),"","Name Error!")</f>
        <v>#NAME?</v>
      </c>
    </row>
    <row r="2992" spans="2:9" s="126" customFormat="1" ht="15" customHeight="1" x14ac:dyDescent="0.25">
      <c r="B2992" s="271" t="s">
        <v>352</v>
      </c>
      <c r="C2992" s="272" t="s">
        <v>351</v>
      </c>
      <c r="D2992" s="275" t="s">
        <v>216</v>
      </c>
      <c r="E2992" s="275">
        <v>41686.285995370374</v>
      </c>
      <c r="F2992" s="276">
        <v>2</v>
      </c>
      <c r="G2992" s="243">
        <f t="shared" si="47"/>
        <v>125</v>
      </c>
      <c r="H2992" s="244"/>
      <c r="I2992" s="71" t="e">
        <f>IF(COUNTIF((rName rData),H2992),"","Name Error!")</f>
        <v>#NAME?</v>
      </c>
    </row>
    <row r="2993" spans="2:9" s="126" customFormat="1" ht="15" customHeight="1" x14ac:dyDescent="0.25">
      <c r="B2993" s="271" t="s">
        <v>356</v>
      </c>
      <c r="C2993" s="272" t="s">
        <v>355</v>
      </c>
      <c r="D2993" s="275" t="s">
        <v>216</v>
      </c>
      <c r="E2993" s="275">
        <v>41686.394733796296</v>
      </c>
      <c r="F2993" s="276">
        <v>1</v>
      </c>
      <c r="G2993" s="243">
        <f t="shared" si="47"/>
        <v>125</v>
      </c>
      <c r="H2993" s="244"/>
      <c r="I2993" s="71" t="e">
        <f>IF(COUNTIF((rName rData),H2993),"","Name Error!")</f>
        <v>#NAME?</v>
      </c>
    </row>
    <row r="2994" spans="2:9" s="126" customFormat="1" ht="15" customHeight="1" x14ac:dyDescent="0.25">
      <c r="B2994" s="271" t="s">
        <v>267</v>
      </c>
      <c r="C2994" s="272" t="s">
        <v>268</v>
      </c>
      <c r="D2994" s="275" t="s">
        <v>216</v>
      </c>
      <c r="E2994" s="275">
        <v>41686.402245370373</v>
      </c>
      <c r="F2994" s="276">
        <v>2</v>
      </c>
      <c r="G2994" s="243">
        <f t="shared" si="47"/>
        <v>125</v>
      </c>
      <c r="H2994" s="244"/>
      <c r="I2994" s="71" t="e">
        <f>IF(COUNTIF((rName rData),H2994),"","Name Error!")</f>
        <v>#NAME?</v>
      </c>
    </row>
    <row r="2995" spans="2:9" s="126" customFormat="1" ht="15" customHeight="1" x14ac:dyDescent="0.25">
      <c r="B2995" s="271" t="s">
        <v>335</v>
      </c>
      <c r="C2995" s="272" t="s">
        <v>334</v>
      </c>
      <c r="D2995" s="275" t="s">
        <v>216</v>
      </c>
      <c r="E2995" s="275">
        <v>41686.436226851853</v>
      </c>
      <c r="F2995" s="276">
        <v>1</v>
      </c>
      <c r="G2995" s="243">
        <f t="shared" si="47"/>
        <v>125</v>
      </c>
      <c r="H2995" s="244"/>
      <c r="I2995" s="71" t="e">
        <f>IF(COUNTIF((rName rData),H2995),"","Name Error!")</f>
        <v>#NAME?</v>
      </c>
    </row>
    <row r="2996" spans="2:9" s="126" customFormat="1" ht="15" customHeight="1" x14ac:dyDescent="0.25">
      <c r="B2996" s="271" t="s">
        <v>350</v>
      </c>
      <c r="C2996" s="272" t="s">
        <v>349</v>
      </c>
      <c r="D2996" s="275" t="s">
        <v>216</v>
      </c>
      <c r="E2996" s="275">
        <v>41686.545787037037</v>
      </c>
      <c r="F2996" s="276">
        <v>2</v>
      </c>
      <c r="G2996" s="243">
        <f t="shared" si="47"/>
        <v>125</v>
      </c>
      <c r="H2996" s="244"/>
      <c r="I2996" s="71" t="e">
        <f>IF(COUNTIF((rName rData),H2996),"","Name Error!")</f>
        <v>#NAME?</v>
      </c>
    </row>
    <row r="2997" spans="2:9" s="126" customFormat="1" ht="15" customHeight="1" x14ac:dyDescent="0.25">
      <c r="B2997" s="271" t="s">
        <v>324</v>
      </c>
      <c r="C2997" s="272" t="s">
        <v>323</v>
      </c>
      <c r="D2997" s="275" t="s">
        <v>216</v>
      </c>
      <c r="E2997" s="275">
        <v>41686.591967592591</v>
      </c>
      <c r="F2997" s="276">
        <v>4</v>
      </c>
      <c r="G2997" s="243">
        <f t="shared" si="47"/>
        <v>125</v>
      </c>
      <c r="H2997" s="244"/>
      <c r="I2997" s="71" t="e">
        <f>IF(COUNTIF((rName rData),H2997),"","Name Error!")</f>
        <v>#NAME?</v>
      </c>
    </row>
    <row r="2998" spans="2:9" s="126" customFormat="1" ht="15" customHeight="1" x14ac:dyDescent="0.25">
      <c r="B2998" s="271" t="s">
        <v>362</v>
      </c>
      <c r="C2998" s="272" t="s">
        <v>361</v>
      </c>
      <c r="D2998" s="275" t="s">
        <v>216</v>
      </c>
      <c r="E2998" s="275">
        <v>41686.603483796294</v>
      </c>
      <c r="F2998" s="276">
        <v>1</v>
      </c>
      <c r="G2998" s="243">
        <f t="shared" si="47"/>
        <v>125</v>
      </c>
      <c r="H2998" s="244"/>
      <c r="I2998" s="71" t="e">
        <f>IF(COUNTIF((rName rData),H2998),"","Name Error!")</f>
        <v>#NAME?</v>
      </c>
    </row>
    <row r="2999" spans="2:9" s="126" customFormat="1" ht="15" customHeight="1" x14ac:dyDescent="0.25">
      <c r="B2999" s="271" t="s">
        <v>337</v>
      </c>
      <c r="C2999" s="272" t="s">
        <v>336</v>
      </c>
      <c r="D2999" s="275" t="s">
        <v>216</v>
      </c>
      <c r="E2999" s="275">
        <v>41686.743807870371</v>
      </c>
      <c r="F2999" s="276">
        <v>1</v>
      </c>
      <c r="G2999" s="243">
        <f t="shared" si="47"/>
        <v>125</v>
      </c>
      <c r="H2999" s="244"/>
      <c r="I2999" s="71" t="e">
        <f>IF(COUNTIF((rName rData),H2999),"","Name Error!")</f>
        <v>#NAME?</v>
      </c>
    </row>
    <row r="3000" spans="2:9" s="126" customFormat="1" ht="15" customHeight="1" x14ac:dyDescent="0.25">
      <c r="B3000" s="271" t="s">
        <v>322</v>
      </c>
      <c r="C3000" s="272" t="s">
        <v>321</v>
      </c>
      <c r="D3000" s="275" t="s">
        <v>216</v>
      </c>
      <c r="E3000" s="275">
        <v>41686.917013888888</v>
      </c>
      <c r="F3000" s="276">
        <v>1</v>
      </c>
      <c r="G3000" s="243">
        <f t="shared" si="47"/>
        <v>125</v>
      </c>
      <c r="H3000" s="244"/>
      <c r="I3000" s="71" t="e">
        <f>IF(COUNTIF((rName rData),H3000),"","Name Error!")</f>
        <v>#NAME?</v>
      </c>
    </row>
    <row r="3001" spans="2:9" s="126" customFormat="1" ht="15" customHeight="1" x14ac:dyDescent="0.25">
      <c r="B3001" s="271" t="s">
        <v>322</v>
      </c>
      <c r="C3001" s="272" t="s">
        <v>321</v>
      </c>
      <c r="D3001" s="275" t="s">
        <v>216</v>
      </c>
      <c r="E3001" s="275">
        <v>41687.436597222222</v>
      </c>
      <c r="F3001" s="276">
        <v>2</v>
      </c>
      <c r="G3001" s="243">
        <f t="shared" si="47"/>
        <v>125</v>
      </c>
      <c r="H3001" s="244"/>
      <c r="I3001" s="71" t="e">
        <f>IF(COUNTIF((rName rData),H3001),"","Name Error!")</f>
        <v>#NAME?</v>
      </c>
    </row>
    <row r="3002" spans="2:9" s="126" customFormat="1" ht="15" customHeight="1" x14ac:dyDescent="0.25">
      <c r="B3002" s="271" t="s">
        <v>358</v>
      </c>
      <c r="C3002" s="272" t="s">
        <v>357</v>
      </c>
      <c r="D3002" s="275" t="s">
        <v>216</v>
      </c>
      <c r="E3002" s="275">
        <v>41687.472569444442</v>
      </c>
      <c r="F3002" s="276">
        <v>3</v>
      </c>
      <c r="G3002" s="243">
        <f t="shared" si="47"/>
        <v>125</v>
      </c>
      <c r="H3002" s="244"/>
      <c r="I3002" s="71" t="e">
        <f>IF(COUNTIF((rName rData),H3002),"","Name Error!")</f>
        <v>#NAME?</v>
      </c>
    </row>
    <row r="3003" spans="2:9" s="126" customFormat="1" ht="15" customHeight="1" x14ac:dyDescent="0.25">
      <c r="B3003" s="271" t="s">
        <v>267</v>
      </c>
      <c r="C3003" s="272" t="s">
        <v>268</v>
      </c>
      <c r="D3003" s="275" t="s">
        <v>216</v>
      </c>
      <c r="E3003" s="275">
        <v>41687.519548611112</v>
      </c>
      <c r="F3003" s="276">
        <v>2</v>
      </c>
      <c r="G3003" s="243">
        <f t="shared" si="47"/>
        <v>125</v>
      </c>
      <c r="H3003" s="244"/>
      <c r="I3003" s="71" t="e">
        <f>IF(COUNTIF((rName rData),H3003),"","Name Error!")</f>
        <v>#NAME?</v>
      </c>
    </row>
    <row r="3004" spans="2:9" s="126" customFormat="1" ht="15" customHeight="1" x14ac:dyDescent="0.25">
      <c r="B3004" s="271" t="s">
        <v>362</v>
      </c>
      <c r="C3004" s="272" t="s">
        <v>361</v>
      </c>
      <c r="D3004" s="275" t="s">
        <v>216</v>
      </c>
      <c r="E3004" s="275">
        <v>41687.531493055554</v>
      </c>
      <c r="F3004" s="276">
        <v>1</v>
      </c>
      <c r="G3004" s="243">
        <f t="shared" si="47"/>
        <v>125</v>
      </c>
      <c r="H3004" s="244"/>
      <c r="I3004" s="71" t="e">
        <f>IF(COUNTIF((rName rData),H3004),"","Name Error!")</f>
        <v>#NAME?</v>
      </c>
    </row>
    <row r="3005" spans="2:9" s="126" customFormat="1" ht="15" customHeight="1" x14ac:dyDescent="0.25">
      <c r="B3005" s="271" t="s">
        <v>345</v>
      </c>
      <c r="C3005" s="272" t="s">
        <v>344</v>
      </c>
      <c r="D3005" s="275" t="s">
        <v>216</v>
      </c>
      <c r="E3005" s="275">
        <v>41687.531875000001</v>
      </c>
      <c r="F3005" s="276">
        <v>1</v>
      </c>
      <c r="G3005" s="243">
        <f t="shared" si="47"/>
        <v>125</v>
      </c>
      <c r="H3005" s="244"/>
      <c r="I3005" s="71" t="e">
        <f>IF(COUNTIF((rName rData),H3005),"","Name Error!")</f>
        <v>#NAME?</v>
      </c>
    </row>
    <row r="3006" spans="2:9" s="126" customFormat="1" ht="15" customHeight="1" x14ac:dyDescent="0.25">
      <c r="B3006" s="271" t="s">
        <v>339</v>
      </c>
      <c r="C3006" s="272" t="s">
        <v>338</v>
      </c>
      <c r="D3006" s="275" t="s">
        <v>216</v>
      </c>
      <c r="E3006" s="275">
        <v>41687.600254629629</v>
      </c>
      <c r="F3006" s="276">
        <v>1</v>
      </c>
      <c r="G3006" s="243">
        <f t="shared" si="47"/>
        <v>125</v>
      </c>
      <c r="H3006" s="244"/>
      <c r="I3006" s="71" t="e">
        <f>IF(COUNTIF((rName rData),H3006),"","Name Error!")</f>
        <v>#NAME?</v>
      </c>
    </row>
    <row r="3007" spans="2:9" s="126" customFormat="1" ht="15" customHeight="1" x14ac:dyDescent="0.25">
      <c r="B3007" s="271" t="s">
        <v>371</v>
      </c>
      <c r="C3007" s="272" t="s">
        <v>370</v>
      </c>
      <c r="D3007" s="275" t="s">
        <v>216</v>
      </c>
      <c r="E3007" s="275">
        <v>41687.916203703702</v>
      </c>
      <c r="F3007" s="276">
        <v>1</v>
      </c>
      <c r="G3007" s="243">
        <f t="shared" si="47"/>
        <v>125</v>
      </c>
      <c r="H3007" s="244"/>
      <c r="I3007" s="71" t="e">
        <f>IF(COUNTIF((rName rData),H3007),"","Name Error!")</f>
        <v>#NAME?</v>
      </c>
    </row>
    <row r="3008" spans="2:9" s="126" customFormat="1" ht="15" customHeight="1" x14ac:dyDescent="0.25">
      <c r="B3008" s="271" t="s">
        <v>352</v>
      </c>
      <c r="C3008" s="272" t="s">
        <v>351</v>
      </c>
      <c r="D3008" s="275" t="s">
        <v>216</v>
      </c>
      <c r="E3008" s="275">
        <v>41688.478912037041</v>
      </c>
      <c r="F3008" s="276">
        <v>1</v>
      </c>
      <c r="G3008" s="243">
        <f t="shared" si="47"/>
        <v>125</v>
      </c>
      <c r="H3008" s="244"/>
      <c r="I3008" s="71" t="e">
        <f>IF(COUNTIF((rName rData),H3008),"","Name Error!")</f>
        <v>#NAME?</v>
      </c>
    </row>
    <row r="3009" spans="2:9" s="126" customFormat="1" ht="15" customHeight="1" x14ac:dyDescent="0.25">
      <c r="B3009" s="271" t="s">
        <v>358</v>
      </c>
      <c r="C3009" s="272" t="s">
        <v>357</v>
      </c>
      <c r="D3009" s="275" t="s">
        <v>216</v>
      </c>
      <c r="E3009" s="275">
        <v>41688.665590277778</v>
      </c>
      <c r="F3009" s="276">
        <v>1</v>
      </c>
      <c r="G3009" s="243">
        <f t="shared" si="47"/>
        <v>125</v>
      </c>
      <c r="H3009" s="244"/>
      <c r="I3009" s="71" t="e">
        <f>IF(COUNTIF((rName rData),H3009),"","Name Error!")</f>
        <v>#NAME?</v>
      </c>
    </row>
    <row r="3010" spans="2:9" s="126" customFormat="1" ht="15" customHeight="1" x14ac:dyDescent="0.25">
      <c r="B3010" s="271" t="s">
        <v>362</v>
      </c>
      <c r="C3010" s="272" t="s">
        <v>361</v>
      </c>
      <c r="D3010" s="275" t="s">
        <v>216</v>
      </c>
      <c r="E3010" s="275">
        <v>41688.765856481485</v>
      </c>
      <c r="F3010" s="276">
        <v>1</v>
      </c>
      <c r="G3010" s="243">
        <f t="shared" si="47"/>
        <v>125</v>
      </c>
      <c r="H3010" s="244"/>
      <c r="I3010" s="71" t="e">
        <f>IF(COUNTIF((rName rData),H3010),"","Name Error!")</f>
        <v>#NAME?</v>
      </c>
    </row>
    <row r="3011" spans="2:9" s="126" customFormat="1" ht="15" customHeight="1" x14ac:dyDescent="0.25">
      <c r="B3011" s="271" t="s">
        <v>345</v>
      </c>
      <c r="C3011" s="272" t="s">
        <v>344</v>
      </c>
      <c r="D3011" s="275" t="s">
        <v>216</v>
      </c>
      <c r="E3011" s="275">
        <v>41688.820023148146</v>
      </c>
      <c r="F3011" s="276">
        <v>1</v>
      </c>
      <c r="G3011" s="243">
        <f t="shared" si="47"/>
        <v>125</v>
      </c>
      <c r="H3011" s="244"/>
      <c r="I3011" s="71" t="e">
        <f>IF(COUNTIF((rName rData),H3011),"","Name Error!")</f>
        <v>#NAME?</v>
      </c>
    </row>
    <row r="3012" spans="2:9" s="126" customFormat="1" ht="15" customHeight="1" x14ac:dyDescent="0.25">
      <c r="B3012" s="271" t="s">
        <v>367</v>
      </c>
      <c r="C3012" s="272" t="s">
        <v>366</v>
      </c>
      <c r="D3012" s="275" t="s">
        <v>216</v>
      </c>
      <c r="E3012" s="275">
        <v>41688.840312499997</v>
      </c>
      <c r="F3012" s="276">
        <v>1</v>
      </c>
      <c r="G3012" s="243">
        <f t="shared" si="47"/>
        <v>125</v>
      </c>
      <c r="H3012" s="244"/>
      <c r="I3012" s="71" t="e">
        <f>IF(COUNTIF((rName rData),H3012),"","Name Error!")</f>
        <v>#NAME?</v>
      </c>
    </row>
    <row r="3013" spans="2:9" s="126" customFormat="1" ht="15" customHeight="1" x14ac:dyDescent="0.25">
      <c r="B3013" s="271" t="s">
        <v>354</v>
      </c>
      <c r="C3013" s="272" t="s">
        <v>353</v>
      </c>
      <c r="D3013" s="275" t="s">
        <v>216</v>
      </c>
      <c r="E3013" s="275">
        <v>41688.850763888891</v>
      </c>
      <c r="F3013" s="276">
        <v>1</v>
      </c>
      <c r="G3013" s="243">
        <f t="shared" si="47"/>
        <v>125</v>
      </c>
      <c r="H3013" s="244"/>
      <c r="I3013" s="71" t="e">
        <f>IF(COUNTIF((rName rData),H3013),"","Name Error!")</f>
        <v>#NAME?</v>
      </c>
    </row>
    <row r="3014" spans="2:9" s="126" customFormat="1" ht="15" customHeight="1" x14ac:dyDescent="0.25">
      <c r="B3014" s="271" t="s">
        <v>356</v>
      </c>
      <c r="C3014" s="272" t="s">
        <v>355</v>
      </c>
      <c r="D3014" s="275" t="s">
        <v>216</v>
      </c>
      <c r="E3014" s="275">
        <v>41688.929861111108</v>
      </c>
      <c r="F3014" s="276">
        <v>1</v>
      </c>
      <c r="G3014" s="243">
        <f t="shared" si="47"/>
        <v>125</v>
      </c>
      <c r="H3014" s="244"/>
      <c r="I3014" s="71" t="e">
        <f>IF(COUNTIF((rName rData),H3014),"","Name Error!")</f>
        <v>#NAME?</v>
      </c>
    </row>
    <row r="3015" spans="2:9" s="126" customFormat="1" ht="15" customHeight="1" x14ac:dyDescent="0.25">
      <c r="B3015" s="271" t="s">
        <v>328</v>
      </c>
      <c r="C3015" s="272" t="s">
        <v>327</v>
      </c>
      <c r="D3015" s="275" t="s">
        <v>216</v>
      </c>
      <c r="E3015" s="275">
        <v>41688.957083333335</v>
      </c>
      <c r="F3015" s="276">
        <v>1</v>
      </c>
      <c r="G3015" s="243">
        <f t="shared" si="47"/>
        <v>125</v>
      </c>
      <c r="H3015" s="244"/>
      <c r="I3015" s="71" t="e">
        <f>IF(COUNTIF((rName rData),H3015),"","Name Error!")</f>
        <v>#NAME?</v>
      </c>
    </row>
    <row r="3016" spans="2:9" s="126" customFormat="1" ht="15" customHeight="1" x14ac:dyDescent="0.25">
      <c r="B3016" s="271" t="s">
        <v>350</v>
      </c>
      <c r="C3016" s="272" t="s">
        <v>349</v>
      </c>
      <c r="D3016" s="275" t="s">
        <v>216</v>
      </c>
      <c r="E3016" s="275">
        <v>41689.014305555553</v>
      </c>
      <c r="F3016" s="276">
        <v>1</v>
      </c>
      <c r="G3016" s="243">
        <f t="shared" si="47"/>
        <v>125</v>
      </c>
      <c r="H3016" s="244"/>
      <c r="I3016" s="71" t="e">
        <f>IF(COUNTIF((rName rData),H3016),"","Name Error!")</f>
        <v>#NAME?</v>
      </c>
    </row>
    <row r="3017" spans="2:9" s="126" customFormat="1" ht="15" customHeight="1" x14ac:dyDescent="0.25">
      <c r="B3017" s="271" t="s">
        <v>358</v>
      </c>
      <c r="C3017" s="272" t="s">
        <v>357</v>
      </c>
      <c r="D3017" s="275" t="s">
        <v>216</v>
      </c>
      <c r="E3017" s="275">
        <v>41689.408564814818</v>
      </c>
      <c r="F3017" s="276">
        <v>5</v>
      </c>
      <c r="G3017" s="243">
        <f t="shared" si="47"/>
        <v>125</v>
      </c>
      <c r="H3017" s="244"/>
      <c r="I3017" s="71" t="e">
        <f>IF(COUNTIF((rName rData),H3017),"","Name Error!")</f>
        <v>#NAME?</v>
      </c>
    </row>
    <row r="3018" spans="2:9" s="126" customFormat="1" ht="15" customHeight="1" x14ac:dyDescent="0.25">
      <c r="B3018" s="271" t="s">
        <v>322</v>
      </c>
      <c r="C3018" s="272" t="s">
        <v>321</v>
      </c>
      <c r="D3018" s="275" t="s">
        <v>216</v>
      </c>
      <c r="E3018" s="275">
        <v>41689.580995370372</v>
      </c>
      <c r="F3018" s="276">
        <v>1</v>
      </c>
      <c r="G3018" s="243">
        <f t="shared" ref="G3018:G3081" si="48">TRUNC((E3018-start)/7)+1</f>
        <v>125</v>
      </c>
      <c r="H3018" s="244"/>
      <c r="I3018" s="71" t="e">
        <f>IF(COUNTIF((rName rData),H3018),"","Name Error!")</f>
        <v>#NAME?</v>
      </c>
    </row>
    <row r="3019" spans="2:9" s="126" customFormat="1" ht="15" customHeight="1" x14ac:dyDescent="0.25">
      <c r="B3019" s="271" t="s">
        <v>356</v>
      </c>
      <c r="C3019" s="272" t="s">
        <v>355</v>
      </c>
      <c r="D3019" s="275" t="s">
        <v>216</v>
      </c>
      <c r="E3019" s="275">
        <v>41689.792430555557</v>
      </c>
      <c r="F3019" s="276">
        <v>2</v>
      </c>
      <c r="G3019" s="243">
        <f t="shared" si="48"/>
        <v>125</v>
      </c>
      <c r="H3019" s="244"/>
      <c r="I3019" s="71" t="e">
        <f>IF(COUNTIF((rName rData),H3019),"","Name Error!")</f>
        <v>#NAME?</v>
      </c>
    </row>
    <row r="3020" spans="2:9" s="126" customFormat="1" ht="15" customHeight="1" x14ac:dyDescent="0.25">
      <c r="B3020" s="271" t="s">
        <v>362</v>
      </c>
      <c r="C3020" s="272" t="s">
        <v>361</v>
      </c>
      <c r="D3020" s="275" t="s">
        <v>216</v>
      </c>
      <c r="E3020" s="275">
        <v>41689.807557870372</v>
      </c>
      <c r="F3020" s="276">
        <v>1</v>
      </c>
      <c r="G3020" s="243">
        <f t="shared" si="48"/>
        <v>125</v>
      </c>
      <c r="H3020" s="244"/>
      <c r="I3020" s="71" t="e">
        <f>IF(COUNTIF((rName rData),H3020),"","Name Error!")</f>
        <v>#NAME?</v>
      </c>
    </row>
    <row r="3021" spans="2:9" s="126" customFormat="1" ht="15" customHeight="1" x14ac:dyDescent="0.25">
      <c r="B3021" s="271" t="s">
        <v>358</v>
      </c>
      <c r="C3021" s="272" t="s">
        <v>357</v>
      </c>
      <c r="D3021" s="275" t="s">
        <v>216</v>
      </c>
      <c r="E3021" s="275">
        <v>41690.517569444448</v>
      </c>
      <c r="F3021" s="276">
        <v>3</v>
      </c>
      <c r="G3021" s="243">
        <f t="shared" si="48"/>
        <v>125</v>
      </c>
      <c r="H3021" s="244"/>
      <c r="I3021" s="71" t="e">
        <f>IF(COUNTIF((rName rData),H3021),"","Name Error!")</f>
        <v>#NAME?</v>
      </c>
    </row>
    <row r="3022" spans="2:9" s="126" customFormat="1" ht="15" customHeight="1" x14ac:dyDescent="0.25">
      <c r="B3022" s="271" t="s">
        <v>354</v>
      </c>
      <c r="C3022" s="272" t="s">
        <v>353</v>
      </c>
      <c r="D3022" s="275" t="s">
        <v>216</v>
      </c>
      <c r="E3022" s="275">
        <v>41691.23578703704</v>
      </c>
      <c r="F3022" s="276">
        <v>1</v>
      </c>
      <c r="G3022" s="243">
        <f t="shared" si="48"/>
        <v>125</v>
      </c>
      <c r="H3022" s="244"/>
      <c r="I3022" s="71" t="e">
        <f>IF(COUNTIF((rName rData),H3022),"","Name Error!")</f>
        <v>#NAME?</v>
      </c>
    </row>
    <row r="3023" spans="2:9" s="126" customFormat="1" ht="15" customHeight="1" x14ac:dyDescent="0.25">
      <c r="B3023" s="271" t="s">
        <v>358</v>
      </c>
      <c r="C3023" s="272" t="s">
        <v>357</v>
      </c>
      <c r="D3023" s="275" t="s">
        <v>216</v>
      </c>
      <c r="E3023" s="275">
        <v>41691.584224537037</v>
      </c>
      <c r="F3023" s="276">
        <v>4</v>
      </c>
      <c r="G3023" s="243">
        <f t="shared" si="48"/>
        <v>125</v>
      </c>
      <c r="H3023" s="244"/>
      <c r="I3023" s="71" t="e">
        <f>IF(COUNTIF((rName rData),H3023),"","Name Error!")</f>
        <v>#NAME?</v>
      </c>
    </row>
    <row r="3024" spans="2:9" s="126" customFormat="1" ht="15" customHeight="1" x14ac:dyDescent="0.25">
      <c r="B3024" s="271" t="s">
        <v>335</v>
      </c>
      <c r="C3024" s="272" t="s">
        <v>334</v>
      </c>
      <c r="D3024" s="275" t="s">
        <v>216</v>
      </c>
      <c r="E3024" s="275">
        <v>41691.602858796294</v>
      </c>
      <c r="F3024" s="276">
        <v>1</v>
      </c>
      <c r="G3024" s="243">
        <f t="shared" si="48"/>
        <v>125</v>
      </c>
      <c r="H3024" s="244"/>
      <c r="I3024" s="71" t="e">
        <f>IF(COUNTIF((rName rData),H3024),"","Name Error!")</f>
        <v>#NAME?</v>
      </c>
    </row>
    <row r="3025" spans="2:9" s="126" customFormat="1" ht="15" customHeight="1" x14ac:dyDescent="0.25">
      <c r="B3025" s="271" t="s">
        <v>365</v>
      </c>
      <c r="C3025" s="272" t="s">
        <v>364</v>
      </c>
      <c r="D3025" s="275" t="s">
        <v>216</v>
      </c>
      <c r="E3025" s="275">
        <v>41691.775439814817</v>
      </c>
      <c r="F3025" s="276">
        <v>1</v>
      </c>
      <c r="G3025" s="243">
        <f t="shared" si="48"/>
        <v>125</v>
      </c>
      <c r="H3025" s="244"/>
      <c r="I3025" s="71" t="e">
        <f>IF(COUNTIF((rName rData),H3025),"","Name Error!")</f>
        <v>#NAME?</v>
      </c>
    </row>
    <row r="3026" spans="2:9" s="126" customFormat="1" ht="15" customHeight="1" x14ac:dyDescent="0.25">
      <c r="B3026" s="271" t="s">
        <v>322</v>
      </c>
      <c r="C3026" s="272" t="s">
        <v>321</v>
      </c>
      <c r="D3026" s="275" t="s">
        <v>216</v>
      </c>
      <c r="E3026" s="275">
        <v>41691.818611111114</v>
      </c>
      <c r="F3026" s="276">
        <v>1</v>
      </c>
      <c r="G3026" s="243">
        <f t="shared" si="48"/>
        <v>125</v>
      </c>
      <c r="H3026" s="244"/>
      <c r="I3026" s="71" t="e">
        <f>IF(COUNTIF((rName rData),H3026),"","Name Error!")</f>
        <v>#NAME?</v>
      </c>
    </row>
    <row r="3027" spans="2:9" s="126" customFormat="1" ht="15" customHeight="1" x14ac:dyDescent="0.25">
      <c r="B3027" s="271" t="s">
        <v>339</v>
      </c>
      <c r="C3027" s="272" t="s">
        <v>338</v>
      </c>
      <c r="D3027" s="275" t="s">
        <v>216</v>
      </c>
      <c r="E3027" s="275">
        <v>41691.94730324074</v>
      </c>
      <c r="F3027" s="276">
        <v>1</v>
      </c>
      <c r="G3027" s="243">
        <f t="shared" si="48"/>
        <v>125</v>
      </c>
      <c r="H3027" s="244"/>
      <c r="I3027" s="71" t="e">
        <f>IF(COUNTIF((rName rData),H3027),"","Name Error!")</f>
        <v>#NAME?</v>
      </c>
    </row>
    <row r="3028" spans="2:9" s="126" customFormat="1" ht="15" customHeight="1" x14ac:dyDescent="0.25">
      <c r="B3028" s="271" t="s">
        <v>362</v>
      </c>
      <c r="C3028" s="272" t="s">
        <v>361</v>
      </c>
      <c r="D3028" s="275" t="s">
        <v>216</v>
      </c>
      <c r="E3028" s="275">
        <v>41692.11451388889</v>
      </c>
      <c r="F3028" s="276">
        <v>1</v>
      </c>
      <c r="G3028" s="243">
        <f t="shared" si="48"/>
        <v>126</v>
      </c>
      <c r="H3028" s="244"/>
      <c r="I3028" s="71" t="e">
        <f>IF(COUNTIF((rName rData),H3028),"","Name Error!")</f>
        <v>#NAME?</v>
      </c>
    </row>
    <row r="3029" spans="2:9" s="126" customFormat="1" ht="15" customHeight="1" x14ac:dyDescent="0.25">
      <c r="B3029" s="271" t="s">
        <v>322</v>
      </c>
      <c r="C3029" s="272" t="s">
        <v>321</v>
      </c>
      <c r="D3029" s="275" t="s">
        <v>216</v>
      </c>
      <c r="E3029" s="275">
        <v>41692.237939814811</v>
      </c>
      <c r="F3029" s="276">
        <v>2</v>
      </c>
      <c r="G3029" s="243">
        <f t="shared" si="48"/>
        <v>126</v>
      </c>
      <c r="H3029" s="244"/>
      <c r="I3029" s="71" t="e">
        <f>IF(COUNTIF((rName rData),H3029),"","Name Error!")</f>
        <v>#NAME?</v>
      </c>
    </row>
    <row r="3030" spans="2:9" s="126" customFormat="1" ht="15" customHeight="1" x14ac:dyDescent="0.25">
      <c r="B3030" s="271" t="s">
        <v>267</v>
      </c>
      <c r="C3030" s="272" t="s">
        <v>268</v>
      </c>
      <c r="D3030" s="275" t="s">
        <v>216</v>
      </c>
      <c r="E3030" s="275">
        <v>41692.405821759261</v>
      </c>
      <c r="F3030" s="276">
        <v>5</v>
      </c>
      <c r="G3030" s="243">
        <f t="shared" si="48"/>
        <v>126</v>
      </c>
      <c r="H3030" s="244"/>
      <c r="I3030" s="71" t="e">
        <f>IF(COUNTIF((rName rData),H3030),"","Name Error!")</f>
        <v>#NAME?</v>
      </c>
    </row>
    <row r="3031" spans="2:9" s="126" customFormat="1" ht="15" customHeight="1" x14ac:dyDescent="0.25">
      <c r="B3031" s="271" t="s">
        <v>328</v>
      </c>
      <c r="C3031" s="272" t="s">
        <v>327</v>
      </c>
      <c r="D3031" s="275" t="s">
        <v>216</v>
      </c>
      <c r="E3031" s="275">
        <v>41692.427557870367</v>
      </c>
      <c r="F3031" s="276">
        <v>1</v>
      </c>
      <c r="G3031" s="243">
        <f t="shared" si="48"/>
        <v>126</v>
      </c>
      <c r="H3031" s="244"/>
      <c r="I3031" s="71" t="e">
        <f>IF(COUNTIF((rName rData),H3031),"","Name Error!")</f>
        <v>#NAME?</v>
      </c>
    </row>
    <row r="3032" spans="2:9" s="126" customFormat="1" ht="15" customHeight="1" x14ac:dyDescent="0.25">
      <c r="B3032" s="271" t="s">
        <v>358</v>
      </c>
      <c r="C3032" s="272" t="s">
        <v>357</v>
      </c>
      <c r="D3032" s="275" t="s">
        <v>216</v>
      </c>
      <c r="E3032" s="275">
        <v>41692.455000000002</v>
      </c>
      <c r="F3032" s="276">
        <v>2</v>
      </c>
      <c r="G3032" s="243">
        <f t="shared" si="48"/>
        <v>126</v>
      </c>
      <c r="H3032" s="244"/>
      <c r="I3032" s="71" t="e">
        <f>IF(COUNTIF((rName rData),H3032),"","Name Error!")</f>
        <v>#NAME?</v>
      </c>
    </row>
    <row r="3033" spans="2:9" s="126" customFormat="1" ht="15" customHeight="1" x14ac:dyDescent="0.25">
      <c r="B3033" s="271" t="s">
        <v>324</v>
      </c>
      <c r="C3033" s="272" t="s">
        <v>323</v>
      </c>
      <c r="D3033" s="275" t="s">
        <v>216</v>
      </c>
      <c r="E3033" s="275">
        <v>41692.570960648147</v>
      </c>
      <c r="F3033" s="276">
        <v>1</v>
      </c>
      <c r="G3033" s="243">
        <f t="shared" si="48"/>
        <v>126</v>
      </c>
      <c r="H3033" s="244"/>
      <c r="I3033" s="71" t="e">
        <f>IF(COUNTIF((rName rData),H3033),"","Name Error!")</f>
        <v>#NAME?</v>
      </c>
    </row>
    <row r="3034" spans="2:9" s="126" customFormat="1" ht="15" customHeight="1" x14ac:dyDescent="0.25">
      <c r="B3034" s="271" t="s">
        <v>341</v>
      </c>
      <c r="C3034" s="272" t="s">
        <v>340</v>
      </c>
      <c r="D3034" s="275" t="s">
        <v>216</v>
      </c>
      <c r="E3034" s="275">
        <v>41692.692025462966</v>
      </c>
      <c r="F3034" s="276">
        <v>1</v>
      </c>
      <c r="G3034" s="243">
        <f t="shared" si="48"/>
        <v>126</v>
      </c>
      <c r="H3034" s="244"/>
      <c r="I3034" s="71" t="e">
        <f>IF(COUNTIF((rName rData),H3034),"","Name Error!")</f>
        <v>#NAME?</v>
      </c>
    </row>
    <row r="3035" spans="2:9" s="126" customFormat="1" ht="15" customHeight="1" x14ac:dyDescent="0.25">
      <c r="B3035" s="271" t="s">
        <v>352</v>
      </c>
      <c r="C3035" s="272" t="s">
        <v>351</v>
      </c>
      <c r="D3035" s="275" t="s">
        <v>216</v>
      </c>
      <c r="E3035" s="275">
        <v>41692.697951388887</v>
      </c>
      <c r="F3035" s="276">
        <v>2</v>
      </c>
      <c r="G3035" s="243">
        <f t="shared" si="48"/>
        <v>126</v>
      </c>
      <c r="H3035" s="244"/>
      <c r="I3035" s="71" t="e">
        <f>IF(COUNTIF((rName rData),H3035),"","Name Error!")</f>
        <v>#NAME?</v>
      </c>
    </row>
    <row r="3036" spans="2:9" s="126" customFormat="1" ht="15" customHeight="1" x14ac:dyDescent="0.25">
      <c r="B3036" s="271" t="s">
        <v>333</v>
      </c>
      <c r="C3036" s="272" t="s">
        <v>332</v>
      </c>
      <c r="D3036" s="275" t="s">
        <v>216</v>
      </c>
      <c r="E3036" s="275">
        <v>41692.768888888888</v>
      </c>
      <c r="F3036" s="276">
        <v>2</v>
      </c>
      <c r="G3036" s="243">
        <f t="shared" si="48"/>
        <v>126</v>
      </c>
      <c r="H3036" s="244"/>
      <c r="I3036" s="71" t="e">
        <f>IF(COUNTIF((rName rData),H3036),"","Name Error!")</f>
        <v>#NAME?</v>
      </c>
    </row>
    <row r="3037" spans="2:9" s="126" customFormat="1" ht="15" customHeight="1" x14ac:dyDescent="0.25">
      <c r="B3037" s="271" t="s">
        <v>337</v>
      </c>
      <c r="C3037" s="272" t="s">
        <v>336</v>
      </c>
      <c r="D3037" s="275" t="s">
        <v>216</v>
      </c>
      <c r="E3037" s="275">
        <v>41692.885358796295</v>
      </c>
      <c r="F3037" s="276">
        <v>2</v>
      </c>
      <c r="G3037" s="243">
        <f t="shared" si="48"/>
        <v>126</v>
      </c>
      <c r="H3037" s="244"/>
      <c r="I3037" s="71" t="e">
        <f>IF(COUNTIF((rName rData),H3037),"","Name Error!")</f>
        <v>#NAME?</v>
      </c>
    </row>
    <row r="3038" spans="2:9" s="126" customFormat="1" ht="15" customHeight="1" x14ac:dyDescent="0.25">
      <c r="B3038" s="271" t="s">
        <v>331</v>
      </c>
      <c r="C3038" s="272" t="s">
        <v>330</v>
      </c>
      <c r="D3038" s="275" t="s">
        <v>216</v>
      </c>
      <c r="E3038" s="275">
        <v>41692.911631944444</v>
      </c>
      <c r="F3038" s="276">
        <v>2</v>
      </c>
      <c r="G3038" s="243">
        <f t="shared" si="48"/>
        <v>126</v>
      </c>
      <c r="H3038" s="244"/>
      <c r="I3038" s="71" t="e">
        <f>IF(COUNTIF((rName rData),H3038),"","Name Error!")</f>
        <v>#NAME?</v>
      </c>
    </row>
    <row r="3039" spans="2:9" s="126" customFormat="1" ht="15" customHeight="1" x14ac:dyDescent="0.25">
      <c r="B3039" s="271" t="s">
        <v>331</v>
      </c>
      <c r="C3039" s="272" t="s">
        <v>330</v>
      </c>
      <c r="D3039" s="275" t="s">
        <v>216</v>
      </c>
      <c r="E3039" s="275">
        <v>41693.090104166666</v>
      </c>
      <c r="F3039" s="276">
        <v>5</v>
      </c>
      <c r="G3039" s="243">
        <f t="shared" si="48"/>
        <v>126</v>
      </c>
      <c r="H3039" s="244"/>
      <c r="I3039" s="71" t="e">
        <f>IF(COUNTIF((rName rData),H3039),"","Name Error!")</f>
        <v>#NAME?</v>
      </c>
    </row>
    <row r="3040" spans="2:9" s="126" customFormat="1" ht="15" customHeight="1" x14ac:dyDescent="0.25">
      <c r="B3040" s="271" t="s">
        <v>358</v>
      </c>
      <c r="C3040" s="272" t="s">
        <v>357</v>
      </c>
      <c r="D3040" s="275" t="s">
        <v>216</v>
      </c>
      <c r="E3040" s="275">
        <v>41693.321979166663</v>
      </c>
      <c r="F3040" s="276">
        <v>4</v>
      </c>
      <c r="G3040" s="243">
        <f t="shared" si="48"/>
        <v>126</v>
      </c>
      <c r="H3040" s="244"/>
      <c r="I3040" s="71" t="e">
        <f>IF(COUNTIF((rName rData),H3040),"","Name Error!")</f>
        <v>#NAME?</v>
      </c>
    </row>
    <row r="3041" spans="2:9" s="126" customFormat="1" ht="15" customHeight="1" x14ac:dyDescent="0.25">
      <c r="B3041" s="271" t="s">
        <v>341</v>
      </c>
      <c r="C3041" s="272" t="s">
        <v>340</v>
      </c>
      <c r="D3041" s="275" t="s">
        <v>216</v>
      </c>
      <c r="E3041" s="275">
        <v>41693.505960648145</v>
      </c>
      <c r="F3041" s="276">
        <v>2</v>
      </c>
      <c r="G3041" s="243">
        <f t="shared" si="48"/>
        <v>126</v>
      </c>
      <c r="H3041" s="244"/>
      <c r="I3041" s="71" t="e">
        <f>IF(COUNTIF((rName rData),H3041),"","Name Error!")</f>
        <v>#NAME?</v>
      </c>
    </row>
    <row r="3042" spans="2:9" s="126" customFormat="1" ht="15" customHeight="1" x14ac:dyDescent="0.25">
      <c r="B3042" s="271" t="s">
        <v>362</v>
      </c>
      <c r="C3042" s="272" t="s">
        <v>361</v>
      </c>
      <c r="D3042" s="275" t="s">
        <v>216</v>
      </c>
      <c r="E3042" s="275">
        <v>41693.515451388892</v>
      </c>
      <c r="F3042" s="276">
        <v>2</v>
      </c>
      <c r="G3042" s="243">
        <f t="shared" si="48"/>
        <v>126</v>
      </c>
      <c r="H3042" s="244"/>
      <c r="I3042" s="71" t="e">
        <f>IF(COUNTIF((rName rData),H3042),"","Name Error!")</f>
        <v>#NAME?</v>
      </c>
    </row>
    <row r="3043" spans="2:9" s="126" customFormat="1" ht="15" customHeight="1" x14ac:dyDescent="0.25">
      <c r="B3043" s="271" t="s">
        <v>356</v>
      </c>
      <c r="C3043" s="272" t="s">
        <v>355</v>
      </c>
      <c r="D3043" s="275" t="s">
        <v>216</v>
      </c>
      <c r="E3043" s="275">
        <v>41693.540011574078</v>
      </c>
      <c r="F3043" s="276">
        <v>1</v>
      </c>
      <c r="G3043" s="243">
        <f t="shared" si="48"/>
        <v>126</v>
      </c>
      <c r="H3043" s="244"/>
      <c r="I3043" s="71" t="e">
        <f>IF(COUNTIF((rName rData),H3043),"","Name Error!")</f>
        <v>#NAME?</v>
      </c>
    </row>
    <row r="3044" spans="2:9" s="126" customFormat="1" ht="15" customHeight="1" x14ac:dyDescent="0.25">
      <c r="B3044" s="271" t="s">
        <v>324</v>
      </c>
      <c r="C3044" s="272" t="s">
        <v>323</v>
      </c>
      <c r="D3044" s="275" t="s">
        <v>216</v>
      </c>
      <c r="E3044" s="275">
        <v>41693.552048611113</v>
      </c>
      <c r="F3044" s="276">
        <v>3</v>
      </c>
      <c r="G3044" s="243">
        <f t="shared" si="48"/>
        <v>126</v>
      </c>
      <c r="H3044" s="244"/>
      <c r="I3044" s="71" t="e">
        <f>IF(COUNTIF((rName rData),H3044),"","Name Error!")</f>
        <v>#NAME?</v>
      </c>
    </row>
    <row r="3045" spans="2:9" s="126" customFormat="1" ht="15" customHeight="1" x14ac:dyDescent="0.25">
      <c r="B3045" s="271" t="s">
        <v>352</v>
      </c>
      <c r="C3045" s="272" t="s">
        <v>351</v>
      </c>
      <c r="D3045" s="275" t="s">
        <v>216</v>
      </c>
      <c r="E3045" s="275">
        <v>41693.592870370368</v>
      </c>
      <c r="F3045" s="276">
        <v>1</v>
      </c>
      <c r="G3045" s="243">
        <f t="shared" si="48"/>
        <v>126</v>
      </c>
      <c r="H3045" s="244"/>
      <c r="I3045" s="71" t="e">
        <f>IF(COUNTIF((rName rData),H3045),"","Name Error!")</f>
        <v>#NAME?</v>
      </c>
    </row>
    <row r="3046" spans="2:9" s="126" customFormat="1" ht="15" customHeight="1" x14ac:dyDescent="0.25">
      <c r="B3046" s="271" t="s">
        <v>335</v>
      </c>
      <c r="C3046" s="272" t="s">
        <v>334</v>
      </c>
      <c r="D3046" s="275" t="s">
        <v>216</v>
      </c>
      <c r="E3046" s="275">
        <v>41693.625798611109</v>
      </c>
      <c r="F3046" s="276">
        <v>4</v>
      </c>
      <c r="G3046" s="243">
        <f t="shared" si="48"/>
        <v>126</v>
      </c>
      <c r="H3046" s="244"/>
      <c r="I3046" s="71" t="e">
        <f>IF(COUNTIF((rName rData),H3046),"","Name Error!")</f>
        <v>#NAME?</v>
      </c>
    </row>
    <row r="3047" spans="2:9" s="126" customFormat="1" ht="15" customHeight="1" x14ac:dyDescent="0.25">
      <c r="B3047" s="271" t="s">
        <v>337</v>
      </c>
      <c r="C3047" s="272" t="s">
        <v>336</v>
      </c>
      <c r="D3047" s="275" t="s">
        <v>216</v>
      </c>
      <c r="E3047" s="275">
        <v>41693.898182870369</v>
      </c>
      <c r="F3047" s="276">
        <v>1</v>
      </c>
      <c r="G3047" s="243">
        <f t="shared" si="48"/>
        <v>126</v>
      </c>
      <c r="H3047" s="244"/>
      <c r="I3047" s="71" t="e">
        <f>IF(COUNTIF((rName rData),H3047),"","Name Error!")</f>
        <v>#NAME?</v>
      </c>
    </row>
    <row r="3048" spans="2:9" s="126" customFormat="1" ht="15" customHeight="1" x14ac:dyDescent="0.25">
      <c r="B3048" s="271" t="s">
        <v>322</v>
      </c>
      <c r="C3048" s="272" t="s">
        <v>321</v>
      </c>
      <c r="D3048" s="275" t="s">
        <v>216</v>
      </c>
      <c r="E3048" s="275">
        <v>41693.913321759261</v>
      </c>
      <c r="F3048" s="276">
        <v>1</v>
      </c>
      <c r="G3048" s="243">
        <f t="shared" si="48"/>
        <v>126</v>
      </c>
      <c r="H3048" s="244"/>
      <c r="I3048" s="71" t="e">
        <f>IF(COUNTIF((rName rData),H3048),"","Name Error!")</f>
        <v>#NAME?</v>
      </c>
    </row>
    <row r="3049" spans="2:9" s="126" customFormat="1" ht="15" customHeight="1" x14ac:dyDescent="0.25">
      <c r="B3049" s="271" t="s">
        <v>267</v>
      </c>
      <c r="C3049" s="272" t="s">
        <v>268</v>
      </c>
      <c r="D3049" s="275" t="s">
        <v>216</v>
      </c>
      <c r="E3049" s="275">
        <v>41693.914074074077</v>
      </c>
      <c r="F3049" s="276">
        <v>1</v>
      </c>
      <c r="G3049" s="243">
        <f t="shared" si="48"/>
        <v>126</v>
      </c>
      <c r="H3049" s="244"/>
      <c r="I3049" s="71" t="e">
        <f>IF(COUNTIF((rName rData),H3049),"","Name Error!")</f>
        <v>#NAME?</v>
      </c>
    </row>
    <row r="3050" spans="2:9" s="126" customFormat="1" ht="15" customHeight="1" x14ac:dyDescent="0.25">
      <c r="B3050" s="271" t="s">
        <v>331</v>
      </c>
      <c r="C3050" s="272" t="s">
        <v>330</v>
      </c>
      <c r="D3050" s="275" t="s">
        <v>216</v>
      </c>
      <c r="E3050" s="275">
        <v>41694.024699074071</v>
      </c>
      <c r="F3050" s="276">
        <v>3</v>
      </c>
      <c r="G3050" s="243">
        <f t="shared" si="48"/>
        <v>126</v>
      </c>
      <c r="H3050" s="244"/>
      <c r="I3050" s="71" t="e">
        <f>IF(COUNTIF((rName rData),H3050),"","Name Error!")</f>
        <v>#NAME?</v>
      </c>
    </row>
    <row r="3051" spans="2:9" s="126" customFormat="1" ht="15" customHeight="1" x14ac:dyDescent="0.25">
      <c r="B3051" s="271" t="s">
        <v>358</v>
      </c>
      <c r="C3051" s="272" t="s">
        <v>357</v>
      </c>
      <c r="D3051" s="275" t="s">
        <v>216</v>
      </c>
      <c r="E3051" s="275">
        <v>41694.366481481484</v>
      </c>
      <c r="F3051" s="276">
        <v>5</v>
      </c>
      <c r="G3051" s="243">
        <f t="shared" si="48"/>
        <v>126</v>
      </c>
      <c r="H3051" s="244"/>
      <c r="I3051" s="71" t="e">
        <f>IF(COUNTIF((rName rData),H3051),"","Name Error!")</f>
        <v>#NAME?</v>
      </c>
    </row>
    <row r="3052" spans="2:9" s="126" customFormat="1" ht="15" customHeight="1" x14ac:dyDescent="0.25">
      <c r="B3052" s="271" t="s">
        <v>335</v>
      </c>
      <c r="C3052" s="272" t="s">
        <v>334</v>
      </c>
      <c r="D3052" s="275" t="s">
        <v>216</v>
      </c>
      <c r="E3052" s="275">
        <v>41694.621678240743</v>
      </c>
      <c r="F3052" s="276">
        <v>3</v>
      </c>
      <c r="G3052" s="243">
        <f t="shared" si="48"/>
        <v>126</v>
      </c>
      <c r="H3052" s="244"/>
      <c r="I3052" s="71" t="e">
        <f>IF(COUNTIF((rName rData),H3052),"","Name Error!")</f>
        <v>#NAME?</v>
      </c>
    </row>
    <row r="3053" spans="2:9" s="126" customFormat="1" ht="15" customHeight="1" x14ac:dyDescent="0.25">
      <c r="B3053" s="271" t="s">
        <v>322</v>
      </c>
      <c r="C3053" s="272" t="s">
        <v>321</v>
      </c>
      <c r="D3053" s="275" t="s">
        <v>216</v>
      </c>
      <c r="E3053" s="275">
        <v>41694.813055555554</v>
      </c>
      <c r="F3053" s="276">
        <v>2</v>
      </c>
      <c r="G3053" s="243">
        <f t="shared" si="48"/>
        <v>126</v>
      </c>
      <c r="H3053" s="244"/>
      <c r="I3053" s="71" t="e">
        <f>IF(COUNTIF((rName rData),H3053),"","Name Error!")</f>
        <v>#NAME?</v>
      </c>
    </row>
    <row r="3054" spans="2:9" s="126" customFormat="1" ht="15" customHeight="1" x14ac:dyDescent="0.25">
      <c r="B3054" s="271" t="s">
        <v>356</v>
      </c>
      <c r="C3054" s="272" t="s">
        <v>355</v>
      </c>
      <c r="D3054" s="275" t="s">
        <v>216</v>
      </c>
      <c r="E3054" s="275">
        <v>41694.827986111108</v>
      </c>
      <c r="F3054" s="276">
        <v>1</v>
      </c>
      <c r="G3054" s="243">
        <f t="shared" si="48"/>
        <v>126</v>
      </c>
      <c r="H3054" s="244"/>
      <c r="I3054" s="71" t="e">
        <f>IF(COUNTIF((rName rData),H3054),"","Name Error!")</f>
        <v>#NAME?</v>
      </c>
    </row>
    <row r="3055" spans="2:9" s="126" customFormat="1" ht="15" customHeight="1" x14ac:dyDescent="0.25">
      <c r="B3055" s="271" t="s">
        <v>352</v>
      </c>
      <c r="C3055" s="272" t="s">
        <v>351</v>
      </c>
      <c r="D3055" s="275" t="s">
        <v>216</v>
      </c>
      <c r="E3055" s="275">
        <v>41694.905219907407</v>
      </c>
      <c r="F3055" s="276">
        <v>1</v>
      </c>
      <c r="G3055" s="243">
        <f t="shared" si="48"/>
        <v>126</v>
      </c>
      <c r="H3055" s="244"/>
      <c r="I3055" s="71" t="e">
        <f>IF(COUNTIF((rName rData),H3055),"","Name Error!")</f>
        <v>#NAME?</v>
      </c>
    </row>
    <row r="3056" spans="2:9" s="126" customFormat="1" ht="15" customHeight="1" x14ac:dyDescent="0.25">
      <c r="B3056" s="271" t="s">
        <v>371</v>
      </c>
      <c r="C3056" s="272" t="s">
        <v>370</v>
      </c>
      <c r="D3056" s="275" t="s">
        <v>216</v>
      </c>
      <c r="E3056" s="275">
        <v>41694.923425925925</v>
      </c>
      <c r="F3056" s="276">
        <v>1</v>
      </c>
      <c r="G3056" s="243">
        <f t="shared" si="48"/>
        <v>126</v>
      </c>
      <c r="H3056" s="244"/>
      <c r="I3056" s="71" t="e">
        <f>IF(COUNTIF((rName rData),H3056),"","Name Error!")</f>
        <v>#NAME?</v>
      </c>
    </row>
    <row r="3057" spans="2:9" s="126" customFormat="1" ht="15" customHeight="1" x14ac:dyDescent="0.25">
      <c r="B3057" s="271" t="s">
        <v>324</v>
      </c>
      <c r="C3057" s="272" t="s">
        <v>323</v>
      </c>
      <c r="D3057" s="275" t="s">
        <v>216</v>
      </c>
      <c r="E3057" s="275">
        <v>41694.93204861111</v>
      </c>
      <c r="F3057" s="276">
        <v>1</v>
      </c>
      <c r="G3057" s="243">
        <f t="shared" si="48"/>
        <v>126</v>
      </c>
      <c r="H3057" s="244"/>
      <c r="I3057" s="71" t="e">
        <f>IF(COUNTIF((rName rData),H3057),"","Name Error!")</f>
        <v>#NAME?</v>
      </c>
    </row>
    <row r="3058" spans="2:9" s="126" customFormat="1" ht="15" customHeight="1" x14ac:dyDescent="0.25">
      <c r="B3058" s="271" t="s">
        <v>328</v>
      </c>
      <c r="C3058" s="272" t="s">
        <v>327</v>
      </c>
      <c r="D3058" s="275" t="s">
        <v>216</v>
      </c>
      <c r="E3058" s="275">
        <v>41694.968391203707</v>
      </c>
      <c r="F3058" s="276">
        <v>1</v>
      </c>
      <c r="G3058" s="243">
        <f t="shared" si="48"/>
        <v>126</v>
      </c>
      <c r="H3058" s="244"/>
      <c r="I3058" s="71" t="e">
        <f>IF(COUNTIF((rName rData),H3058),"","Name Error!")</f>
        <v>#NAME?</v>
      </c>
    </row>
    <row r="3059" spans="2:9" s="126" customFormat="1" ht="15" customHeight="1" x14ac:dyDescent="0.25">
      <c r="B3059" s="271" t="s">
        <v>339</v>
      </c>
      <c r="C3059" s="272" t="s">
        <v>338</v>
      </c>
      <c r="D3059" s="275" t="s">
        <v>216</v>
      </c>
      <c r="E3059" s="275">
        <v>41694.983356481483</v>
      </c>
      <c r="F3059" s="276">
        <v>2</v>
      </c>
      <c r="G3059" s="243">
        <f t="shared" si="48"/>
        <v>126</v>
      </c>
      <c r="H3059" s="244"/>
      <c r="I3059" s="71" t="e">
        <f>IF(COUNTIF((rName rData),H3059),"","Name Error!")</f>
        <v>#NAME?</v>
      </c>
    </row>
    <row r="3060" spans="2:9" s="126" customFormat="1" ht="15" customHeight="1" x14ac:dyDescent="0.25">
      <c r="B3060" s="271" t="s">
        <v>354</v>
      </c>
      <c r="C3060" s="272" t="s">
        <v>353</v>
      </c>
      <c r="D3060" s="275" t="s">
        <v>216</v>
      </c>
      <c r="E3060" s="275">
        <v>41695.316967592589</v>
      </c>
      <c r="F3060" s="276">
        <v>3</v>
      </c>
      <c r="G3060" s="243">
        <f t="shared" si="48"/>
        <v>126</v>
      </c>
      <c r="H3060" s="244"/>
      <c r="I3060" s="71" t="e">
        <f>IF(COUNTIF((rName rData),H3060),"","Name Error!")</f>
        <v>#NAME?</v>
      </c>
    </row>
    <row r="3061" spans="2:9" s="126" customFormat="1" ht="15" customHeight="1" x14ac:dyDescent="0.25">
      <c r="B3061" s="271" t="s">
        <v>333</v>
      </c>
      <c r="C3061" s="272" t="s">
        <v>332</v>
      </c>
      <c r="D3061" s="275" t="s">
        <v>216</v>
      </c>
      <c r="E3061" s="275">
        <v>41695.322951388887</v>
      </c>
      <c r="F3061" s="276">
        <v>1</v>
      </c>
      <c r="G3061" s="243">
        <f t="shared" si="48"/>
        <v>126</v>
      </c>
      <c r="H3061" s="244"/>
      <c r="I3061" s="71" t="e">
        <f>IF(COUNTIF((rName rData),H3061),"","Name Error!")</f>
        <v>#NAME?</v>
      </c>
    </row>
    <row r="3062" spans="2:9" s="126" customFormat="1" ht="15" customHeight="1" x14ac:dyDescent="0.25">
      <c r="B3062" s="271" t="s">
        <v>341</v>
      </c>
      <c r="C3062" s="272" t="s">
        <v>340</v>
      </c>
      <c r="D3062" s="275" t="s">
        <v>216</v>
      </c>
      <c r="E3062" s="275">
        <v>41695.341446759259</v>
      </c>
      <c r="F3062" s="276">
        <v>3</v>
      </c>
      <c r="G3062" s="243">
        <f t="shared" si="48"/>
        <v>126</v>
      </c>
      <c r="H3062" s="244"/>
      <c r="I3062" s="71" t="e">
        <f>IF(COUNTIF((rName rData),H3062),"","Name Error!")</f>
        <v>#NAME?</v>
      </c>
    </row>
    <row r="3063" spans="2:9" s="126" customFormat="1" ht="15" customHeight="1" x14ac:dyDescent="0.25">
      <c r="B3063" s="271" t="s">
        <v>322</v>
      </c>
      <c r="C3063" s="272" t="s">
        <v>321</v>
      </c>
      <c r="D3063" s="275" t="s">
        <v>216</v>
      </c>
      <c r="E3063" s="275">
        <v>41695.363946759258</v>
      </c>
      <c r="F3063" s="276">
        <v>2</v>
      </c>
      <c r="G3063" s="243">
        <f t="shared" si="48"/>
        <v>126</v>
      </c>
      <c r="H3063" s="244"/>
      <c r="I3063" s="71" t="e">
        <f>IF(COUNTIF((rName rData),H3063),"","Name Error!")</f>
        <v>#NAME?</v>
      </c>
    </row>
    <row r="3064" spans="2:9" s="126" customFormat="1" ht="15" customHeight="1" x14ac:dyDescent="0.25">
      <c r="B3064" s="271" t="s">
        <v>358</v>
      </c>
      <c r="C3064" s="272" t="s">
        <v>357</v>
      </c>
      <c r="D3064" s="275" t="s">
        <v>216</v>
      </c>
      <c r="E3064" s="275">
        <v>41695.382199074076</v>
      </c>
      <c r="F3064" s="276">
        <v>3</v>
      </c>
      <c r="G3064" s="243">
        <f t="shared" si="48"/>
        <v>126</v>
      </c>
      <c r="H3064" s="244"/>
      <c r="I3064" s="71" t="e">
        <f>IF(COUNTIF((rName rData),H3064),"","Name Error!")</f>
        <v>#NAME?</v>
      </c>
    </row>
    <row r="3065" spans="2:9" s="126" customFormat="1" ht="15" customHeight="1" x14ac:dyDescent="0.25">
      <c r="B3065" s="271" t="s">
        <v>335</v>
      </c>
      <c r="C3065" s="272" t="s">
        <v>334</v>
      </c>
      <c r="D3065" s="275" t="s">
        <v>216</v>
      </c>
      <c r="E3065" s="275">
        <v>41695.736921296295</v>
      </c>
      <c r="F3065" s="276">
        <v>2</v>
      </c>
      <c r="G3065" s="243">
        <f t="shared" si="48"/>
        <v>126</v>
      </c>
      <c r="H3065" s="244"/>
      <c r="I3065" s="71" t="e">
        <f>IF(COUNTIF((rName rData),H3065),"","Name Error!")</f>
        <v>#NAME?</v>
      </c>
    </row>
    <row r="3066" spans="2:9" s="126" customFormat="1" ht="15" customHeight="1" x14ac:dyDescent="0.25">
      <c r="B3066" s="271" t="s">
        <v>352</v>
      </c>
      <c r="C3066" s="272" t="s">
        <v>351</v>
      </c>
      <c r="D3066" s="275" t="s">
        <v>216</v>
      </c>
      <c r="E3066" s="275">
        <v>41695.783576388887</v>
      </c>
      <c r="F3066" s="276">
        <v>2</v>
      </c>
      <c r="G3066" s="243">
        <f t="shared" si="48"/>
        <v>126</v>
      </c>
      <c r="H3066" s="244"/>
      <c r="I3066" s="71" t="e">
        <f>IF(COUNTIF((rName rData),H3066),"","Name Error!")</f>
        <v>#NAME?</v>
      </c>
    </row>
    <row r="3067" spans="2:9" s="126" customFormat="1" ht="15" customHeight="1" x14ac:dyDescent="0.25">
      <c r="B3067" s="271" t="s">
        <v>356</v>
      </c>
      <c r="C3067" s="272" t="s">
        <v>355</v>
      </c>
      <c r="D3067" s="275" t="s">
        <v>216</v>
      </c>
      <c r="E3067" s="275">
        <v>41695.840520833335</v>
      </c>
      <c r="F3067" s="276">
        <v>2</v>
      </c>
      <c r="G3067" s="243">
        <f t="shared" si="48"/>
        <v>126</v>
      </c>
      <c r="H3067" s="244"/>
      <c r="I3067" s="71" t="e">
        <f>IF(COUNTIF((rName rData),H3067),"","Name Error!")</f>
        <v>#NAME?</v>
      </c>
    </row>
    <row r="3068" spans="2:9" s="126" customFormat="1" ht="15" customHeight="1" x14ac:dyDescent="0.25">
      <c r="B3068" s="271" t="s">
        <v>365</v>
      </c>
      <c r="C3068" s="272" t="s">
        <v>364</v>
      </c>
      <c r="D3068" s="275" t="s">
        <v>216</v>
      </c>
      <c r="E3068" s="275">
        <v>41695.929050925923</v>
      </c>
      <c r="F3068" s="276">
        <v>1</v>
      </c>
      <c r="G3068" s="243">
        <f t="shared" si="48"/>
        <v>126</v>
      </c>
      <c r="H3068" s="244"/>
      <c r="I3068" s="71" t="e">
        <f>IF(COUNTIF((rName rData),H3068),"","Name Error!")</f>
        <v>#NAME?</v>
      </c>
    </row>
    <row r="3069" spans="2:9" s="126" customFormat="1" ht="15" customHeight="1" x14ac:dyDescent="0.25">
      <c r="B3069" s="271" t="s">
        <v>331</v>
      </c>
      <c r="C3069" s="272" t="s">
        <v>330</v>
      </c>
      <c r="D3069" s="275" t="s">
        <v>216</v>
      </c>
      <c r="E3069" s="275">
        <v>41696.002696759257</v>
      </c>
      <c r="F3069" s="276">
        <v>1</v>
      </c>
      <c r="G3069" s="243">
        <f t="shared" si="48"/>
        <v>126</v>
      </c>
      <c r="H3069" s="244"/>
      <c r="I3069" s="71" t="e">
        <f>IF(COUNTIF((rName rData),H3069),"","Name Error!")</f>
        <v>#NAME?</v>
      </c>
    </row>
    <row r="3070" spans="2:9" s="126" customFormat="1" ht="15" customHeight="1" x14ac:dyDescent="0.25">
      <c r="B3070" s="271" t="s">
        <v>339</v>
      </c>
      <c r="C3070" s="272" t="s">
        <v>338</v>
      </c>
      <c r="D3070" s="275" t="s">
        <v>216</v>
      </c>
      <c r="E3070" s="275">
        <v>41696.119201388887</v>
      </c>
      <c r="F3070" s="276">
        <v>1</v>
      </c>
      <c r="G3070" s="243">
        <f t="shared" si="48"/>
        <v>126</v>
      </c>
      <c r="H3070" s="244"/>
      <c r="I3070" s="71" t="e">
        <f>IF(COUNTIF((rName rData),H3070),"","Name Error!")</f>
        <v>#NAME?</v>
      </c>
    </row>
    <row r="3071" spans="2:9" s="126" customFormat="1" ht="15" customHeight="1" x14ac:dyDescent="0.25">
      <c r="B3071" s="271" t="s">
        <v>354</v>
      </c>
      <c r="C3071" s="272" t="s">
        <v>353</v>
      </c>
      <c r="D3071" s="275" t="s">
        <v>216</v>
      </c>
      <c r="E3071" s="275">
        <v>41696.237199074072</v>
      </c>
      <c r="F3071" s="276">
        <v>3</v>
      </c>
      <c r="G3071" s="243">
        <f t="shared" si="48"/>
        <v>126</v>
      </c>
      <c r="H3071" s="244"/>
      <c r="I3071" s="71" t="e">
        <f>IF(COUNTIF((rName rData),H3071),"","Name Error!")</f>
        <v>#NAME?</v>
      </c>
    </row>
    <row r="3072" spans="2:9" s="126" customFormat="1" ht="15" customHeight="1" x14ac:dyDescent="0.25">
      <c r="B3072" s="271" t="s">
        <v>335</v>
      </c>
      <c r="C3072" s="272" t="s">
        <v>334</v>
      </c>
      <c r="D3072" s="275" t="s">
        <v>216</v>
      </c>
      <c r="E3072" s="275">
        <v>41696.396238425928</v>
      </c>
      <c r="F3072" s="276">
        <v>2</v>
      </c>
      <c r="G3072" s="243">
        <f t="shared" si="48"/>
        <v>126</v>
      </c>
      <c r="H3072" s="244"/>
      <c r="I3072" s="71" t="e">
        <f>IF(COUNTIF((rName rData),H3072),"","Name Error!")</f>
        <v>#NAME?</v>
      </c>
    </row>
    <row r="3073" spans="2:9" s="126" customFormat="1" ht="15" customHeight="1" x14ac:dyDescent="0.25">
      <c r="B3073" s="271" t="s">
        <v>322</v>
      </c>
      <c r="C3073" s="272" t="s">
        <v>321</v>
      </c>
      <c r="D3073" s="275" t="s">
        <v>216</v>
      </c>
      <c r="E3073" s="275">
        <v>41696.52449074074</v>
      </c>
      <c r="F3073" s="276">
        <v>6</v>
      </c>
      <c r="G3073" s="243">
        <f t="shared" si="48"/>
        <v>126</v>
      </c>
      <c r="H3073" s="244"/>
      <c r="I3073" s="71" t="e">
        <f>IF(COUNTIF((rName rData),H3073),"","Name Error!")</f>
        <v>#NAME?</v>
      </c>
    </row>
    <row r="3074" spans="2:9" s="126" customFormat="1" ht="15" customHeight="1" x14ac:dyDescent="0.25">
      <c r="B3074" s="271" t="s">
        <v>267</v>
      </c>
      <c r="C3074" s="272" t="s">
        <v>268</v>
      </c>
      <c r="D3074" s="275" t="s">
        <v>216</v>
      </c>
      <c r="E3074" s="275">
        <v>41696.606712962966</v>
      </c>
      <c r="F3074" s="276">
        <v>1</v>
      </c>
      <c r="G3074" s="243">
        <f t="shared" si="48"/>
        <v>126</v>
      </c>
      <c r="H3074" s="244"/>
      <c r="I3074" s="71" t="e">
        <f>IF(COUNTIF((rName rData),H3074),"","Name Error!")</f>
        <v>#NAME?</v>
      </c>
    </row>
    <row r="3075" spans="2:9" s="126" customFormat="1" ht="15" customHeight="1" x14ac:dyDescent="0.25">
      <c r="B3075" s="271" t="s">
        <v>352</v>
      </c>
      <c r="C3075" s="272" t="s">
        <v>351</v>
      </c>
      <c r="D3075" s="275" t="s">
        <v>216</v>
      </c>
      <c r="E3075" s="275">
        <v>41696.777187500003</v>
      </c>
      <c r="F3075" s="276">
        <v>2</v>
      </c>
      <c r="G3075" s="243">
        <f t="shared" si="48"/>
        <v>126</v>
      </c>
      <c r="H3075" s="244"/>
      <c r="I3075" s="71" t="e">
        <f>IF(COUNTIF((rName rData),H3075),"","Name Error!")</f>
        <v>#NAME?</v>
      </c>
    </row>
    <row r="3076" spans="2:9" s="126" customFormat="1" ht="15" customHeight="1" x14ac:dyDescent="0.25">
      <c r="B3076" s="271" t="s">
        <v>350</v>
      </c>
      <c r="C3076" s="272" t="s">
        <v>349</v>
      </c>
      <c r="D3076" s="275" t="s">
        <v>216</v>
      </c>
      <c r="E3076" s="275">
        <v>41696.795648148145</v>
      </c>
      <c r="F3076" s="276">
        <v>1</v>
      </c>
      <c r="G3076" s="243">
        <f t="shared" si="48"/>
        <v>126</v>
      </c>
      <c r="H3076" s="244"/>
      <c r="I3076" s="71" t="e">
        <f>IF(COUNTIF((rName rData),H3076),"","Name Error!")</f>
        <v>#NAME?</v>
      </c>
    </row>
    <row r="3077" spans="2:9" s="126" customFormat="1" ht="15" customHeight="1" x14ac:dyDescent="0.25">
      <c r="B3077" s="271" t="s">
        <v>371</v>
      </c>
      <c r="C3077" s="272" t="s">
        <v>370</v>
      </c>
      <c r="D3077" s="275" t="s">
        <v>216</v>
      </c>
      <c r="E3077" s="275">
        <v>41696.796006944445</v>
      </c>
      <c r="F3077" s="276">
        <v>1</v>
      </c>
      <c r="G3077" s="243">
        <f t="shared" si="48"/>
        <v>126</v>
      </c>
      <c r="H3077" s="244"/>
      <c r="I3077" s="71" t="e">
        <f>IF(COUNTIF((rName rData),H3077),"","Name Error!")</f>
        <v>#NAME?</v>
      </c>
    </row>
    <row r="3078" spans="2:9" s="126" customFormat="1" ht="15" customHeight="1" x14ac:dyDescent="0.25">
      <c r="B3078" s="271" t="s">
        <v>362</v>
      </c>
      <c r="C3078" s="272" t="s">
        <v>361</v>
      </c>
      <c r="D3078" s="275" t="s">
        <v>216</v>
      </c>
      <c r="E3078" s="275">
        <v>41696.842638888891</v>
      </c>
      <c r="F3078" s="276">
        <v>1</v>
      </c>
      <c r="G3078" s="243">
        <f t="shared" si="48"/>
        <v>126</v>
      </c>
      <c r="H3078" s="244"/>
      <c r="I3078" s="71" t="e">
        <f>IF(COUNTIF((rName rData),H3078),"","Name Error!")</f>
        <v>#NAME?</v>
      </c>
    </row>
    <row r="3079" spans="2:9" s="126" customFormat="1" ht="15" customHeight="1" x14ac:dyDescent="0.25">
      <c r="B3079" s="271" t="s">
        <v>356</v>
      </c>
      <c r="C3079" s="272" t="s">
        <v>355</v>
      </c>
      <c r="D3079" s="275" t="s">
        <v>216</v>
      </c>
      <c r="E3079" s="275">
        <v>41696.864479166667</v>
      </c>
      <c r="F3079" s="276">
        <v>2</v>
      </c>
      <c r="G3079" s="243">
        <f t="shared" si="48"/>
        <v>126</v>
      </c>
      <c r="H3079" s="244"/>
      <c r="I3079" s="71" t="e">
        <f>IF(COUNTIF((rName rData),H3079),"","Name Error!")</f>
        <v>#NAME?</v>
      </c>
    </row>
    <row r="3080" spans="2:9" s="126" customFormat="1" ht="15" customHeight="1" x14ac:dyDescent="0.25">
      <c r="B3080" s="271" t="s">
        <v>345</v>
      </c>
      <c r="C3080" s="272" t="s">
        <v>344</v>
      </c>
      <c r="D3080" s="275" t="s">
        <v>216</v>
      </c>
      <c r="E3080" s="275">
        <v>41696.936203703706</v>
      </c>
      <c r="F3080" s="276">
        <v>1</v>
      </c>
      <c r="G3080" s="243">
        <f t="shared" si="48"/>
        <v>126</v>
      </c>
      <c r="H3080" s="244"/>
      <c r="I3080" s="71" t="e">
        <f>IF(COUNTIF((rName rData),H3080),"","Name Error!")</f>
        <v>#NAME?</v>
      </c>
    </row>
    <row r="3081" spans="2:9" s="126" customFormat="1" ht="15" customHeight="1" x14ac:dyDescent="0.25">
      <c r="B3081" s="271" t="s">
        <v>365</v>
      </c>
      <c r="C3081" s="272" t="s">
        <v>364</v>
      </c>
      <c r="D3081" s="275" t="s">
        <v>216</v>
      </c>
      <c r="E3081" s="275">
        <v>41697.010115740741</v>
      </c>
      <c r="F3081" s="276">
        <v>1</v>
      </c>
      <c r="G3081" s="243">
        <f t="shared" si="48"/>
        <v>126</v>
      </c>
      <c r="H3081" s="244"/>
      <c r="I3081" s="71" t="e">
        <f>IF(COUNTIF((rName rData),H3081),"","Name Error!")</f>
        <v>#NAME?</v>
      </c>
    </row>
    <row r="3082" spans="2:9" s="126" customFormat="1" ht="15" customHeight="1" x14ac:dyDescent="0.25">
      <c r="B3082" s="271" t="s">
        <v>333</v>
      </c>
      <c r="C3082" s="272" t="s">
        <v>332</v>
      </c>
      <c r="D3082" s="275" t="s">
        <v>216</v>
      </c>
      <c r="E3082" s="275">
        <v>41697.033761574072</v>
      </c>
      <c r="F3082" s="276">
        <v>1</v>
      </c>
      <c r="G3082" s="243">
        <f t="shared" ref="G3082:G3145" si="49">TRUNC((E3082-start)/7)+1</f>
        <v>126</v>
      </c>
      <c r="H3082" s="244"/>
      <c r="I3082" s="71" t="e">
        <f>IF(COUNTIF((rName rData),H3082),"","Name Error!")</f>
        <v>#NAME?</v>
      </c>
    </row>
    <row r="3083" spans="2:9" s="126" customFormat="1" ht="15" customHeight="1" x14ac:dyDescent="0.25">
      <c r="B3083" s="271" t="s">
        <v>339</v>
      </c>
      <c r="C3083" s="272" t="s">
        <v>338</v>
      </c>
      <c r="D3083" s="275" t="s">
        <v>216</v>
      </c>
      <c r="E3083" s="275">
        <v>41697.095914351848</v>
      </c>
      <c r="F3083" s="276">
        <v>3</v>
      </c>
      <c r="G3083" s="243">
        <f t="shared" si="49"/>
        <v>126</v>
      </c>
      <c r="H3083" s="244"/>
      <c r="I3083" s="71" t="e">
        <f>IF(COUNTIF((rName rData),H3083),"","Name Error!")</f>
        <v>#NAME?</v>
      </c>
    </row>
    <row r="3084" spans="2:9" s="126" customFormat="1" ht="15" customHeight="1" x14ac:dyDescent="0.25">
      <c r="B3084" s="271" t="s">
        <v>371</v>
      </c>
      <c r="C3084" s="272" t="s">
        <v>370</v>
      </c>
      <c r="D3084" s="275" t="s">
        <v>216</v>
      </c>
      <c r="E3084" s="275">
        <v>41697.252187500002</v>
      </c>
      <c r="F3084" s="276">
        <v>1</v>
      </c>
      <c r="G3084" s="243">
        <f t="shared" si="49"/>
        <v>126</v>
      </c>
      <c r="H3084" s="244"/>
      <c r="I3084" s="71" t="e">
        <f>IF(COUNTIF((rName rData),H3084),"","Name Error!")</f>
        <v>#NAME?</v>
      </c>
    </row>
    <row r="3085" spans="2:9" s="126" customFormat="1" ht="15" customHeight="1" x14ac:dyDescent="0.25">
      <c r="B3085" s="271" t="s">
        <v>358</v>
      </c>
      <c r="C3085" s="272" t="s">
        <v>357</v>
      </c>
      <c r="D3085" s="275" t="s">
        <v>216</v>
      </c>
      <c r="E3085" s="275">
        <v>41697.413078703707</v>
      </c>
      <c r="F3085" s="276">
        <v>5</v>
      </c>
      <c r="G3085" s="243">
        <f t="shared" si="49"/>
        <v>126</v>
      </c>
      <c r="H3085" s="244"/>
      <c r="I3085" s="71" t="e">
        <f>IF(COUNTIF((rName rData),H3085),"","Name Error!")</f>
        <v>#NAME?</v>
      </c>
    </row>
    <row r="3086" spans="2:9" s="126" customFormat="1" ht="15" customHeight="1" x14ac:dyDescent="0.25">
      <c r="B3086" s="271" t="s">
        <v>356</v>
      </c>
      <c r="C3086" s="272" t="s">
        <v>355</v>
      </c>
      <c r="D3086" s="275" t="s">
        <v>216</v>
      </c>
      <c r="E3086" s="275">
        <v>41697.415520833332</v>
      </c>
      <c r="F3086" s="276">
        <v>4</v>
      </c>
      <c r="G3086" s="243">
        <f t="shared" si="49"/>
        <v>126</v>
      </c>
      <c r="H3086" s="244"/>
      <c r="I3086" s="71" t="e">
        <f>IF(COUNTIF((rName rData),H3086),"","Name Error!")</f>
        <v>#NAME?</v>
      </c>
    </row>
    <row r="3087" spans="2:9" s="126" customFormat="1" ht="15" customHeight="1" x14ac:dyDescent="0.25">
      <c r="B3087" s="271" t="s">
        <v>354</v>
      </c>
      <c r="C3087" s="272" t="s">
        <v>353</v>
      </c>
      <c r="D3087" s="275" t="s">
        <v>216</v>
      </c>
      <c r="E3087" s="275">
        <v>41697.442256944443</v>
      </c>
      <c r="F3087" s="276">
        <v>3</v>
      </c>
      <c r="G3087" s="243">
        <f t="shared" si="49"/>
        <v>126</v>
      </c>
      <c r="H3087" s="244"/>
      <c r="I3087" s="71" t="e">
        <f>IF(COUNTIF((rName rData),H3087),"","Name Error!")</f>
        <v>#NAME?</v>
      </c>
    </row>
    <row r="3088" spans="2:9" s="126" customFormat="1" ht="15" customHeight="1" x14ac:dyDescent="0.25">
      <c r="B3088" s="271" t="s">
        <v>362</v>
      </c>
      <c r="C3088" s="272" t="s">
        <v>361</v>
      </c>
      <c r="D3088" s="275" t="s">
        <v>216</v>
      </c>
      <c r="E3088" s="275">
        <v>41697.531805555554</v>
      </c>
      <c r="F3088" s="276">
        <v>1</v>
      </c>
      <c r="G3088" s="243">
        <f t="shared" si="49"/>
        <v>126</v>
      </c>
      <c r="H3088" s="244"/>
      <c r="I3088" s="71" t="e">
        <f>IF(COUNTIF((rName rData),H3088),"","Name Error!")</f>
        <v>#NAME?</v>
      </c>
    </row>
    <row r="3089" spans="2:9" s="126" customFormat="1" ht="15" customHeight="1" x14ac:dyDescent="0.25">
      <c r="B3089" s="271" t="s">
        <v>322</v>
      </c>
      <c r="C3089" s="272" t="s">
        <v>321</v>
      </c>
      <c r="D3089" s="275" t="s">
        <v>216</v>
      </c>
      <c r="E3089" s="275">
        <v>41697.770578703705</v>
      </c>
      <c r="F3089" s="276">
        <v>1</v>
      </c>
      <c r="G3089" s="243">
        <f t="shared" si="49"/>
        <v>126</v>
      </c>
      <c r="H3089" s="244"/>
      <c r="I3089" s="71" t="e">
        <f>IF(COUNTIF((rName rData),H3089),"","Name Error!")</f>
        <v>#NAME?</v>
      </c>
    </row>
    <row r="3090" spans="2:9" s="126" customFormat="1" ht="15" customHeight="1" x14ac:dyDescent="0.25">
      <c r="B3090" s="271" t="s">
        <v>352</v>
      </c>
      <c r="C3090" s="272" t="s">
        <v>351</v>
      </c>
      <c r="D3090" s="275" t="s">
        <v>216</v>
      </c>
      <c r="E3090" s="275">
        <v>41697.800937499997</v>
      </c>
      <c r="F3090" s="276">
        <v>3</v>
      </c>
      <c r="G3090" s="243">
        <f t="shared" si="49"/>
        <v>126</v>
      </c>
      <c r="H3090" s="244"/>
      <c r="I3090" s="71" t="e">
        <f>IF(COUNTIF((rName rData),H3090),"","Name Error!")</f>
        <v>#NAME?</v>
      </c>
    </row>
    <row r="3091" spans="2:9" s="126" customFormat="1" ht="15" customHeight="1" x14ac:dyDescent="0.25">
      <c r="B3091" s="271" t="s">
        <v>341</v>
      </c>
      <c r="C3091" s="272" t="s">
        <v>340</v>
      </c>
      <c r="D3091" s="275" t="s">
        <v>216</v>
      </c>
      <c r="E3091" s="275">
        <v>41697.803715277776</v>
      </c>
      <c r="F3091" s="276">
        <v>1</v>
      </c>
      <c r="G3091" s="243">
        <f t="shared" si="49"/>
        <v>126</v>
      </c>
      <c r="H3091" s="244"/>
      <c r="I3091" s="71" t="e">
        <f>IF(COUNTIF((rName rData),H3091),"","Name Error!")</f>
        <v>#NAME?</v>
      </c>
    </row>
    <row r="3092" spans="2:9" s="126" customFormat="1" ht="15" customHeight="1" x14ac:dyDescent="0.25">
      <c r="B3092" s="271" t="s">
        <v>345</v>
      </c>
      <c r="C3092" s="272" t="s">
        <v>344</v>
      </c>
      <c r="D3092" s="275" t="s">
        <v>216</v>
      </c>
      <c r="E3092" s="275">
        <v>41697.818993055553</v>
      </c>
      <c r="F3092" s="276">
        <v>1</v>
      </c>
      <c r="G3092" s="243">
        <f t="shared" si="49"/>
        <v>126</v>
      </c>
      <c r="H3092" s="244"/>
      <c r="I3092" s="71" t="e">
        <f>IF(COUNTIF((rName rData),H3092),"","Name Error!")</f>
        <v>#NAME?</v>
      </c>
    </row>
    <row r="3093" spans="2:9" s="126" customFormat="1" ht="15" customHeight="1" x14ac:dyDescent="0.25">
      <c r="B3093" s="271" t="s">
        <v>335</v>
      </c>
      <c r="C3093" s="272" t="s">
        <v>334</v>
      </c>
      <c r="D3093" s="275" t="s">
        <v>216</v>
      </c>
      <c r="E3093" s="275">
        <v>41697.860925925925</v>
      </c>
      <c r="F3093" s="276">
        <v>3</v>
      </c>
      <c r="G3093" s="243">
        <f t="shared" si="49"/>
        <v>126</v>
      </c>
      <c r="H3093" s="244"/>
      <c r="I3093" s="71" t="e">
        <f>IF(COUNTIF((rName rData),H3093),"","Name Error!")</f>
        <v>#NAME?</v>
      </c>
    </row>
    <row r="3094" spans="2:9" s="126" customFormat="1" ht="15" customHeight="1" x14ac:dyDescent="0.25">
      <c r="B3094" s="271" t="s">
        <v>333</v>
      </c>
      <c r="C3094" s="272" t="s">
        <v>332</v>
      </c>
      <c r="D3094" s="275" t="s">
        <v>216</v>
      </c>
      <c r="E3094" s="275">
        <v>41698.01935185185</v>
      </c>
      <c r="F3094" s="276">
        <v>1</v>
      </c>
      <c r="G3094" s="243">
        <f t="shared" si="49"/>
        <v>126</v>
      </c>
      <c r="H3094" s="244"/>
      <c r="I3094" s="71" t="e">
        <f>IF(COUNTIF((rName rData),H3094),"","Name Error!")</f>
        <v>#NAME?</v>
      </c>
    </row>
    <row r="3095" spans="2:9" s="126" customFormat="1" ht="15" customHeight="1" x14ac:dyDescent="0.25">
      <c r="B3095" s="271" t="s">
        <v>331</v>
      </c>
      <c r="C3095" s="272" t="s">
        <v>330</v>
      </c>
      <c r="D3095" s="275" t="s">
        <v>216</v>
      </c>
      <c r="E3095" s="275">
        <v>41698.029872685183</v>
      </c>
      <c r="F3095" s="276">
        <v>2</v>
      </c>
      <c r="G3095" s="243">
        <f t="shared" si="49"/>
        <v>126</v>
      </c>
      <c r="H3095" s="244"/>
      <c r="I3095" s="71" t="e">
        <f>IF(COUNTIF((rName rData),H3095),"","Name Error!")</f>
        <v>#NAME?</v>
      </c>
    </row>
    <row r="3096" spans="2:9" s="126" customFormat="1" ht="15" customHeight="1" x14ac:dyDescent="0.25">
      <c r="B3096" s="271" t="s">
        <v>356</v>
      </c>
      <c r="C3096" s="272" t="s">
        <v>355</v>
      </c>
      <c r="D3096" s="275" t="s">
        <v>216</v>
      </c>
      <c r="E3096" s="275">
        <v>41698.079386574071</v>
      </c>
      <c r="F3096" s="276">
        <v>11</v>
      </c>
      <c r="G3096" s="243">
        <f t="shared" si="49"/>
        <v>126</v>
      </c>
      <c r="H3096" s="244"/>
      <c r="I3096" s="71" t="e">
        <f>IF(COUNTIF((rName rData),H3096),"","Name Error!")</f>
        <v>#NAME?</v>
      </c>
    </row>
    <row r="3097" spans="2:9" s="126" customFormat="1" ht="15" customHeight="1" x14ac:dyDescent="0.25">
      <c r="B3097" s="271" t="s">
        <v>352</v>
      </c>
      <c r="C3097" s="272" t="s">
        <v>351</v>
      </c>
      <c r="D3097" s="275" t="s">
        <v>216</v>
      </c>
      <c r="E3097" s="275">
        <v>41698.309930555559</v>
      </c>
      <c r="F3097" s="276">
        <v>3</v>
      </c>
      <c r="G3097" s="243">
        <f t="shared" si="49"/>
        <v>126</v>
      </c>
      <c r="H3097" s="244"/>
      <c r="I3097" s="71" t="e">
        <f>IF(COUNTIF((rName rData),H3097),"","Name Error!")</f>
        <v>#NAME?</v>
      </c>
    </row>
    <row r="3098" spans="2:9" s="126" customFormat="1" ht="15" customHeight="1" x14ac:dyDescent="0.25">
      <c r="B3098" s="271" t="s">
        <v>358</v>
      </c>
      <c r="C3098" s="272" t="s">
        <v>357</v>
      </c>
      <c r="D3098" s="275" t="s">
        <v>216</v>
      </c>
      <c r="E3098" s="275">
        <v>41698.435925925929</v>
      </c>
      <c r="F3098" s="276">
        <v>3</v>
      </c>
      <c r="G3098" s="243">
        <f t="shared" si="49"/>
        <v>126</v>
      </c>
      <c r="H3098" s="244"/>
      <c r="I3098" s="71" t="e">
        <f>IF(COUNTIF((rName rData),H3098),"","Name Error!")</f>
        <v>#NAME?</v>
      </c>
    </row>
    <row r="3099" spans="2:9" s="126" customFormat="1" ht="15" customHeight="1" x14ac:dyDescent="0.25">
      <c r="B3099" s="271" t="s">
        <v>345</v>
      </c>
      <c r="C3099" s="272" t="s">
        <v>344</v>
      </c>
      <c r="D3099" s="275" t="s">
        <v>216</v>
      </c>
      <c r="E3099" s="275">
        <v>41698.511701388888</v>
      </c>
      <c r="F3099" s="276">
        <v>4</v>
      </c>
      <c r="G3099" s="243">
        <f t="shared" si="49"/>
        <v>126</v>
      </c>
      <c r="H3099" s="244"/>
      <c r="I3099" s="71" t="e">
        <f>IF(COUNTIF((rName rData),H3099),"","Name Error!")</f>
        <v>#NAME?</v>
      </c>
    </row>
    <row r="3100" spans="2:9" s="126" customFormat="1" ht="15" customHeight="1" x14ac:dyDescent="0.25">
      <c r="B3100" s="271" t="s">
        <v>350</v>
      </c>
      <c r="C3100" s="272" t="s">
        <v>349</v>
      </c>
      <c r="D3100" s="275" t="s">
        <v>216</v>
      </c>
      <c r="E3100" s="275">
        <v>41698.52753472222</v>
      </c>
      <c r="F3100" s="276">
        <v>5</v>
      </c>
      <c r="G3100" s="243">
        <f t="shared" si="49"/>
        <v>126</v>
      </c>
      <c r="H3100" s="244"/>
      <c r="I3100" s="71" t="e">
        <f>IF(COUNTIF((rName rData),H3100),"","Name Error!")</f>
        <v>#NAME?</v>
      </c>
    </row>
    <row r="3101" spans="2:9" s="126" customFormat="1" ht="15" customHeight="1" x14ac:dyDescent="0.25">
      <c r="B3101" s="271" t="s">
        <v>354</v>
      </c>
      <c r="C3101" s="272" t="s">
        <v>353</v>
      </c>
      <c r="D3101" s="275" t="s">
        <v>216</v>
      </c>
      <c r="E3101" s="275">
        <v>41698.580949074072</v>
      </c>
      <c r="F3101" s="276">
        <v>4</v>
      </c>
      <c r="G3101" s="243">
        <f t="shared" si="49"/>
        <v>126</v>
      </c>
      <c r="H3101" s="244"/>
      <c r="I3101" s="71" t="e">
        <f>IF(COUNTIF((rName rData),H3101),"","Name Error!")</f>
        <v>#NAME?</v>
      </c>
    </row>
    <row r="3102" spans="2:9" s="126" customFormat="1" ht="15" customHeight="1" x14ac:dyDescent="0.25">
      <c r="B3102" s="271" t="s">
        <v>322</v>
      </c>
      <c r="C3102" s="272" t="s">
        <v>321</v>
      </c>
      <c r="D3102" s="275" t="s">
        <v>216</v>
      </c>
      <c r="E3102" s="275">
        <v>41698.620150462964</v>
      </c>
      <c r="F3102" s="276">
        <v>5</v>
      </c>
      <c r="G3102" s="243">
        <f t="shared" si="49"/>
        <v>126</v>
      </c>
      <c r="H3102" s="244"/>
      <c r="I3102" s="71" t="e">
        <f>IF(COUNTIF((rName rData),H3102),"","Name Error!")</f>
        <v>#NAME?</v>
      </c>
    </row>
    <row r="3103" spans="2:9" s="126" customFormat="1" ht="15" customHeight="1" x14ac:dyDescent="0.25">
      <c r="B3103" s="271" t="s">
        <v>362</v>
      </c>
      <c r="C3103" s="272" t="s">
        <v>361</v>
      </c>
      <c r="D3103" s="275" t="s">
        <v>216</v>
      </c>
      <c r="E3103" s="275">
        <v>41698.653981481482</v>
      </c>
      <c r="F3103" s="276">
        <v>4</v>
      </c>
      <c r="G3103" s="243">
        <f t="shared" si="49"/>
        <v>126</v>
      </c>
      <c r="H3103" s="244"/>
      <c r="I3103" s="71" t="e">
        <f>IF(COUNTIF((rName rData),H3103),"","Name Error!")</f>
        <v>#NAME?</v>
      </c>
    </row>
    <row r="3104" spans="2:9" s="126" customFormat="1" ht="15" customHeight="1" x14ac:dyDescent="0.25">
      <c r="B3104" s="271" t="s">
        <v>371</v>
      </c>
      <c r="C3104" s="272" t="s">
        <v>370</v>
      </c>
      <c r="D3104" s="275" t="s">
        <v>216</v>
      </c>
      <c r="E3104" s="275">
        <v>41698.715578703705</v>
      </c>
      <c r="F3104" s="276">
        <v>5</v>
      </c>
      <c r="G3104" s="243">
        <f t="shared" si="49"/>
        <v>126</v>
      </c>
      <c r="H3104" s="244"/>
      <c r="I3104" s="71" t="e">
        <f>IF(COUNTIF((rName rData),H3104),"","Name Error!")</f>
        <v>#NAME?</v>
      </c>
    </row>
    <row r="3105" spans="2:9" s="126" customFormat="1" ht="15" customHeight="1" x14ac:dyDescent="0.25">
      <c r="B3105" s="271" t="s">
        <v>335</v>
      </c>
      <c r="C3105" s="272" t="s">
        <v>334</v>
      </c>
      <c r="D3105" s="275" t="s">
        <v>216</v>
      </c>
      <c r="E3105" s="275">
        <v>41698.785891203705</v>
      </c>
      <c r="F3105" s="276">
        <v>4</v>
      </c>
      <c r="G3105" s="243">
        <f t="shared" si="49"/>
        <v>126</v>
      </c>
      <c r="H3105" s="244"/>
      <c r="I3105" s="71" t="e">
        <f>IF(COUNTIF((rName rData),H3105),"","Name Error!")</f>
        <v>#NAME?</v>
      </c>
    </row>
    <row r="3106" spans="2:9" s="126" customFormat="1" ht="15" customHeight="1" x14ac:dyDescent="0.25">
      <c r="B3106" s="271" t="s">
        <v>341</v>
      </c>
      <c r="C3106" s="272" t="s">
        <v>340</v>
      </c>
      <c r="D3106" s="275" t="s">
        <v>216</v>
      </c>
      <c r="E3106" s="275">
        <v>41698.808483796296</v>
      </c>
      <c r="F3106" s="276">
        <v>2</v>
      </c>
      <c r="G3106" s="243">
        <f t="shared" si="49"/>
        <v>126</v>
      </c>
      <c r="H3106" s="244"/>
      <c r="I3106" s="71" t="e">
        <f>IF(COUNTIF((rName rData),H3106),"","Name Error!")</f>
        <v>#NAME?</v>
      </c>
    </row>
    <row r="3107" spans="2:9" s="126" customFormat="1" ht="15" customHeight="1" x14ac:dyDescent="0.25">
      <c r="B3107" s="271" t="s">
        <v>339</v>
      </c>
      <c r="C3107" s="272" t="s">
        <v>338</v>
      </c>
      <c r="D3107" s="275" t="s">
        <v>216</v>
      </c>
      <c r="E3107" s="275">
        <v>41698.828402777777</v>
      </c>
      <c r="F3107" s="276">
        <v>1</v>
      </c>
      <c r="G3107" s="243">
        <f t="shared" si="49"/>
        <v>126</v>
      </c>
      <c r="H3107" s="244"/>
      <c r="I3107" s="71" t="e">
        <f>IF(COUNTIF((rName rData),H3107),"","Name Error!")</f>
        <v>#NAME?</v>
      </c>
    </row>
    <row r="3108" spans="2:9" s="126" customFormat="1" ht="15" customHeight="1" x14ac:dyDescent="0.25">
      <c r="B3108" s="271" t="s">
        <v>365</v>
      </c>
      <c r="C3108" s="272" t="s">
        <v>364</v>
      </c>
      <c r="D3108" s="275" t="s">
        <v>216</v>
      </c>
      <c r="E3108" s="275">
        <v>41698.834467592591</v>
      </c>
      <c r="F3108" s="276">
        <v>1</v>
      </c>
      <c r="G3108" s="243">
        <f t="shared" si="49"/>
        <v>126</v>
      </c>
      <c r="H3108" s="244"/>
      <c r="I3108" s="71" t="e">
        <f>IF(COUNTIF((rName rData),H3108),"","Name Error!")</f>
        <v>#NAME?</v>
      </c>
    </row>
    <row r="3109" spans="2:9" s="126" customFormat="1" ht="15" customHeight="1" x14ac:dyDescent="0.25">
      <c r="B3109" s="271" t="s">
        <v>328</v>
      </c>
      <c r="C3109" s="272" t="s">
        <v>327</v>
      </c>
      <c r="D3109" s="275" t="s">
        <v>216</v>
      </c>
      <c r="E3109" s="275">
        <v>41698.866944444446</v>
      </c>
      <c r="F3109" s="276">
        <v>2</v>
      </c>
      <c r="G3109" s="243">
        <f t="shared" si="49"/>
        <v>126</v>
      </c>
      <c r="H3109" s="244"/>
      <c r="I3109" s="71" t="e">
        <f>IF(COUNTIF((rName rData),H3109),"","Name Error!")</f>
        <v>#NAME?</v>
      </c>
    </row>
    <row r="3110" spans="2:9" s="126" customFormat="1" ht="15" customHeight="1" x14ac:dyDescent="0.25">
      <c r="B3110" s="271" t="s">
        <v>324</v>
      </c>
      <c r="C3110" s="272" t="s">
        <v>323</v>
      </c>
      <c r="D3110" s="275" t="s">
        <v>216</v>
      </c>
      <c r="E3110" s="275">
        <v>41698.955416666664</v>
      </c>
      <c r="F3110" s="276">
        <v>1</v>
      </c>
      <c r="G3110" s="243">
        <f t="shared" si="49"/>
        <v>126</v>
      </c>
      <c r="H3110" s="244"/>
      <c r="I3110" s="71" t="e">
        <f>IF(COUNTIF((rName rData),H3110),"","Name Error!")</f>
        <v>#NAME?</v>
      </c>
    </row>
    <row r="3111" spans="2:9" s="126" customFormat="1" ht="15" customHeight="1" x14ac:dyDescent="0.25">
      <c r="B3111" s="271" t="s">
        <v>328</v>
      </c>
      <c r="C3111" s="272" t="s">
        <v>327</v>
      </c>
      <c r="D3111" s="275" t="s">
        <v>216</v>
      </c>
      <c r="E3111" s="275">
        <v>41699.031423611108</v>
      </c>
      <c r="F3111" s="276">
        <v>1</v>
      </c>
      <c r="G3111" s="243">
        <f t="shared" si="49"/>
        <v>127</v>
      </c>
      <c r="H3111" s="244"/>
      <c r="I3111" s="71" t="e">
        <f>IF(COUNTIF((rName rData),H3111),"","Name Error!")</f>
        <v>#NAME?</v>
      </c>
    </row>
    <row r="3112" spans="2:9" s="126" customFormat="1" ht="15" customHeight="1" x14ac:dyDescent="0.25">
      <c r="B3112" s="271" t="s">
        <v>345</v>
      </c>
      <c r="C3112" s="272" t="s">
        <v>344</v>
      </c>
      <c r="D3112" s="275" t="s">
        <v>216</v>
      </c>
      <c r="E3112" s="275">
        <v>41699.272523148145</v>
      </c>
      <c r="F3112" s="276">
        <v>1</v>
      </c>
      <c r="G3112" s="243">
        <f t="shared" si="49"/>
        <v>127</v>
      </c>
      <c r="H3112" s="244"/>
      <c r="I3112" s="71" t="e">
        <f>IF(COUNTIF((rName rData),H3112),"","Name Error!")</f>
        <v>#NAME?</v>
      </c>
    </row>
    <row r="3113" spans="2:9" s="126" customFormat="1" ht="15" customHeight="1" x14ac:dyDescent="0.25">
      <c r="B3113" s="271" t="s">
        <v>371</v>
      </c>
      <c r="C3113" s="272" t="s">
        <v>370</v>
      </c>
      <c r="D3113" s="275" t="s">
        <v>216</v>
      </c>
      <c r="E3113" s="275">
        <v>41699.272800925923</v>
      </c>
      <c r="F3113" s="276">
        <v>2</v>
      </c>
      <c r="G3113" s="243">
        <f t="shared" si="49"/>
        <v>127</v>
      </c>
      <c r="H3113" s="244"/>
      <c r="I3113" s="71" t="e">
        <f>IF(COUNTIF((rName rData),H3113),"","Name Error!")</f>
        <v>#NAME?</v>
      </c>
    </row>
    <row r="3114" spans="2:9" s="126" customFormat="1" ht="15" customHeight="1" x14ac:dyDescent="0.25">
      <c r="B3114" s="271" t="s">
        <v>356</v>
      </c>
      <c r="C3114" s="272" t="s">
        <v>355</v>
      </c>
      <c r="D3114" s="275" t="s">
        <v>216</v>
      </c>
      <c r="E3114" s="275">
        <v>41699.280023148145</v>
      </c>
      <c r="F3114" s="276">
        <v>3</v>
      </c>
      <c r="G3114" s="243">
        <f t="shared" si="49"/>
        <v>127</v>
      </c>
      <c r="H3114" s="244"/>
      <c r="I3114" s="71" t="e">
        <f>IF(COUNTIF((rName rData),H3114),"","Name Error!")</f>
        <v>#NAME?</v>
      </c>
    </row>
    <row r="3115" spans="2:9" s="126" customFormat="1" ht="15" customHeight="1" x14ac:dyDescent="0.25">
      <c r="B3115" s="271" t="s">
        <v>358</v>
      </c>
      <c r="C3115" s="272" t="s">
        <v>357</v>
      </c>
      <c r="D3115" s="275" t="s">
        <v>216</v>
      </c>
      <c r="E3115" s="275">
        <v>41699.287928240738</v>
      </c>
      <c r="F3115" s="276">
        <v>3</v>
      </c>
      <c r="G3115" s="243">
        <f t="shared" si="49"/>
        <v>127</v>
      </c>
      <c r="H3115" s="244"/>
      <c r="I3115" s="71" t="e">
        <f>IF(COUNTIF((rName rData),H3115),"","Name Error!")</f>
        <v>#NAME?</v>
      </c>
    </row>
    <row r="3116" spans="2:9" s="126" customFormat="1" ht="15" customHeight="1" x14ac:dyDescent="0.25">
      <c r="B3116" s="271" t="s">
        <v>322</v>
      </c>
      <c r="C3116" s="272" t="s">
        <v>321</v>
      </c>
      <c r="D3116" s="275" t="s">
        <v>216</v>
      </c>
      <c r="E3116" s="275">
        <v>41699.351863425924</v>
      </c>
      <c r="F3116" s="276">
        <v>1</v>
      </c>
      <c r="G3116" s="243">
        <f t="shared" si="49"/>
        <v>127</v>
      </c>
      <c r="H3116" s="244"/>
      <c r="I3116" s="71" t="e">
        <f>IF(COUNTIF((rName rData),H3116),"","Name Error!")</f>
        <v>#NAME?</v>
      </c>
    </row>
    <row r="3117" spans="2:9" s="126" customFormat="1" ht="15" customHeight="1" x14ac:dyDescent="0.25">
      <c r="B3117" s="271" t="s">
        <v>335</v>
      </c>
      <c r="C3117" s="272" t="s">
        <v>334</v>
      </c>
      <c r="D3117" s="275" t="s">
        <v>216</v>
      </c>
      <c r="E3117" s="275">
        <v>41699.368923611109</v>
      </c>
      <c r="F3117" s="276">
        <v>1</v>
      </c>
      <c r="G3117" s="243">
        <f t="shared" si="49"/>
        <v>127</v>
      </c>
      <c r="H3117" s="244"/>
      <c r="I3117" s="71" t="e">
        <f>IF(COUNTIF((rName rData),H3117),"","Name Error!")</f>
        <v>#NAME?</v>
      </c>
    </row>
    <row r="3118" spans="2:9" s="126" customFormat="1" ht="15" customHeight="1" x14ac:dyDescent="0.25">
      <c r="B3118" s="271" t="s">
        <v>267</v>
      </c>
      <c r="C3118" s="272" t="s">
        <v>268</v>
      </c>
      <c r="D3118" s="275" t="s">
        <v>216</v>
      </c>
      <c r="E3118" s="275">
        <v>41699.424166666664</v>
      </c>
      <c r="F3118" s="276">
        <v>1</v>
      </c>
      <c r="G3118" s="243">
        <f t="shared" si="49"/>
        <v>127</v>
      </c>
      <c r="H3118" s="244"/>
      <c r="I3118" s="71" t="e">
        <f>IF(COUNTIF((rName rData),H3118),"","Name Error!")</f>
        <v>#NAME?</v>
      </c>
    </row>
    <row r="3119" spans="2:9" s="126" customFormat="1" ht="15" customHeight="1" x14ac:dyDescent="0.25">
      <c r="B3119" s="271" t="s">
        <v>333</v>
      </c>
      <c r="C3119" s="272" t="s">
        <v>332</v>
      </c>
      <c r="D3119" s="275" t="s">
        <v>216</v>
      </c>
      <c r="E3119" s="275">
        <v>41699.456087962964</v>
      </c>
      <c r="F3119" s="276">
        <v>1</v>
      </c>
      <c r="G3119" s="243">
        <f t="shared" si="49"/>
        <v>127</v>
      </c>
      <c r="H3119" s="244"/>
      <c r="I3119" s="71" t="e">
        <f>IF(COUNTIF((rName rData),H3119),"","Name Error!")</f>
        <v>#NAME?</v>
      </c>
    </row>
    <row r="3120" spans="2:9" s="126" customFormat="1" ht="15" customHeight="1" x14ac:dyDescent="0.25">
      <c r="B3120" s="271" t="s">
        <v>341</v>
      </c>
      <c r="C3120" s="272" t="s">
        <v>340</v>
      </c>
      <c r="D3120" s="275" t="s">
        <v>216</v>
      </c>
      <c r="E3120" s="275">
        <v>41699.53460648148</v>
      </c>
      <c r="F3120" s="276">
        <v>1</v>
      </c>
      <c r="G3120" s="243">
        <f t="shared" si="49"/>
        <v>127</v>
      </c>
      <c r="H3120" s="244"/>
      <c r="I3120" s="71" t="e">
        <f>IF(COUNTIF((rName rData),H3120),"","Name Error!")</f>
        <v>#NAME?</v>
      </c>
    </row>
    <row r="3121" spans="2:9" s="126" customFormat="1" ht="15" customHeight="1" x14ac:dyDescent="0.25">
      <c r="B3121" s="271" t="s">
        <v>362</v>
      </c>
      <c r="C3121" s="272" t="s">
        <v>361</v>
      </c>
      <c r="D3121" s="275" t="s">
        <v>216</v>
      </c>
      <c r="E3121" s="275">
        <v>41699.765752314815</v>
      </c>
      <c r="F3121" s="276">
        <v>1</v>
      </c>
      <c r="G3121" s="243">
        <f t="shared" si="49"/>
        <v>127</v>
      </c>
      <c r="H3121" s="244"/>
      <c r="I3121" s="71" t="e">
        <f>IF(COUNTIF((rName rData),H3121),"","Name Error!")</f>
        <v>#NAME?</v>
      </c>
    </row>
    <row r="3122" spans="2:9" s="126" customFormat="1" ht="15" customHeight="1" x14ac:dyDescent="0.25">
      <c r="B3122" s="271" t="s">
        <v>352</v>
      </c>
      <c r="C3122" s="272" t="s">
        <v>351</v>
      </c>
      <c r="D3122" s="275" t="s">
        <v>216</v>
      </c>
      <c r="E3122" s="275">
        <v>41699.814756944441</v>
      </c>
      <c r="F3122" s="276">
        <v>1</v>
      </c>
      <c r="G3122" s="243">
        <f t="shared" si="49"/>
        <v>127</v>
      </c>
      <c r="H3122" s="244"/>
      <c r="I3122" s="71" t="e">
        <f>IF(COUNTIF((rName rData),H3122),"","Name Error!")</f>
        <v>#NAME?</v>
      </c>
    </row>
    <row r="3123" spans="2:9" s="126" customFormat="1" ht="15" customHeight="1" x14ac:dyDescent="0.25">
      <c r="B3123" s="271" t="s">
        <v>352</v>
      </c>
      <c r="C3123" s="272" t="s">
        <v>351</v>
      </c>
      <c r="D3123" s="275" t="s">
        <v>216</v>
      </c>
      <c r="E3123" s="275">
        <v>41700.471122685187</v>
      </c>
      <c r="F3123" s="276">
        <v>2</v>
      </c>
      <c r="G3123" s="243">
        <f t="shared" si="49"/>
        <v>127</v>
      </c>
      <c r="H3123" s="244"/>
      <c r="I3123" s="71" t="e">
        <f>IF(COUNTIF((rName rData),H3123),"","Name Error!")</f>
        <v>#NAME?</v>
      </c>
    </row>
    <row r="3124" spans="2:9" s="126" customFormat="1" ht="15" customHeight="1" x14ac:dyDescent="0.25">
      <c r="B3124" s="271" t="s">
        <v>365</v>
      </c>
      <c r="C3124" s="272" t="s">
        <v>364</v>
      </c>
      <c r="D3124" s="275" t="s">
        <v>216</v>
      </c>
      <c r="E3124" s="275">
        <v>41700.623807870368</v>
      </c>
      <c r="F3124" s="276">
        <v>3</v>
      </c>
      <c r="G3124" s="243">
        <f t="shared" si="49"/>
        <v>127</v>
      </c>
      <c r="H3124" s="244"/>
      <c r="I3124" s="71" t="e">
        <f>IF(COUNTIF((rName rData),H3124),"","Name Error!")</f>
        <v>#NAME?</v>
      </c>
    </row>
    <row r="3125" spans="2:9" s="126" customFormat="1" ht="15" customHeight="1" x14ac:dyDescent="0.25">
      <c r="B3125" s="271" t="s">
        <v>331</v>
      </c>
      <c r="C3125" s="272" t="s">
        <v>330</v>
      </c>
      <c r="D3125" s="275" t="s">
        <v>216</v>
      </c>
      <c r="E3125" s="275">
        <v>41700.656689814816</v>
      </c>
      <c r="F3125" s="276">
        <v>1</v>
      </c>
      <c r="G3125" s="243">
        <f t="shared" si="49"/>
        <v>127</v>
      </c>
      <c r="H3125" s="244"/>
      <c r="I3125" s="71" t="e">
        <f>IF(COUNTIF((rName rData),H3125),"","Name Error!")</f>
        <v>#NAME?</v>
      </c>
    </row>
    <row r="3126" spans="2:9" s="126" customFormat="1" ht="15" customHeight="1" x14ac:dyDescent="0.25">
      <c r="B3126" s="271" t="s">
        <v>345</v>
      </c>
      <c r="C3126" s="272" t="s">
        <v>344</v>
      </c>
      <c r="D3126" s="275" t="s">
        <v>216</v>
      </c>
      <c r="E3126" s="275">
        <v>41700.673020833332</v>
      </c>
      <c r="F3126" s="276">
        <v>2</v>
      </c>
      <c r="G3126" s="243">
        <f t="shared" si="49"/>
        <v>127</v>
      </c>
      <c r="H3126" s="244"/>
      <c r="I3126" s="71" t="e">
        <f>IF(COUNTIF((rName rData),H3126),"","Name Error!")</f>
        <v>#NAME?</v>
      </c>
    </row>
    <row r="3127" spans="2:9" s="126" customFormat="1" ht="15" customHeight="1" x14ac:dyDescent="0.25">
      <c r="B3127" s="271" t="s">
        <v>350</v>
      </c>
      <c r="C3127" s="272" t="s">
        <v>349</v>
      </c>
      <c r="D3127" s="275" t="s">
        <v>216</v>
      </c>
      <c r="E3127" s="275">
        <v>41700.770578703705</v>
      </c>
      <c r="F3127" s="276">
        <v>1</v>
      </c>
      <c r="G3127" s="243">
        <f t="shared" si="49"/>
        <v>127</v>
      </c>
      <c r="H3127" s="244"/>
      <c r="I3127" s="71" t="e">
        <f>IF(COUNTIF((rName rData),H3127),"","Name Error!")</f>
        <v>#NAME?</v>
      </c>
    </row>
    <row r="3128" spans="2:9" s="126" customFormat="1" ht="15" customHeight="1" x14ac:dyDescent="0.25">
      <c r="B3128" s="271" t="s">
        <v>356</v>
      </c>
      <c r="C3128" s="272" t="s">
        <v>355</v>
      </c>
      <c r="D3128" s="275" t="s">
        <v>216</v>
      </c>
      <c r="E3128" s="275">
        <v>41700.777939814812</v>
      </c>
      <c r="F3128" s="276">
        <v>2</v>
      </c>
      <c r="G3128" s="243">
        <f t="shared" si="49"/>
        <v>127</v>
      </c>
      <c r="H3128" s="244"/>
      <c r="I3128" s="71" t="e">
        <f>IF(COUNTIF((rName rData),H3128),"","Name Error!")</f>
        <v>#NAME?</v>
      </c>
    </row>
    <row r="3129" spans="2:9" s="126" customFormat="1" ht="15" customHeight="1" x14ac:dyDescent="0.25">
      <c r="B3129" s="271" t="s">
        <v>354</v>
      </c>
      <c r="C3129" s="272" t="s">
        <v>353</v>
      </c>
      <c r="D3129" s="275" t="s">
        <v>216</v>
      </c>
      <c r="E3129" s="275">
        <v>41700.781099537038</v>
      </c>
      <c r="F3129" s="276">
        <v>1</v>
      </c>
      <c r="G3129" s="243">
        <f t="shared" si="49"/>
        <v>127</v>
      </c>
      <c r="H3129" s="244"/>
      <c r="I3129" s="71" t="e">
        <f>IF(COUNTIF((rName rData),H3129),"","Name Error!")</f>
        <v>#NAME?</v>
      </c>
    </row>
    <row r="3130" spans="2:9" s="126" customFormat="1" ht="15" customHeight="1" x14ac:dyDescent="0.25">
      <c r="B3130" s="271" t="s">
        <v>322</v>
      </c>
      <c r="C3130" s="272" t="s">
        <v>321</v>
      </c>
      <c r="D3130" s="275" t="s">
        <v>216</v>
      </c>
      <c r="E3130" s="275">
        <v>41701.527916666666</v>
      </c>
      <c r="F3130" s="276">
        <v>2</v>
      </c>
      <c r="G3130" s="243">
        <f t="shared" si="49"/>
        <v>127</v>
      </c>
      <c r="H3130" s="244"/>
      <c r="I3130" s="71" t="e">
        <f>IF(COUNTIF((rName rData),H3130),"","Name Error!")</f>
        <v>#NAME?</v>
      </c>
    </row>
    <row r="3131" spans="2:9" s="126" customFormat="1" ht="15" customHeight="1" x14ac:dyDescent="0.25">
      <c r="B3131" s="271" t="s">
        <v>341</v>
      </c>
      <c r="C3131" s="272" t="s">
        <v>340</v>
      </c>
      <c r="D3131" s="275" t="s">
        <v>216</v>
      </c>
      <c r="E3131" s="275">
        <v>41701.895069444443</v>
      </c>
      <c r="F3131" s="276">
        <v>1</v>
      </c>
      <c r="G3131" s="243">
        <f t="shared" si="49"/>
        <v>127</v>
      </c>
      <c r="H3131" s="244"/>
      <c r="I3131" s="71" t="e">
        <f>IF(COUNTIF((rName rData),H3131),"","Name Error!")</f>
        <v>#NAME?</v>
      </c>
    </row>
    <row r="3132" spans="2:9" s="126" customFormat="1" ht="15" customHeight="1" x14ac:dyDescent="0.25">
      <c r="B3132" s="271" t="s">
        <v>371</v>
      </c>
      <c r="C3132" s="272" t="s">
        <v>370</v>
      </c>
      <c r="D3132" s="275" t="s">
        <v>216</v>
      </c>
      <c r="E3132" s="275">
        <v>41702.467835648145</v>
      </c>
      <c r="F3132" s="276">
        <v>1</v>
      </c>
      <c r="G3132" s="243">
        <f t="shared" si="49"/>
        <v>127</v>
      </c>
      <c r="H3132" s="244"/>
      <c r="I3132" s="71" t="e">
        <f>IF(COUNTIF((rName rData),H3132),"","Name Error!")</f>
        <v>#NAME?</v>
      </c>
    </row>
    <row r="3133" spans="2:9" s="126" customFormat="1" ht="15" customHeight="1" x14ac:dyDescent="0.25">
      <c r="B3133" s="271" t="s">
        <v>358</v>
      </c>
      <c r="C3133" s="272" t="s">
        <v>357</v>
      </c>
      <c r="D3133" s="275" t="s">
        <v>216</v>
      </c>
      <c r="E3133" s="275">
        <v>41702.473495370374</v>
      </c>
      <c r="F3133" s="276">
        <v>2</v>
      </c>
      <c r="G3133" s="243">
        <f t="shared" si="49"/>
        <v>127</v>
      </c>
      <c r="H3133" s="244"/>
      <c r="I3133" s="71" t="e">
        <f>IF(COUNTIF((rName rData),H3133),"","Name Error!")</f>
        <v>#NAME?</v>
      </c>
    </row>
    <row r="3134" spans="2:9" s="126" customFormat="1" ht="15" customHeight="1" x14ac:dyDescent="0.25">
      <c r="B3134" s="271" t="s">
        <v>362</v>
      </c>
      <c r="C3134" s="272" t="s">
        <v>361</v>
      </c>
      <c r="D3134" s="275" t="s">
        <v>216</v>
      </c>
      <c r="E3134" s="275">
        <v>41703.887395833335</v>
      </c>
      <c r="F3134" s="276">
        <v>1</v>
      </c>
      <c r="G3134" s="243">
        <f t="shared" si="49"/>
        <v>127</v>
      </c>
      <c r="H3134" s="244"/>
      <c r="I3134" s="71" t="e">
        <f>IF(COUNTIF((rName rData),H3134),"","Name Error!")</f>
        <v>#NAME?</v>
      </c>
    </row>
    <row r="3135" spans="2:9" s="126" customFormat="1" ht="15" customHeight="1" x14ac:dyDescent="0.25">
      <c r="B3135" s="271" t="s">
        <v>356</v>
      </c>
      <c r="C3135" s="272" t="s">
        <v>355</v>
      </c>
      <c r="D3135" s="275" t="s">
        <v>216</v>
      </c>
      <c r="E3135" s="275">
        <v>41704.405995370369</v>
      </c>
      <c r="F3135" s="276">
        <v>1</v>
      </c>
      <c r="G3135" s="243">
        <f t="shared" si="49"/>
        <v>127</v>
      </c>
      <c r="H3135" s="244"/>
      <c r="I3135" s="71" t="e">
        <f>IF(COUNTIF((rName rData),H3135),"","Name Error!")</f>
        <v>#NAME?</v>
      </c>
    </row>
    <row r="3136" spans="2:9" s="126" customFormat="1" ht="15" customHeight="1" x14ac:dyDescent="0.25">
      <c r="B3136" s="271" t="s">
        <v>333</v>
      </c>
      <c r="C3136" s="272" t="s">
        <v>332</v>
      </c>
      <c r="D3136" s="275" t="s">
        <v>216</v>
      </c>
      <c r="E3136" s="275">
        <v>41704.639745370368</v>
      </c>
      <c r="F3136" s="276">
        <v>1</v>
      </c>
      <c r="G3136" s="243">
        <f t="shared" si="49"/>
        <v>127</v>
      </c>
      <c r="H3136" s="244"/>
      <c r="I3136" s="71" t="e">
        <f>IF(COUNTIF((rName rData),H3136),"","Name Error!")</f>
        <v>#NAME?</v>
      </c>
    </row>
    <row r="3137" spans="2:9" s="126" customFormat="1" ht="15" customHeight="1" x14ac:dyDescent="0.25">
      <c r="B3137" s="271" t="s">
        <v>341</v>
      </c>
      <c r="C3137" s="272" t="s">
        <v>340</v>
      </c>
      <c r="D3137" s="275" t="s">
        <v>216</v>
      </c>
      <c r="E3137" s="275">
        <v>41704.864317129628</v>
      </c>
      <c r="F3137" s="276">
        <v>1</v>
      </c>
      <c r="G3137" s="243">
        <f t="shared" si="49"/>
        <v>127</v>
      </c>
      <c r="H3137" s="244"/>
      <c r="I3137" s="71" t="e">
        <f>IF(COUNTIF((rName rData),H3137),"","Name Error!")</f>
        <v>#NAME?</v>
      </c>
    </row>
    <row r="3138" spans="2:9" s="126" customFormat="1" ht="15" customHeight="1" x14ac:dyDescent="0.25">
      <c r="B3138" s="271" t="s">
        <v>331</v>
      </c>
      <c r="C3138" s="272" t="s">
        <v>330</v>
      </c>
      <c r="D3138" s="275" t="s">
        <v>216</v>
      </c>
      <c r="E3138" s="275">
        <v>41705.970960648148</v>
      </c>
      <c r="F3138" s="276">
        <v>1</v>
      </c>
      <c r="G3138" s="243">
        <f t="shared" si="49"/>
        <v>127</v>
      </c>
      <c r="H3138" s="244"/>
      <c r="I3138" s="71" t="e">
        <f>IF(COUNTIF((rName rData),H3138),"","Name Error!")</f>
        <v>#NAME?</v>
      </c>
    </row>
    <row r="3139" spans="2:9" s="126" customFormat="1" ht="15" customHeight="1" x14ac:dyDescent="0.25">
      <c r="B3139" s="271" t="s">
        <v>371</v>
      </c>
      <c r="C3139" s="272" t="s">
        <v>370</v>
      </c>
      <c r="D3139" s="275" t="s">
        <v>216</v>
      </c>
      <c r="E3139" s="275">
        <v>41706.276932870373</v>
      </c>
      <c r="F3139" s="276">
        <v>1</v>
      </c>
      <c r="G3139" s="243">
        <f t="shared" si="49"/>
        <v>128</v>
      </c>
      <c r="H3139" s="244"/>
      <c r="I3139" s="71" t="e">
        <f>IF(COUNTIF((rName rData),H3139),"","Name Error!")</f>
        <v>#NAME?</v>
      </c>
    </row>
    <row r="3140" spans="2:9" s="126" customFormat="1" ht="15" customHeight="1" x14ac:dyDescent="0.25">
      <c r="B3140" s="271" t="s">
        <v>267</v>
      </c>
      <c r="C3140" s="272" t="s">
        <v>268</v>
      </c>
      <c r="D3140" s="275" t="s">
        <v>216</v>
      </c>
      <c r="E3140" s="275">
        <v>41706.735162037039</v>
      </c>
      <c r="F3140" s="276">
        <v>1</v>
      </c>
      <c r="G3140" s="243">
        <f t="shared" si="49"/>
        <v>128</v>
      </c>
      <c r="H3140" s="244"/>
      <c r="I3140" s="71" t="e">
        <f>IF(COUNTIF((rName rData),H3140),"","Name Error!")</f>
        <v>#NAME?</v>
      </c>
    </row>
    <row r="3141" spans="2:9" s="126" customFormat="1" ht="15" customHeight="1" x14ac:dyDescent="0.25">
      <c r="B3141" s="271" t="s">
        <v>345</v>
      </c>
      <c r="C3141" s="272" t="s">
        <v>344</v>
      </c>
      <c r="D3141" s="275" t="s">
        <v>216</v>
      </c>
      <c r="E3141" s="275">
        <v>41707.861886574072</v>
      </c>
      <c r="F3141" s="276">
        <v>1</v>
      </c>
      <c r="G3141" s="243">
        <f t="shared" si="49"/>
        <v>128</v>
      </c>
      <c r="H3141" s="244"/>
      <c r="I3141" s="71" t="e">
        <f>IF(COUNTIF((rName rData),H3141),"","Name Error!")</f>
        <v>#NAME?</v>
      </c>
    </row>
    <row r="3142" spans="2:9" s="126" customFormat="1" ht="15" customHeight="1" x14ac:dyDescent="0.25">
      <c r="B3142" s="271" t="s">
        <v>362</v>
      </c>
      <c r="C3142" s="272" t="s">
        <v>361</v>
      </c>
      <c r="D3142" s="275" t="s">
        <v>216</v>
      </c>
      <c r="E3142" s="275">
        <v>41707.962291666663</v>
      </c>
      <c r="F3142" s="276">
        <v>1</v>
      </c>
      <c r="G3142" s="243">
        <f t="shared" si="49"/>
        <v>128</v>
      </c>
      <c r="H3142" s="244"/>
      <c r="I3142" s="71" t="e">
        <f>IF(COUNTIF((rName rData),H3142),"","Name Error!")</f>
        <v>#NAME?</v>
      </c>
    </row>
    <row r="3143" spans="2:9" s="126" customFormat="1" ht="15" customHeight="1" x14ac:dyDescent="0.25">
      <c r="B3143" s="271" t="s">
        <v>371</v>
      </c>
      <c r="C3143" s="272" t="s">
        <v>370</v>
      </c>
      <c r="D3143" s="275" t="s">
        <v>216</v>
      </c>
      <c r="E3143" s="275">
        <v>41708.329976851855</v>
      </c>
      <c r="F3143" s="276">
        <v>2</v>
      </c>
      <c r="G3143" s="243">
        <f t="shared" si="49"/>
        <v>128</v>
      </c>
      <c r="H3143" s="244"/>
      <c r="I3143" s="71" t="e">
        <f>IF(COUNTIF((rName rData),H3143),"","Name Error!")</f>
        <v>#NAME?</v>
      </c>
    </row>
    <row r="3144" spans="2:9" s="126" customFormat="1" ht="15" customHeight="1" x14ac:dyDescent="0.25">
      <c r="B3144" s="271" t="s">
        <v>354</v>
      </c>
      <c r="C3144" s="272" t="s">
        <v>353</v>
      </c>
      <c r="D3144" s="275" t="s">
        <v>216</v>
      </c>
      <c r="E3144" s="275">
        <v>41708.330057870371</v>
      </c>
      <c r="F3144" s="276">
        <v>1</v>
      </c>
      <c r="G3144" s="243">
        <f t="shared" si="49"/>
        <v>128</v>
      </c>
      <c r="H3144" s="244"/>
      <c r="I3144" s="71" t="e">
        <f>IF(COUNTIF((rName rData),H3144),"","Name Error!")</f>
        <v>#NAME?</v>
      </c>
    </row>
    <row r="3145" spans="2:9" s="126" customFormat="1" ht="15" customHeight="1" x14ac:dyDescent="0.25">
      <c r="B3145" s="271" t="s">
        <v>356</v>
      </c>
      <c r="C3145" s="272" t="s">
        <v>355</v>
      </c>
      <c r="D3145" s="275" t="s">
        <v>216</v>
      </c>
      <c r="E3145" s="275">
        <v>41708.348078703704</v>
      </c>
      <c r="F3145" s="276">
        <v>1</v>
      </c>
      <c r="G3145" s="243">
        <f t="shared" si="49"/>
        <v>128</v>
      </c>
      <c r="H3145" s="244"/>
      <c r="I3145" s="71" t="e">
        <f>IF(COUNTIF((rName rData),H3145),"","Name Error!")</f>
        <v>#NAME?</v>
      </c>
    </row>
    <row r="3146" spans="2:9" s="126" customFormat="1" ht="15" customHeight="1" x14ac:dyDescent="0.25">
      <c r="B3146" s="271" t="s">
        <v>345</v>
      </c>
      <c r="C3146" s="272" t="s">
        <v>344</v>
      </c>
      <c r="D3146" s="275" t="s">
        <v>216</v>
      </c>
      <c r="E3146" s="275">
        <v>41708.410243055558</v>
      </c>
      <c r="F3146" s="276">
        <v>1</v>
      </c>
      <c r="G3146" s="243">
        <f t="shared" ref="G3146:G3209" si="50">TRUNC((E3146-start)/7)+1</f>
        <v>128</v>
      </c>
      <c r="H3146" s="244"/>
      <c r="I3146" s="71" t="e">
        <f>IF(COUNTIF((rName rData),H3146),"","Name Error!")</f>
        <v>#NAME?</v>
      </c>
    </row>
    <row r="3147" spans="2:9" s="126" customFormat="1" ht="15" customHeight="1" x14ac:dyDescent="0.25">
      <c r="B3147" s="271" t="s">
        <v>322</v>
      </c>
      <c r="C3147" s="272" t="s">
        <v>321</v>
      </c>
      <c r="D3147" s="275" t="s">
        <v>216</v>
      </c>
      <c r="E3147" s="275">
        <v>41708.454236111109</v>
      </c>
      <c r="F3147" s="276">
        <v>3</v>
      </c>
      <c r="G3147" s="243">
        <f t="shared" si="50"/>
        <v>128</v>
      </c>
      <c r="H3147" s="244"/>
      <c r="I3147" s="71" t="e">
        <f>IF(COUNTIF((rName rData),H3147),"","Name Error!")</f>
        <v>#NAME?</v>
      </c>
    </row>
    <row r="3148" spans="2:9" s="126" customFormat="1" ht="15" customHeight="1" x14ac:dyDescent="0.25">
      <c r="B3148" s="271" t="s">
        <v>358</v>
      </c>
      <c r="C3148" s="272" t="s">
        <v>357</v>
      </c>
      <c r="D3148" s="275" t="s">
        <v>216</v>
      </c>
      <c r="E3148" s="275">
        <v>41708.946851851855</v>
      </c>
      <c r="F3148" s="276">
        <v>1</v>
      </c>
      <c r="G3148" s="243">
        <f t="shared" si="50"/>
        <v>128</v>
      </c>
      <c r="H3148" s="244"/>
      <c r="I3148" s="71" t="e">
        <f>IF(COUNTIF((rName rData),H3148),"","Name Error!")</f>
        <v>#NAME?</v>
      </c>
    </row>
    <row r="3149" spans="2:9" s="126" customFormat="1" ht="15" customHeight="1" x14ac:dyDescent="0.25">
      <c r="B3149" s="271" t="s">
        <v>324</v>
      </c>
      <c r="C3149" s="272" t="s">
        <v>323</v>
      </c>
      <c r="D3149" s="275" t="s">
        <v>216</v>
      </c>
      <c r="E3149" s="275">
        <v>41708.948067129626</v>
      </c>
      <c r="F3149" s="276">
        <v>1</v>
      </c>
      <c r="G3149" s="243">
        <f t="shared" si="50"/>
        <v>128</v>
      </c>
      <c r="H3149" s="244"/>
      <c r="I3149" s="71" t="e">
        <f>IF(COUNTIF((rName rData),H3149),"","Name Error!")</f>
        <v>#NAME?</v>
      </c>
    </row>
    <row r="3150" spans="2:9" s="126" customFormat="1" ht="15" customHeight="1" x14ac:dyDescent="0.25">
      <c r="B3150" s="271" t="s">
        <v>328</v>
      </c>
      <c r="C3150" s="272" t="s">
        <v>327</v>
      </c>
      <c r="D3150" s="275" t="s">
        <v>216</v>
      </c>
      <c r="E3150" s="275">
        <v>41708.990925925929</v>
      </c>
      <c r="F3150" s="276">
        <v>1</v>
      </c>
      <c r="G3150" s="243">
        <f t="shared" si="50"/>
        <v>128</v>
      </c>
      <c r="H3150" s="244"/>
      <c r="I3150" s="71" t="e">
        <f>IF(COUNTIF((rName rData),H3150),"","Name Error!")</f>
        <v>#NAME?</v>
      </c>
    </row>
    <row r="3151" spans="2:9" s="126" customFormat="1" ht="15" customHeight="1" x14ac:dyDescent="0.25">
      <c r="B3151" s="271" t="s">
        <v>337</v>
      </c>
      <c r="C3151" s="272" t="s">
        <v>336</v>
      </c>
      <c r="D3151" s="275" t="s">
        <v>216</v>
      </c>
      <c r="E3151" s="275">
        <v>41709.472708333335</v>
      </c>
      <c r="F3151" s="276">
        <v>1</v>
      </c>
      <c r="G3151" s="243">
        <f t="shared" si="50"/>
        <v>128</v>
      </c>
      <c r="H3151" s="244"/>
      <c r="I3151" s="71" t="e">
        <f>IF(COUNTIF((rName rData),H3151),"","Name Error!")</f>
        <v>#NAME?</v>
      </c>
    </row>
    <row r="3152" spans="2:9" s="126" customFormat="1" ht="15" customHeight="1" x14ac:dyDescent="0.25">
      <c r="B3152" s="271" t="s">
        <v>333</v>
      </c>
      <c r="C3152" s="272" t="s">
        <v>332</v>
      </c>
      <c r="D3152" s="275" t="s">
        <v>216</v>
      </c>
      <c r="E3152" s="275">
        <v>41709.654849537037</v>
      </c>
      <c r="F3152" s="276">
        <v>1</v>
      </c>
      <c r="G3152" s="243">
        <f t="shared" si="50"/>
        <v>128</v>
      </c>
      <c r="H3152" s="244"/>
      <c r="I3152" s="71" t="e">
        <f>IF(COUNTIF((rName rData),H3152),"","Name Error!")</f>
        <v>#NAME?</v>
      </c>
    </row>
    <row r="3153" spans="2:9" s="126" customFormat="1" ht="15" customHeight="1" x14ac:dyDescent="0.25">
      <c r="B3153" s="271" t="s">
        <v>322</v>
      </c>
      <c r="C3153" s="272" t="s">
        <v>321</v>
      </c>
      <c r="D3153" s="275" t="s">
        <v>216</v>
      </c>
      <c r="E3153" s="275">
        <v>41711.806539351855</v>
      </c>
      <c r="F3153" s="276">
        <v>2</v>
      </c>
      <c r="G3153" s="243">
        <f t="shared" si="50"/>
        <v>128</v>
      </c>
      <c r="H3153" s="244"/>
      <c r="I3153" s="71" t="e">
        <f>IF(COUNTIF((rName rData),H3153),"","Name Error!")</f>
        <v>#NAME?</v>
      </c>
    </row>
    <row r="3154" spans="2:9" s="126" customFormat="1" ht="15" customHeight="1" x14ac:dyDescent="0.25">
      <c r="B3154" s="271" t="s">
        <v>350</v>
      </c>
      <c r="C3154" s="272" t="s">
        <v>349</v>
      </c>
      <c r="D3154" s="275" t="s">
        <v>216</v>
      </c>
      <c r="E3154" s="275">
        <v>41711.971203703702</v>
      </c>
      <c r="F3154" s="276">
        <v>1</v>
      </c>
      <c r="G3154" s="243">
        <f t="shared" si="50"/>
        <v>128</v>
      </c>
      <c r="H3154" s="244"/>
      <c r="I3154" s="71" t="e">
        <f>IF(COUNTIF((rName rData),H3154),"","Name Error!")</f>
        <v>#NAME?</v>
      </c>
    </row>
    <row r="3155" spans="2:9" s="126" customFormat="1" ht="15" customHeight="1" x14ac:dyDescent="0.25">
      <c r="B3155" s="271" t="s">
        <v>362</v>
      </c>
      <c r="C3155" s="272" t="s">
        <v>361</v>
      </c>
      <c r="D3155" s="275" t="s">
        <v>216</v>
      </c>
      <c r="E3155" s="275">
        <v>41712.055300925924</v>
      </c>
      <c r="F3155" s="276">
        <v>1</v>
      </c>
      <c r="G3155" s="243">
        <f t="shared" si="50"/>
        <v>128</v>
      </c>
      <c r="H3155" s="244"/>
      <c r="I3155" s="71" t="e">
        <f>IF(COUNTIF((rName rData),H3155),"","Name Error!")</f>
        <v>#NAME?</v>
      </c>
    </row>
    <row r="3156" spans="2:9" s="126" customFormat="1" ht="15" customHeight="1" x14ac:dyDescent="0.25">
      <c r="B3156" s="271" t="s">
        <v>352</v>
      </c>
      <c r="C3156" s="272" t="s">
        <v>351</v>
      </c>
      <c r="D3156" s="275" t="s">
        <v>216</v>
      </c>
      <c r="E3156" s="275">
        <v>41712.792060185187</v>
      </c>
      <c r="F3156" s="276">
        <v>1</v>
      </c>
      <c r="G3156" s="243">
        <f t="shared" si="50"/>
        <v>128</v>
      </c>
      <c r="H3156" s="244"/>
      <c r="I3156" s="71" t="e">
        <f>IF(COUNTIF((rName rData),H3156),"","Name Error!")</f>
        <v>#NAME?</v>
      </c>
    </row>
    <row r="3157" spans="2:9" s="126" customFormat="1" ht="15" customHeight="1" x14ac:dyDescent="0.25">
      <c r="B3157" s="271" t="s">
        <v>331</v>
      </c>
      <c r="C3157" s="272" t="s">
        <v>330</v>
      </c>
      <c r="D3157" s="275" t="s">
        <v>216</v>
      </c>
      <c r="E3157" s="275">
        <v>41712.809351851851</v>
      </c>
      <c r="F3157" s="276">
        <v>2</v>
      </c>
      <c r="G3157" s="243">
        <f t="shared" si="50"/>
        <v>128</v>
      </c>
      <c r="H3157" s="244"/>
      <c r="I3157" s="71" t="e">
        <f>IF(COUNTIF((rName rData),H3157),"","Name Error!")</f>
        <v>#NAME?</v>
      </c>
    </row>
    <row r="3158" spans="2:9" s="126" customFormat="1" ht="15" customHeight="1" x14ac:dyDescent="0.25">
      <c r="B3158" s="271" t="s">
        <v>267</v>
      </c>
      <c r="C3158" s="272" t="s">
        <v>268</v>
      </c>
      <c r="D3158" s="275" t="s">
        <v>216</v>
      </c>
      <c r="E3158" s="275">
        <v>41713.541018518517</v>
      </c>
      <c r="F3158" s="276">
        <v>1</v>
      </c>
      <c r="G3158" s="243">
        <f t="shared" si="50"/>
        <v>129</v>
      </c>
      <c r="H3158" s="244"/>
      <c r="I3158" s="71" t="e">
        <f>IF(COUNTIF((rName rData),H3158),"","Name Error!")</f>
        <v>#NAME?</v>
      </c>
    </row>
    <row r="3159" spans="2:9" s="126" customFormat="1" ht="15" customHeight="1" x14ac:dyDescent="0.25">
      <c r="B3159" s="271" t="s">
        <v>322</v>
      </c>
      <c r="C3159" s="272" t="s">
        <v>321</v>
      </c>
      <c r="D3159" s="275" t="s">
        <v>216</v>
      </c>
      <c r="E3159" s="275">
        <v>41714.018310185187</v>
      </c>
      <c r="F3159" s="276">
        <v>4</v>
      </c>
      <c r="G3159" s="243">
        <f t="shared" si="50"/>
        <v>129</v>
      </c>
      <c r="H3159" s="244"/>
      <c r="I3159" s="71" t="e">
        <f>IF(COUNTIF((rName rData),H3159),"","Name Error!")</f>
        <v>#NAME?</v>
      </c>
    </row>
    <row r="3160" spans="2:9" s="126" customFormat="1" ht="15" customHeight="1" x14ac:dyDescent="0.25">
      <c r="B3160" s="271" t="s">
        <v>335</v>
      </c>
      <c r="C3160" s="272" t="s">
        <v>334</v>
      </c>
      <c r="D3160" s="275" t="s">
        <v>216</v>
      </c>
      <c r="E3160" s="275">
        <v>41714.056331018517</v>
      </c>
      <c r="F3160" s="276">
        <v>1</v>
      </c>
      <c r="G3160" s="243">
        <f t="shared" si="50"/>
        <v>129</v>
      </c>
      <c r="H3160" s="244"/>
      <c r="I3160" s="71" t="e">
        <f>IF(COUNTIF((rName rData),H3160),"","Name Error!")</f>
        <v>#NAME?</v>
      </c>
    </row>
    <row r="3161" spans="2:9" s="126" customFormat="1" ht="15" customHeight="1" x14ac:dyDescent="0.25">
      <c r="B3161" s="271" t="s">
        <v>345</v>
      </c>
      <c r="C3161" s="272" t="s">
        <v>344</v>
      </c>
      <c r="D3161" s="275" t="s">
        <v>216</v>
      </c>
      <c r="E3161" s="275">
        <v>41714.179699074077</v>
      </c>
      <c r="F3161" s="276">
        <v>2</v>
      </c>
      <c r="G3161" s="243">
        <f t="shared" si="50"/>
        <v>129</v>
      </c>
      <c r="H3161" s="244"/>
      <c r="I3161" s="71" t="e">
        <f>IF(COUNTIF((rName rData),H3161),"","Name Error!")</f>
        <v>#NAME?</v>
      </c>
    </row>
    <row r="3162" spans="2:9" s="126" customFormat="1" ht="15" customHeight="1" x14ac:dyDescent="0.25">
      <c r="B3162" s="271" t="s">
        <v>352</v>
      </c>
      <c r="C3162" s="272" t="s">
        <v>351</v>
      </c>
      <c r="D3162" s="275" t="s">
        <v>216</v>
      </c>
      <c r="E3162" s="275">
        <v>41714.456805555557</v>
      </c>
      <c r="F3162" s="276">
        <v>1</v>
      </c>
      <c r="G3162" s="243">
        <f t="shared" si="50"/>
        <v>129</v>
      </c>
      <c r="H3162" s="244"/>
      <c r="I3162" s="71" t="e">
        <f>IF(COUNTIF((rName rData),H3162),"","Name Error!")</f>
        <v>#NAME?</v>
      </c>
    </row>
    <row r="3163" spans="2:9" s="126" customFormat="1" ht="15" customHeight="1" x14ac:dyDescent="0.25">
      <c r="B3163" s="271" t="s">
        <v>358</v>
      </c>
      <c r="C3163" s="272" t="s">
        <v>357</v>
      </c>
      <c r="D3163" s="275" t="s">
        <v>216</v>
      </c>
      <c r="E3163" s="275">
        <v>41714.456967592596</v>
      </c>
      <c r="F3163" s="276">
        <v>2</v>
      </c>
      <c r="G3163" s="243">
        <f t="shared" si="50"/>
        <v>129</v>
      </c>
      <c r="H3163" s="244"/>
      <c r="I3163" s="71" t="e">
        <f>IF(COUNTIF((rName rData),H3163),"","Name Error!")</f>
        <v>#NAME?</v>
      </c>
    </row>
    <row r="3164" spans="2:9" s="126" customFormat="1" ht="15" customHeight="1" x14ac:dyDescent="0.25">
      <c r="B3164" s="271" t="s">
        <v>341</v>
      </c>
      <c r="C3164" s="272" t="s">
        <v>340</v>
      </c>
      <c r="D3164" s="275" t="s">
        <v>216</v>
      </c>
      <c r="E3164" s="275">
        <v>41714.494479166664</v>
      </c>
      <c r="F3164" s="276">
        <v>1</v>
      </c>
      <c r="G3164" s="243">
        <f t="shared" si="50"/>
        <v>129</v>
      </c>
      <c r="H3164" s="244"/>
      <c r="I3164" s="71" t="e">
        <f>IF(COUNTIF((rName rData),H3164),"","Name Error!")</f>
        <v>#NAME?</v>
      </c>
    </row>
    <row r="3165" spans="2:9" s="126" customFormat="1" ht="15" customHeight="1" x14ac:dyDescent="0.25">
      <c r="B3165" s="271" t="s">
        <v>362</v>
      </c>
      <c r="C3165" s="272" t="s">
        <v>361</v>
      </c>
      <c r="D3165" s="275" t="s">
        <v>216</v>
      </c>
      <c r="E3165" s="275">
        <v>41714.61042824074</v>
      </c>
      <c r="F3165" s="276">
        <v>1</v>
      </c>
      <c r="G3165" s="243">
        <f t="shared" si="50"/>
        <v>129</v>
      </c>
      <c r="H3165" s="244"/>
      <c r="I3165" s="71" t="e">
        <f>IF(COUNTIF((rName rData),H3165),"","Name Error!")</f>
        <v>#NAME?</v>
      </c>
    </row>
    <row r="3166" spans="2:9" s="126" customFormat="1" ht="15" customHeight="1" x14ac:dyDescent="0.25">
      <c r="B3166" s="271" t="s">
        <v>267</v>
      </c>
      <c r="C3166" s="272" t="s">
        <v>268</v>
      </c>
      <c r="D3166" s="275" t="s">
        <v>216</v>
      </c>
      <c r="E3166" s="275">
        <v>41714.830821759257</v>
      </c>
      <c r="F3166" s="276">
        <v>1</v>
      </c>
      <c r="G3166" s="243">
        <f t="shared" si="50"/>
        <v>129</v>
      </c>
      <c r="H3166" s="244"/>
      <c r="I3166" s="71" t="e">
        <f>IF(COUNTIF((rName rData),H3166),"","Name Error!")</f>
        <v>#NAME?</v>
      </c>
    </row>
    <row r="3167" spans="2:9" s="126" customFormat="1" ht="15" customHeight="1" x14ac:dyDescent="0.25">
      <c r="B3167" s="271" t="s">
        <v>331</v>
      </c>
      <c r="C3167" s="272" t="s">
        <v>330</v>
      </c>
      <c r="D3167" s="275" t="s">
        <v>216</v>
      </c>
      <c r="E3167" s="275">
        <v>41714.906192129631</v>
      </c>
      <c r="F3167" s="276">
        <v>3</v>
      </c>
      <c r="G3167" s="243">
        <f t="shared" si="50"/>
        <v>129</v>
      </c>
      <c r="H3167" s="244"/>
      <c r="I3167" s="71" t="e">
        <f>IF(COUNTIF((rName rData),H3167),"","Name Error!")</f>
        <v>#NAME?</v>
      </c>
    </row>
    <row r="3168" spans="2:9" s="126" customFormat="1" ht="15" customHeight="1" x14ac:dyDescent="0.25">
      <c r="B3168" s="271" t="s">
        <v>331</v>
      </c>
      <c r="C3168" s="272" t="s">
        <v>330</v>
      </c>
      <c r="D3168" s="275" t="s">
        <v>216</v>
      </c>
      <c r="E3168" s="275">
        <v>41715.004421296297</v>
      </c>
      <c r="F3168" s="276">
        <v>1</v>
      </c>
      <c r="G3168" s="243">
        <f t="shared" si="50"/>
        <v>129</v>
      </c>
      <c r="H3168" s="244"/>
      <c r="I3168" s="71" t="e">
        <f>IF(COUNTIF((rName rData),H3168),"","Name Error!")</f>
        <v>#NAME?</v>
      </c>
    </row>
    <row r="3169" spans="2:9" s="126" customFormat="1" ht="15" customHeight="1" x14ac:dyDescent="0.25">
      <c r="B3169" s="271" t="s">
        <v>356</v>
      </c>
      <c r="C3169" s="272" t="s">
        <v>355</v>
      </c>
      <c r="D3169" s="275" t="s">
        <v>216</v>
      </c>
      <c r="E3169" s="275">
        <v>41715.566203703704</v>
      </c>
      <c r="F3169" s="276">
        <v>1</v>
      </c>
      <c r="G3169" s="243">
        <f t="shared" si="50"/>
        <v>129</v>
      </c>
      <c r="H3169" s="244"/>
      <c r="I3169" s="71" t="e">
        <f>IF(COUNTIF((rName rData),H3169),"","Name Error!")</f>
        <v>#NAME?</v>
      </c>
    </row>
    <row r="3170" spans="2:9" s="126" customFormat="1" ht="15" customHeight="1" x14ac:dyDescent="0.25">
      <c r="B3170" s="271" t="s">
        <v>324</v>
      </c>
      <c r="C3170" s="272" t="s">
        <v>323</v>
      </c>
      <c r="D3170" s="275" t="s">
        <v>216</v>
      </c>
      <c r="E3170" s="275">
        <v>41715.627581018518</v>
      </c>
      <c r="F3170" s="276">
        <v>1</v>
      </c>
      <c r="G3170" s="243">
        <f t="shared" si="50"/>
        <v>129</v>
      </c>
      <c r="H3170" s="244"/>
      <c r="I3170" s="71" t="e">
        <f>IF(COUNTIF((rName rData),H3170),"","Name Error!")</f>
        <v>#NAME?</v>
      </c>
    </row>
    <row r="3171" spans="2:9" s="126" customFormat="1" ht="15" customHeight="1" x14ac:dyDescent="0.25">
      <c r="B3171" s="271" t="s">
        <v>337</v>
      </c>
      <c r="C3171" s="272" t="s">
        <v>336</v>
      </c>
      <c r="D3171" s="275" t="s">
        <v>216</v>
      </c>
      <c r="E3171" s="275">
        <v>41715.637071759258</v>
      </c>
      <c r="F3171" s="276">
        <v>1</v>
      </c>
      <c r="G3171" s="243">
        <f t="shared" si="50"/>
        <v>129</v>
      </c>
      <c r="H3171" s="244"/>
      <c r="I3171" s="71" t="e">
        <f>IF(COUNTIF((rName rData),H3171),"","Name Error!")</f>
        <v>#NAME?</v>
      </c>
    </row>
    <row r="3172" spans="2:9" s="126" customFormat="1" ht="15" customHeight="1" x14ac:dyDescent="0.25">
      <c r="B3172" s="271" t="s">
        <v>341</v>
      </c>
      <c r="C3172" s="272" t="s">
        <v>340</v>
      </c>
      <c r="D3172" s="275" t="s">
        <v>216</v>
      </c>
      <c r="E3172" s="275">
        <v>41715.786076388889</v>
      </c>
      <c r="F3172" s="276">
        <v>1</v>
      </c>
      <c r="G3172" s="243">
        <f t="shared" si="50"/>
        <v>129</v>
      </c>
      <c r="H3172" s="244"/>
      <c r="I3172" s="71" t="e">
        <f>IF(COUNTIF((rName rData),H3172),"","Name Error!")</f>
        <v>#NAME?</v>
      </c>
    </row>
    <row r="3173" spans="2:9" s="126" customFormat="1" ht="15" customHeight="1" x14ac:dyDescent="0.25">
      <c r="B3173" s="271" t="s">
        <v>350</v>
      </c>
      <c r="C3173" s="272" t="s">
        <v>349</v>
      </c>
      <c r="D3173" s="275" t="s">
        <v>216</v>
      </c>
      <c r="E3173" s="275">
        <v>41715.867766203701</v>
      </c>
      <c r="F3173" s="276">
        <v>2</v>
      </c>
      <c r="G3173" s="243">
        <f t="shared" si="50"/>
        <v>129</v>
      </c>
      <c r="H3173" s="244"/>
      <c r="I3173" s="71" t="e">
        <f>IF(COUNTIF((rName rData),H3173),"","Name Error!")</f>
        <v>#NAME?</v>
      </c>
    </row>
    <row r="3174" spans="2:9" s="126" customFormat="1" ht="15" customHeight="1" x14ac:dyDescent="0.25">
      <c r="B3174" s="271" t="s">
        <v>362</v>
      </c>
      <c r="C3174" s="272" t="s">
        <v>361</v>
      </c>
      <c r="D3174" s="275" t="s">
        <v>216</v>
      </c>
      <c r="E3174" s="275">
        <v>41715.922789351855</v>
      </c>
      <c r="F3174" s="276">
        <v>1</v>
      </c>
      <c r="G3174" s="243">
        <f t="shared" si="50"/>
        <v>129</v>
      </c>
      <c r="H3174" s="244"/>
      <c r="I3174" s="71" t="e">
        <f>IF(COUNTIF((rName rData),H3174),"","Name Error!")</f>
        <v>#NAME?</v>
      </c>
    </row>
    <row r="3175" spans="2:9" s="126" customFormat="1" ht="15" customHeight="1" x14ac:dyDescent="0.25">
      <c r="B3175" s="271" t="s">
        <v>339</v>
      </c>
      <c r="C3175" s="272" t="s">
        <v>338</v>
      </c>
      <c r="D3175" s="275" t="s">
        <v>216</v>
      </c>
      <c r="E3175" s="275">
        <v>41715.925821759258</v>
      </c>
      <c r="F3175" s="276">
        <v>1</v>
      </c>
      <c r="G3175" s="243">
        <f t="shared" si="50"/>
        <v>129</v>
      </c>
      <c r="H3175" s="244"/>
      <c r="I3175" s="71" t="e">
        <f>IF(COUNTIF((rName rData),H3175),"","Name Error!")</f>
        <v>#NAME?</v>
      </c>
    </row>
    <row r="3176" spans="2:9" s="126" customFormat="1" ht="15" customHeight="1" x14ac:dyDescent="0.25">
      <c r="B3176" s="271" t="s">
        <v>354</v>
      </c>
      <c r="C3176" s="272" t="s">
        <v>353</v>
      </c>
      <c r="D3176" s="275" t="s">
        <v>216</v>
      </c>
      <c r="E3176" s="275">
        <v>41716.343229166669</v>
      </c>
      <c r="F3176" s="276">
        <v>1</v>
      </c>
      <c r="G3176" s="243">
        <f t="shared" si="50"/>
        <v>129</v>
      </c>
      <c r="H3176" s="244"/>
      <c r="I3176" s="71" t="e">
        <f>IF(COUNTIF((rName rData),H3176),"","Name Error!")</f>
        <v>#NAME?</v>
      </c>
    </row>
    <row r="3177" spans="2:9" s="126" customFormat="1" ht="15" customHeight="1" x14ac:dyDescent="0.25">
      <c r="B3177" s="271" t="s">
        <v>356</v>
      </c>
      <c r="C3177" s="272" t="s">
        <v>355</v>
      </c>
      <c r="D3177" s="275" t="s">
        <v>216</v>
      </c>
      <c r="E3177" s="275">
        <v>41716.443645833337</v>
      </c>
      <c r="F3177" s="276">
        <v>1</v>
      </c>
      <c r="G3177" s="243">
        <f t="shared" si="50"/>
        <v>129</v>
      </c>
      <c r="H3177" s="244"/>
      <c r="I3177" s="71" t="e">
        <f>IF(COUNTIF((rName rData),H3177),"","Name Error!")</f>
        <v>#NAME?</v>
      </c>
    </row>
    <row r="3178" spans="2:9" s="126" customFormat="1" ht="15" customHeight="1" x14ac:dyDescent="0.25">
      <c r="B3178" s="271" t="s">
        <v>267</v>
      </c>
      <c r="C3178" s="272" t="s">
        <v>268</v>
      </c>
      <c r="D3178" s="275" t="s">
        <v>216</v>
      </c>
      <c r="E3178" s="275">
        <v>41716.517372685186</v>
      </c>
      <c r="F3178" s="276">
        <v>2</v>
      </c>
      <c r="G3178" s="243">
        <f t="shared" si="50"/>
        <v>129</v>
      </c>
      <c r="H3178" s="244"/>
      <c r="I3178" s="71" t="e">
        <f>IF(COUNTIF((rName rData),H3178),"","Name Error!")</f>
        <v>#NAME?</v>
      </c>
    </row>
    <row r="3179" spans="2:9" s="126" customFormat="1" ht="15" customHeight="1" x14ac:dyDescent="0.25">
      <c r="B3179" s="271" t="s">
        <v>333</v>
      </c>
      <c r="C3179" s="272" t="s">
        <v>332</v>
      </c>
      <c r="D3179" s="275" t="s">
        <v>216</v>
      </c>
      <c r="E3179" s="275">
        <v>41716.661145833335</v>
      </c>
      <c r="F3179" s="276">
        <v>1</v>
      </c>
      <c r="G3179" s="243">
        <f t="shared" si="50"/>
        <v>129</v>
      </c>
      <c r="H3179" s="244"/>
      <c r="I3179" s="71" t="e">
        <f>IF(COUNTIF((rName rData),H3179),"","Name Error!")</f>
        <v>#NAME?</v>
      </c>
    </row>
    <row r="3180" spans="2:9" s="126" customFormat="1" ht="15" customHeight="1" x14ac:dyDescent="0.25">
      <c r="B3180" s="271" t="s">
        <v>324</v>
      </c>
      <c r="C3180" s="272" t="s">
        <v>323</v>
      </c>
      <c r="D3180" s="275" t="s">
        <v>216</v>
      </c>
      <c r="E3180" s="275">
        <v>41717.095972222225</v>
      </c>
      <c r="F3180" s="276">
        <v>1</v>
      </c>
      <c r="G3180" s="243">
        <f t="shared" si="50"/>
        <v>129</v>
      </c>
      <c r="H3180" s="244"/>
      <c r="I3180" s="71" t="e">
        <f>IF(COUNTIF((rName rData),H3180),"","Name Error!")</f>
        <v>#NAME?</v>
      </c>
    </row>
    <row r="3181" spans="2:9" s="126" customFormat="1" ht="15" customHeight="1" x14ac:dyDescent="0.25">
      <c r="B3181" s="271" t="s">
        <v>356</v>
      </c>
      <c r="C3181" s="272" t="s">
        <v>355</v>
      </c>
      <c r="D3181" s="275" t="s">
        <v>216</v>
      </c>
      <c r="E3181" s="275">
        <v>41717.459733796299</v>
      </c>
      <c r="F3181" s="276">
        <v>1</v>
      </c>
      <c r="G3181" s="243">
        <f t="shared" si="50"/>
        <v>129</v>
      </c>
      <c r="H3181" s="244"/>
      <c r="I3181" s="71" t="e">
        <f>IF(COUNTIF((rName rData),H3181),"","Name Error!")</f>
        <v>#NAME?</v>
      </c>
    </row>
    <row r="3182" spans="2:9" s="126" customFormat="1" ht="15" customHeight="1" x14ac:dyDescent="0.25">
      <c r="B3182" s="271" t="s">
        <v>267</v>
      </c>
      <c r="C3182" s="272" t="s">
        <v>268</v>
      </c>
      <c r="D3182" s="275" t="s">
        <v>216</v>
      </c>
      <c r="E3182" s="275">
        <v>41717.579282407409</v>
      </c>
      <c r="F3182" s="276">
        <v>1</v>
      </c>
      <c r="G3182" s="243">
        <f t="shared" si="50"/>
        <v>129</v>
      </c>
      <c r="H3182" s="244"/>
      <c r="I3182" s="71" t="e">
        <f>IF(COUNTIF((rName rData),H3182),"","Name Error!")</f>
        <v>#NAME?</v>
      </c>
    </row>
    <row r="3183" spans="2:9" s="126" customFormat="1" ht="15" customHeight="1" x14ac:dyDescent="0.25">
      <c r="B3183" s="271" t="s">
        <v>371</v>
      </c>
      <c r="C3183" s="272" t="s">
        <v>370</v>
      </c>
      <c r="D3183" s="275" t="s">
        <v>216</v>
      </c>
      <c r="E3183" s="275">
        <v>41717.617627314816</v>
      </c>
      <c r="F3183" s="276">
        <v>1</v>
      </c>
      <c r="G3183" s="243">
        <f t="shared" si="50"/>
        <v>129</v>
      </c>
      <c r="H3183" s="244"/>
      <c r="I3183" s="71" t="e">
        <f>IF(COUNTIF((rName rData),H3183),"","Name Error!")</f>
        <v>#NAME?</v>
      </c>
    </row>
    <row r="3184" spans="2:9" s="126" customFormat="1" ht="15" customHeight="1" x14ac:dyDescent="0.25">
      <c r="B3184" s="271" t="s">
        <v>320</v>
      </c>
      <c r="C3184" s="272" t="s">
        <v>319</v>
      </c>
      <c r="D3184" s="275" t="s">
        <v>216</v>
      </c>
      <c r="E3184" s="275">
        <v>41717.693680555552</v>
      </c>
      <c r="F3184" s="276">
        <v>1</v>
      </c>
      <c r="G3184" s="243">
        <f t="shared" si="50"/>
        <v>129</v>
      </c>
      <c r="H3184" s="244"/>
      <c r="I3184" s="71" t="e">
        <f>IF(COUNTIF((rName rData),H3184),"","Name Error!")</f>
        <v>#NAME?</v>
      </c>
    </row>
    <row r="3185" spans="2:9" s="126" customFormat="1" ht="15" customHeight="1" x14ac:dyDescent="0.25">
      <c r="B3185" s="271" t="s">
        <v>341</v>
      </c>
      <c r="C3185" s="272" t="s">
        <v>340</v>
      </c>
      <c r="D3185" s="275" t="s">
        <v>216</v>
      </c>
      <c r="E3185" s="275">
        <v>41718.427060185182</v>
      </c>
      <c r="F3185" s="276">
        <v>1</v>
      </c>
      <c r="G3185" s="243">
        <f t="shared" si="50"/>
        <v>129</v>
      </c>
      <c r="H3185" s="244"/>
      <c r="I3185" s="71" t="e">
        <f>IF(COUNTIF((rName rData),H3185),"","Name Error!")</f>
        <v>#NAME?</v>
      </c>
    </row>
    <row r="3186" spans="2:9" s="126" customFormat="1" ht="15" customHeight="1" x14ac:dyDescent="0.25">
      <c r="B3186" s="271" t="s">
        <v>371</v>
      </c>
      <c r="C3186" s="272" t="s">
        <v>370</v>
      </c>
      <c r="D3186" s="275" t="s">
        <v>216</v>
      </c>
      <c r="E3186" s="275">
        <v>41718.43136574074</v>
      </c>
      <c r="F3186" s="276">
        <v>1</v>
      </c>
      <c r="G3186" s="243">
        <f t="shared" si="50"/>
        <v>129</v>
      </c>
      <c r="H3186" s="244"/>
      <c r="I3186" s="71" t="e">
        <f>IF(COUNTIF((rName rData),H3186),"","Name Error!")</f>
        <v>#NAME?</v>
      </c>
    </row>
    <row r="3187" spans="2:9" s="126" customFormat="1" ht="15" customHeight="1" x14ac:dyDescent="0.25">
      <c r="B3187" s="271" t="s">
        <v>341</v>
      </c>
      <c r="C3187" s="272" t="s">
        <v>340</v>
      </c>
      <c r="D3187" s="275" t="s">
        <v>216</v>
      </c>
      <c r="E3187" s="275">
        <v>41719.551504629628</v>
      </c>
      <c r="F3187" s="276">
        <v>1</v>
      </c>
      <c r="G3187" s="243">
        <f t="shared" si="50"/>
        <v>129</v>
      </c>
      <c r="H3187" s="244"/>
      <c r="I3187" s="71" t="e">
        <f>IF(COUNTIF((rName rData),H3187),"","Name Error!")</f>
        <v>#NAME?</v>
      </c>
    </row>
    <row r="3188" spans="2:9" s="126" customFormat="1" ht="15" customHeight="1" x14ac:dyDescent="0.25">
      <c r="B3188" s="271" t="s">
        <v>354</v>
      </c>
      <c r="C3188" s="272" t="s">
        <v>353</v>
      </c>
      <c r="D3188" s="275" t="s">
        <v>216</v>
      </c>
      <c r="E3188" s="275">
        <v>41719.558749999997</v>
      </c>
      <c r="F3188" s="276">
        <v>1</v>
      </c>
      <c r="G3188" s="243">
        <f t="shared" si="50"/>
        <v>129</v>
      </c>
      <c r="H3188" s="244"/>
      <c r="I3188" s="71" t="e">
        <f>IF(COUNTIF((rName rData),H3188),"","Name Error!")</f>
        <v>#NAME?</v>
      </c>
    </row>
    <row r="3189" spans="2:9" s="126" customFormat="1" ht="15" customHeight="1" x14ac:dyDescent="0.25">
      <c r="B3189" s="271" t="s">
        <v>331</v>
      </c>
      <c r="C3189" s="272" t="s">
        <v>330</v>
      </c>
      <c r="D3189" s="275" t="s">
        <v>216</v>
      </c>
      <c r="E3189" s="275">
        <v>41719.672106481485</v>
      </c>
      <c r="F3189" s="276">
        <v>1</v>
      </c>
      <c r="G3189" s="243">
        <f t="shared" si="50"/>
        <v>129</v>
      </c>
      <c r="H3189" s="244"/>
      <c r="I3189" s="71" t="e">
        <f>IF(COUNTIF((rName rData),H3189),"","Name Error!")</f>
        <v>#NAME?</v>
      </c>
    </row>
    <row r="3190" spans="2:9" s="126" customFormat="1" ht="15" customHeight="1" x14ac:dyDescent="0.25">
      <c r="B3190" s="271" t="s">
        <v>362</v>
      </c>
      <c r="C3190" s="272" t="s">
        <v>361</v>
      </c>
      <c r="D3190" s="275" t="s">
        <v>216</v>
      </c>
      <c r="E3190" s="275">
        <v>41720.024108796293</v>
      </c>
      <c r="F3190" s="276">
        <v>3</v>
      </c>
      <c r="G3190" s="243">
        <f t="shared" si="50"/>
        <v>130</v>
      </c>
      <c r="H3190" s="244"/>
      <c r="I3190" s="71" t="e">
        <f>IF(COUNTIF((rName rData),H3190),"","Name Error!")</f>
        <v>#NAME?</v>
      </c>
    </row>
    <row r="3191" spans="2:9" s="126" customFormat="1" ht="15" customHeight="1" x14ac:dyDescent="0.25">
      <c r="B3191" s="271" t="s">
        <v>324</v>
      </c>
      <c r="C3191" s="272" t="s">
        <v>323</v>
      </c>
      <c r="D3191" s="275" t="s">
        <v>216</v>
      </c>
      <c r="E3191" s="275">
        <v>41720.048622685186</v>
      </c>
      <c r="F3191" s="276">
        <v>1</v>
      </c>
      <c r="G3191" s="243">
        <f t="shared" si="50"/>
        <v>130</v>
      </c>
      <c r="H3191" s="244"/>
      <c r="I3191" s="71" t="e">
        <f>IF(COUNTIF((rName rData),H3191),"","Name Error!")</f>
        <v>#NAME?</v>
      </c>
    </row>
    <row r="3192" spans="2:9" s="126" customFormat="1" ht="15" customHeight="1" x14ac:dyDescent="0.25">
      <c r="B3192" s="271" t="s">
        <v>352</v>
      </c>
      <c r="C3192" s="272" t="s">
        <v>351</v>
      </c>
      <c r="D3192" s="275" t="s">
        <v>216</v>
      </c>
      <c r="E3192" s="275">
        <v>41720.35796296296</v>
      </c>
      <c r="F3192" s="276">
        <v>1</v>
      </c>
      <c r="G3192" s="243">
        <f t="shared" si="50"/>
        <v>130</v>
      </c>
      <c r="H3192" s="244"/>
      <c r="I3192" s="71" t="e">
        <f>IF(COUNTIF((rName rData),H3192),"","Name Error!")</f>
        <v>#NAME?</v>
      </c>
    </row>
    <row r="3193" spans="2:9" s="126" customFormat="1" ht="15" customHeight="1" x14ac:dyDescent="0.25">
      <c r="B3193" s="271" t="s">
        <v>358</v>
      </c>
      <c r="C3193" s="272" t="s">
        <v>357</v>
      </c>
      <c r="D3193" s="275" t="s">
        <v>216</v>
      </c>
      <c r="E3193" s="275">
        <v>41720.498564814814</v>
      </c>
      <c r="F3193" s="276">
        <v>2</v>
      </c>
      <c r="G3193" s="243">
        <f t="shared" si="50"/>
        <v>130</v>
      </c>
      <c r="H3193" s="244"/>
      <c r="I3193" s="71" t="e">
        <f>IF(COUNTIF((rName rData),H3193),"","Name Error!")</f>
        <v>#NAME?</v>
      </c>
    </row>
    <row r="3194" spans="2:9" s="126" customFormat="1" ht="15" customHeight="1" x14ac:dyDescent="0.25">
      <c r="B3194" s="271" t="s">
        <v>331</v>
      </c>
      <c r="C3194" s="272" t="s">
        <v>330</v>
      </c>
      <c r="D3194" s="275" t="s">
        <v>216</v>
      </c>
      <c r="E3194" s="275">
        <v>41720.55777777778</v>
      </c>
      <c r="F3194" s="276">
        <v>1</v>
      </c>
      <c r="G3194" s="243">
        <f t="shared" si="50"/>
        <v>130</v>
      </c>
      <c r="H3194" s="244"/>
      <c r="I3194" s="71" t="e">
        <f>IF(COUNTIF((rName rData),H3194),"","Name Error!")</f>
        <v>#NAME?</v>
      </c>
    </row>
    <row r="3195" spans="2:9" s="126" customFormat="1" ht="15" customHeight="1" x14ac:dyDescent="0.25">
      <c r="B3195" s="271" t="s">
        <v>356</v>
      </c>
      <c r="C3195" s="272" t="s">
        <v>355</v>
      </c>
      <c r="D3195" s="275" t="s">
        <v>216</v>
      </c>
      <c r="E3195" s="275">
        <v>41720.685243055559</v>
      </c>
      <c r="F3195" s="276">
        <v>2</v>
      </c>
      <c r="G3195" s="243">
        <f t="shared" si="50"/>
        <v>130</v>
      </c>
      <c r="H3195" s="244"/>
      <c r="I3195" s="71" t="e">
        <f>IF(COUNTIF((rName rData),H3195),"","Name Error!")</f>
        <v>#NAME?</v>
      </c>
    </row>
    <row r="3196" spans="2:9" s="126" customFormat="1" ht="15" customHeight="1" x14ac:dyDescent="0.25">
      <c r="B3196" s="271" t="s">
        <v>267</v>
      </c>
      <c r="C3196" s="272" t="s">
        <v>268</v>
      </c>
      <c r="D3196" s="275" t="s">
        <v>216</v>
      </c>
      <c r="E3196" s="275">
        <v>41720.750856481478</v>
      </c>
      <c r="F3196" s="276">
        <v>1</v>
      </c>
      <c r="G3196" s="243">
        <f t="shared" si="50"/>
        <v>130</v>
      </c>
      <c r="H3196" s="244"/>
      <c r="I3196" s="71" t="e">
        <f>IF(COUNTIF((rName rData),H3196),"","Name Error!")</f>
        <v>#NAME?</v>
      </c>
    </row>
    <row r="3197" spans="2:9" s="126" customFormat="1" ht="15" customHeight="1" x14ac:dyDescent="0.25">
      <c r="B3197" s="271" t="s">
        <v>365</v>
      </c>
      <c r="C3197" s="272" t="s">
        <v>364</v>
      </c>
      <c r="D3197" s="275" t="s">
        <v>216</v>
      </c>
      <c r="E3197" s="275">
        <v>41720.811956018515</v>
      </c>
      <c r="F3197" s="276">
        <v>1</v>
      </c>
      <c r="G3197" s="243">
        <f t="shared" si="50"/>
        <v>130</v>
      </c>
      <c r="H3197" s="244"/>
      <c r="I3197" s="71" t="e">
        <f>IF(COUNTIF((rName rData),H3197),"","Name Error!")</f>
        <v>#NAME?</v>
      </c>
    </row>
    <row r="3198" spans="2:9" s="126" customFormat="1" ht="15" customHeight="1" x14ac:dyDescent="0.25">
      <c r="B3198" s="271" t="s">
        <v>322</v>
      </c>
      <c r="C3198" s="272" t="s">
        <v>321</v>
      </c>
      <c r="D3198" s="275" t="s">
        <v>216</v>
      </c>
      <c r="E3198" s="275">
        <v>41720.998078703706</v>
      </c>
      <c r="F3198" s="276">
        <v>1</v>
      </c>
      <c r="G3198" s="243">
        <f t="shared" si="50"/>
        <v>130</v>
      </c>
      <c r="H3198" s="244"/>
      <c r="I3198" s="71" t="e">
        <f>IF(COUNTIF((rName rData),H3198),"","Name Error!")</f>
        <v>#NAME?</v>
      </c>
    </row>
    <row r="3199" spans="2:9" s="126" customFormat="1" ht="15" customHeight="1" x14ac:dyDescent="0.25">
      <c r="B3199" s="271" t="s">
        <v>322</v>
      </c>
      <c r="C3199" s="272" t="s">
        <v>321</v>
      </c>
      <c r="D3199" s="275" t="s">
        <v>216</v>
      </c>
      <c r="E3199" s="275">
        <v>41721.004178240742</v>
      </c>
      <c r="F3199" s="276">
        <v>8</v>
      </c>
      <c r="G3199" s="243">
        <f t="shared" si="50"/>
        <v>130</v>
      </c>
      <c r="H3199" s="244"/>
      <c r="I3199" s="71" t="e">
        <f>IF(COUNTIF((rName rData),H3199),"","Name Error!")</f>
        <v>#NAME?</v>
      </c>
    </row>
    <row r="3200" spans="2:9" s="126" customFormat="1" ht="15" customHeight="1" x14ac:dyDescent="0.25">
      <c r="B3200" s="271" t="s">
        <v>339</v>
      </c>
      <c r="C3200" s="272" t="s">
        <v>338</v>
      </c>
      <c r="D3200" s="275" t="s">
        <v>216</v>
      </c>
      <c r="E3200" s="275">
        <v>41721.05400462963</v>
      </c>
      <c r="F3200" s="276">
        <v>2</v>
      </c>
      <c r="G3200" s="243">
        <f t="shared" si="50"/>
        <v>130</v>
      </c>
      <c r="H3200" s="244"/>
      <c r="I3200" s="71" t="e">
        <f>IF(COUNTIF((rName rData),H3200),"","Name Error!")</f>
        <v>#NAME?</v>
      </c>
    </row>
    <row r="3201" spans="2:9" s="126" customFormat="1" ht="15" customHeight="1" x14ac:dyDescent="0.25">
      <c r="B3201" s="271" t="s">
        <v>362</v>
      </c>
      <c r="C3201" s="272" t="s">
        <v>361</v>
      </c>
      <c r="D3201" s="275" t="s">
        <v>216</v>
      </c>
      <c r="E3201" s="275">
        <v>41721.103113425925</v>
      </c>
      <c r="F3201" s="276">
        <v>3</v>
      </c>
      <c r="G3201" s="243">
        <f t="shared" si="50"/>
        <v>130</v>
      </c>
      <c r="H3201" s="244"/>
      <c r="I3201" s="71" t="e">
        <f>IF(COUNTIF((rName rData),H3201),"","Name Error!")</f>
        <v>#NAME?</v>
      </c>
    </row>
    <row r="3202" spans="2:9" s="126" customFormat="1" ht="15" customHeight="1" x14ac:dyDescent="0.25">
      <c r="B3202" s="271" t="s">
        <v>356</v>
      </c>
      <c r="C3202" s="272" t="s">
        <v>355</v>
      </c>
      <c r="D3202" s="275" t="s">
        <v>216</v>
      </c>
      <c r="E3202" s="275">
        <v>41721.376863425925</v>
      </c>
      <c r="F3202" s="276">
        <v>1</v>
      </c>
      <c r="G3202" s="243">
        <f t="shared" si="50"/>
        <v>130</v>
      </c>
      <c r="H3202" s="244"/>
      <c r="I3202" s="71" t="e">
        <f>IF(COUNTIF((rName rData),H3202),"","Name Error!")</f>
        <v>#NAME?</v>
      </c>
    </row>
    <row r="3203" spans="2:9" s="126" customFormat="1" ht="15" customHeight="1" x14ac:dyDescent="0.25">
      <c r="B3203" s="271" t="s">
        <v>337</v>
      </c>
      <c r="C3203" s="272" t="s">
        <v>336</v>
      </c>
      <c r="D3203" s="275" t="s">
        <v>216</v>
      </c>
      <c r="E3203" s="275">
        <v>41721.508402777778</v>
      </c>
      <c r="F3203" s="276">
        <v>4</v>
      </c>
      <c r="G3203" s="243">
        <f t="shared" si="50"/>
        <v>130</v>
      </c>
      <c r="H3203" s="244"/>
      <c r="I3203" s="71" t="e">
        <f>IF(COUNTIF((rName rData),H3203),"","Name Error!")</f>
        <v>#NAME?</v>
      </c>
    </row>
    <row r="3204" spans="2:9" s="126" customFormat="1" ht="15" customHeight="1" x14ac:dyDescent="0.25">
      <c r="B3204" s="271" t="s">
        <v>358</v>
      </c>
      <c r="C3204" s="272" t="s">
        <v>357</v>
      </c>
      <c r="D3204" s="275" t="s">
        <v>216</v>
      </c>
      <c r="E3204" s="275">
        <v>41721.540520833332</v>
      </c>
      <c r="F3204" s="276">
        <v>1</v>
      </c>
      <c r="G3204" s="243">
        <f t="shared" si="50"/>
        <v>130</v>
      </c>
      <c r="H3204" s="244"/>
      <c r="I3204" s="71" t="e">
        <f>IF(COUNTIF((rName rData),H3204),"","Name Error!")</f>
        <v>#NAME?</v>
      </c>
    </row>
    <row r="3205" spans="2:9" s="126" customFormat="1" ht="15" customHeight="1" x14ac:dyDescent="0.25">
      <c r="B3205" s="271" t="s">
        <v>324</v>
      </c>
      <c r="C3205" s="272" t="s">
        <v>323</v>
      </c>
      <c r="D3205" s="275" t="s">
        <v>216</v>
      </c>
      <c r="E3205" s="275">
        <v>41721.574618055558</v>
      </c>
      <c r="F3205" s="276">
        <v>4</v>
      </c>
      <c r="G3205" s="243">
        <f t="shared" si="50"/>
        <v>130</v>
      </c>
      <c r="H3205" s="244"/>
      <c r="I3205" s="71" t="e">
        <f>IF(COUNTIF((rName rData),H3205),"","Name Error!")</f>
        <v>#NAME?</v>
      </c>
    </row>
    <row r="3206" spans="2:9" s="126" customFormat="1" ht="15" customHeight="1" x14ac:dyDescent="0.25">
      <c r="B3206" s="271" t="s">
        <v>267</v>
      </c>
      <c r="C3206" s="272" t="s">
        <v>268</v>
      </c>
      <c r="D3206" s="275" t="s">
        <v>216</v>
      </c>
      <c r="E3206" s="275">
        <v>41721.663078703707</v>
      </c>
      <c r="F3206" s="276">
        <v>1</v>
      </c>
      <c r="G3206" s="243">
        <f t="shared" si="50"/>
        <v>130</v>
      </c>
      <c r="H3206" s="244"/>
      <c r="I3206" s="71" t="e">
        <f>IF(COUNTIF((rName rData),H3206),"","Name Error!")</f>
        <v>#NAME?</v>
      </c>
    </row>
    <row r="3207" spans="2:9" s="126" customFormat="1" ht="15" customHeight="1" x14ac:dyDescent="0.25">
      <c r="B3207" s="271" t="s">
        <v>320</v>
      </c>
      <c r="C3207" s="272" t="s">
        <v>319</v>
      </c>
      <c r="D3207" s="275" t="s">
        <v>216</v>
      </c>
      <c r="E3207" s="275">
        <v>41721.768611111111</v>
      </c>
      <c r="F3207" s="276">
        <v>1</v>
      </c>
      <c r="G3207" s="243">
        <f t="shared" si="50"/>
        <v>130</v>
      </c>
      <c r="H3207" s="244"/>
      <c r="I3207" s="71" t="e">
        <f>IF(COUNTIF((rName rData),H3207),"","Name Error!")</f>
        <v>#NAME?</v>
      </c>
    </row>
    <row r="3208" spans="2:9" s="126" customFormat="1" ht="15" customHeight="1" x14ac:dyDescent="0.25">
      <c r="B3208" s="271" t="s">
        <v>350</v>
      </c>
      <c r="C3208" s="272" t="s">
        <v>349</v>
      </c>
      <c r="D3208" s="275" t="s">
        <v>216</v>
      </c>
      <c r="E3208" s="275">
        <v>41721.779050925928</v>
      </c>
      <c r="F3208" s="276">
        <v>2</v>
      </c>
      <c r="G3208" s="243">
        <f t="shared" si="50"/>
        <v>130</v>
      </c>
      <c r="H3208" s="244"/>
      <c r="I3208" s="71" t="e">
        <f>IF(COUNTIF((rName rData),H3208),"","Name Error!")</f>
        <v>#NAME?</v>
      </c>
    </row>
    <row r="3209" spans="2:9" s="126" customFormat="1" ht="15" customHeight="1" x14ac:dyDescent="0.25">
      <c r="B3209" s="271" t="s">
        <v>331</v>
      </c>
      <c r="C3209" s="272" t="s">
        <v>330</v>
      </c>
      <c r="D3209" s="275" t="s">
        <v>216</v>
      </c>
      <c r="E3209" s="275">
        <v>41721.843946759262</v>
      </c>
      <c r="F3209" s="276">
        <v>5</v>
      </c>
      <c r="G3209" s="243">
        <f t="shared" si="50"/>
        <v>130</v>
      </c>
      <c r="H3209" s="244"/>
      <c r="I3209" s="71" t="e">
        <f>IF(COUNTIF((rName rData),H3209),"","Name Error!")</f>
        <v>#NAME?</v>
      </c>
    </row>
    <row r="3210" spans="2:9" s="126" customFormat="1" ht="15" customHeight="1" x14ac:dyDescent="0.25">
      <c r="B3210" s="271" t="s">
        <v>365</v>
      </c>
      <c r="C3210" s="272" t="s">
        <v>364</v>
      </c>
      <c r="D3210" s="275" t="s">
        <v>216</v>
      </c>
      <c r="E3210" s="275">
        <v>41721.892083333332</v>
      </c>
      <c r="F3210" s="276">
        <v>1</v>
      </c>
      <c r="G3210" s="243">
        <f t="shared" ref="G3210:G3273" si="51">TRUNC((E3210-start)/7)+1</f>
        <v>130</v>
      </c>
      <c r="H3210" s="244"/>
      <c r="I3210" s="71" t="e">
        <f>IF(COUNTIF((rName rData),H3210),"","Name Error!")</f>
        <v>#NAME?</v>
      </c>
    </row>
    <row r="3211" spans="2:9" s="126" customFormat="1" ht="15" customHeight="1" x14ac:dyDescent="0.25">
      <c r="B3211" s="271" t="s">
        <v>322</v>
      </c>
      <c r="C3211" s="272" t="s">
        <v>321</v>
      </c>
      <c r="D3211" s="275" t="s">
        <v>216</v>
      </c>
      <c r="E3211" s="275">
        <v>41722.363356481481</v>
      </c>
      <c r="F3211" s="276">
        <v>4</v>
      </c>
      <c r="G3211" s="243">
        <f t="shared" si="51"/>
        <v>130</v>
      </c>
      <c r="H3211" s="244"/>
      <c r="I3211" s="71" t="e">
        <f>IF(COUNTIF((rName rData),H3211),"","Name Error!")</f>
        <v>#NAME?</v>
      </c>
    </row>
    <row r="3212" spans="2:9" s="126" customFormat="1" ht="15" customHeight="1" x14ac:dyDescent="0.25">
      <c r="B3212" s="271" t="s">
        <v>337</v>
      </c>
      <c r="C3212" s="272" t="s">
        <v>336</v>
      </c>
      <c r="D3212" s="275" t="s">
        <v>216</v>
      </c>
      <c r="E3212" s="275">
        <v>41722.491053240738</v>
      </c>
      <c r="F3212" s="276">
        <v>1</v>
      </c>
      <c r="G3212" s="243">
        <f t="shared" si="51"/>
        <v>130</v>
      </c>
      <c r="H3212" s="244"/>
      <c r="I3212" s="71" t="e">
        <f>IF(COUNTIF((rName rData),H3212),"","Name Error!")</f>
        <v>#NAME?</v>
      </c>
    </row>
    <row r="3213" spans="2:9" s="126" customFormat="1" ht="15" customHeight="1" x14ac:dyDescent="0.25">
      <c r="B3213" s="271" t="s">
        <v>324</v>
      </c>
      <c r="C3213" s="272" t="s">
        <v>323</v>
      </c>
      <c r="D3213" s="275" t="s">
        <v>216</v>
      </c>
      <c r="E3213" s="275">
        <v>41722.493668981479</v>
      </c>
      <c r="F3213" s="276">
        <v>1</v>
      </c>
      <c r="G3213" s="243">
        <f t="shared" si="51"/>
        <v>130</v>
      </c>
      <c r="H3213" s="244"/>
      <c r="I3213" s="71" t="e">
        <f>IF(COUNTIF((rName rData),H3213),"","Name Error!")</f>
        <v>#NAME?</v>
      </c>
    </row>
    <row r="3214" spans="2:9" s="126" customFormat="1" ht="15" customHeight="1" x14ac:dyDescent="0.25">
      <c r="B3214" s="271" t="s">
        <v>371</v>
      </c>
      <c r="C3214" s="272" t="s">
        <v>370</v>
      </c>
      <c r="D3214" s="275" t="s">
        <v>216</v>
      </c>
      <c r="E3214" s="275">
        <v>41722.775335648148</v>
      </c>
      <c r="F3214" s="276">
        <v>1</v>
      </c>
      <c r="G3214" s="243">
        <f t="shared" si="51"/>
        <v>130</v>
      </c>
      <c r="H3214" s="244"/>
      <c r="I3214" s="71" t="e">
        <f>IF(COUNTIF((rName rData),H3214),"","Name Error!")</f>
        <v>#NAME?</v>
      </c>
    </row>
    <row r="3215" spans="2:9" s="126" customFormat="1" ht="15" customHeight="1" x14ac:dyDescent="0.25">
      <c r="B3215" s="271" t="s">
        <v>335</v>
      </c>
      <c r="C3215" s="272" t="s">
        <v>334</v>
      </c>
      <c r="D3215" s="275" t="s">
        <v>216</v>
      </c>
      <c r="E3215" s="275">
        <v>41722.778043981481</v>
      </c>
      <c r="F3215" s="276">
        <v>1</v>
      </c>
      <c r="G3215" s="243">
        <f t="shared" si="51"/>
        <v>130</v>
      </c>
      <c r="H3215" s="244"/>
      <c r="I3215" s="71" t="e">
        <f>IF(COUNTIF((rName rData),H3215),"","Name Error!")</f>
        <v>#NAME?</v>
      </c>
    </row>
    <row r="3216" spans="2:9" s="126" customFormat="1" ht="15" customHeight="1" x14ac:dyDescent="0.25">
      <c r="B3216" s="271" t="s">
        <v>331</v>
      </c>
      <c r="C3216" s="272" t="s">
        <v>330</v>
      </c>
      <c r="D3216" s="275" t="s">
        <v>216</v>
      </c>
      <c r="E3216" s="275">
        <v>41722.877696759257</v>
      </c>
      <c r="F3216" s="276">
        <v>1</v>
      </c>
      <c r="G3216" s="243">
        <f t="shared" si="51"/>
        <v>130</v>
      </c>
      <c r="H3216" s="244"/>
      <c r="I3216" s="71" t="e">
        <f>IF(COUNTIF((rName rData),H3216),"","Name Error!")</f>
        <v>#NAME?</v>
      </c>
    </row>
    <row r="3217" spans="2:9" s="126" customFormat="1" ht="15" customHeight="1" x14ac:dyDescent="0.25">
      <c r="B3217" s="271" t="s">
        <v>354</v>
      </c>
      <c r="C3217" s="272" t="s">
        <v>353</v>
      </c>
      <c r="D3217" s="275" t="s">
        <v>216</v>
      </c>
      <c r="E3217" s="275">
        <v>41723.406354166669</v>
      </c>
      <c r="F3217" s="276">
        <v>1</v>
      </c>
      <c r="G3217" s="243">
        <f t="shared" si="51"/>
        <v>130</v>
      </c>
      <c r="H3217" s="244"/>
      <c r="I3217" s="71" t="e">
        <f>IF(COUNTIF((rName rData),H3217),"","Name Error!")</f>
        <v>#NAME?</v>
      </c>
    </row>
    <row r="3218" spans="2:9" s="126" customFormat="1" ht="15" customHeight="1" x14ac:dyDescent="0.25">
      <c r="B3218" s="271" t="s">
        <v>341</v>
      </c>
      <c r="C3218" s="272" t="s">
        <v>340</v>
      </c>
      <c r="D3218" s="275" t="s">
        <v>216</v>
      </c>
      <c r="E3218" s="275">
        <v>41723.486747685187</v>
      </c>
      <c r="F3218" s="276">
        <v>1</v>
      </c>
      <c r="G3218" s="243">
        <f t="shared" si="51"/>
        <v>130</v>
      </c>
      <c r="H3218" s="244"/>
      <c r="I3218" s="71" t="e">
        <f>IF(COUNTIF((rName rData),H3218),"","Name Error!")</f>
        <v>#NAME?</v>
      </c>
    </row>
    <row r="3219" spans="2:9" s="126" customFormat="1" ht="15" customHeight="1" x14ac:dyDescent="0.25">
      <c r="B3219" s="271" t="s">
        <v>324</v>
      </c>
      <c r="C3219" s="272" t="s">
        <v>323</v>
      </c>
      <c r="D3219" s="275" t="s">
        <v>216</v>
      </c>
      <c r="E3219" s="275">
        <v>41723.572766203702</v>
      </c>
      <c r="F3219" s="276">
        <v>1</v>
      </c>
      <c r="G3219" s="243">
        <f t="shared" si="51"/>
        <v>130</v>
      </c>
      <c r="H3219" s="244"/>
      <c r="I3219" s="71" t="e">
        <f>IF(COUNTIF((rName rData),H3219),"","Name Error!")</f>
        <v>#NAME?</v>
      </c>
    </row>
    <row r="3220" spans="2:9" s="126" customFormat="1" ht="15" customHeight="1" x14ac:dyDescent="0.25">
      <c r="B3220" s="271" t="s">
        <v>267</v>
      </c>
      <c r="C3220" s="272" t="s">
        <v>268</v>
      </c>
      <c r="D3220" s="275" t="s">
        <v>216</v>
      </c>
      <c r="E3220" s="275">
        <v>41723.608784722222</v>
      </c>
      <c r="F3220" s="276">
        <v>1</v>
      </c>
      <c r="G3220" s="243">
        <f t="shared" si="51"/>
        <v>130</v>
      </c>
      <c r="H3220" s="244"/>
      <c r="I3220" s="71" t="e">
        <f>IF(COUNTIF((rName rData),H3220),"","Name Error!")</f>
        <v>#NAME?</v>
      </c>
    </row>
    <row r="3221" spans="2:9" s="126" customFormat="1" ht="15" customHeight="1" x14ac:dyDescent="0.25">
      <c r="B3221" s="271" t="s">
        <v>371</v>
      </c>
      <c r="C3221" s="272" t="s">
        <v>370</v>
      </c>
      <c r="D3221" s="275" t="s">
        <v>216</v>
      </c>
      <c r="E3221" s="275">
        <v>41723.779004629629</v>
      </c>
      <c r="F3221" s="276">
        <v>3</v>
      </c>
      <c r="G3221" s="243">
        <f t="shared" si="51"/>
        <v>130</v>
      </c>
      <c r="H3221" s="244"/>
      <c r="I3221" s="71" t="e">
        <f>IF(COUNTIF((rName rData),H3221),"","Name Error!")</f>
        <v>#NAME?</v>
      </c>
    </row>
    <row r="3222" spans="2:9" s="126" customFormat="1" ht="15" customHeight="1" x14ac:dyDescent="0.25">
      <c r="B3222" s="271" t="s">
        <v>358</v>
      </c>
      <c r="C3222" s="272" t="s">
        <v>357</v>
      </c>
      <c r="D3222" s="275" t="s">
        <v>216</v>
      </c>
      <c r="E3222" s="275">
        <v>41723.867442129631</v>
      </c>
      <c r="F3222" s="276">
        <v>2</v>
      </c>
      <c r="G3222" s="243">
        <f t="shared" si="51"/>
        <v>130</v>
      </c>
      <c r="H3222" s="244"/>
      <c r="I3222" s="71" t="e">
        <f>IF(COUNTIF((rName rData),H3222),"","Name Error!")</f>
        <v>#NAME?</v>
      </c>
    </row>
    <row r="3223" spans="2:9" s="126" customFormat="1" ht="15" customHeight="1" x14ac:dyDescent="0.25">
      <c r="B3223" s="271" t="s">
        <v>322</v>
      </c>
      <c r="C3223" s="272" t="s">
        <v>321</v>
      </c>
      <c r="D3223" s="275" t="s">
        <v>216</v>
      </c>
      <c r="E3223" s="275">
        <v>41723.879270833335</v>
      </c>
      <c r="F3223" s="276">
        <v>1</v>
      </c>
      <c r="G3223" s="243">
        <f t="shared" si="51"/>
        <v>130</v>
      </c>
      <c r="H3223" s="244"/>
      <c r="I3223" s="71" t="e">
        <f>IF(COUNTIF((rName rData),H3223),"","Name Error!")</f>
        <v>#NAME?</v>
      </c>
    </row>
    <row r="3224" spans="2:9" s="126" customFormat="1" ht="15" customHeight="1" x14ac:dyDescent="0.25">
      <c r="B3224" s="271" t="s">
        <v>358</v>
      </c>
      <c r="C3224" s="272" t="s">
        <v>357</v>
      </c>
      <c r="D3224" s="275" t="s">
        <v>216</v>
      </c>
      <c r="E3224" s="275">
        <v>41724.533761574072</v>
      </c>
      <c r="F3224" s="276">
        <v>1</v>
      </c>
      <c r="G3224" s="243">
        <f t="shared" si="51"/>
        <v>130</v>
      </c>
      <c r="H3224" s="244"/>
      <c r="I3224" s="71" t="e">
        <f>IF(COUNTIF((rName rData),H3224),"","Name Error!")</f>
        <v>#NAME?</v>
      </c>
    </row>
    <row r="3225" spans="2:9" s="126" customFormat="1" ht="15" customHeight="1" x14ac:dyDescent="0.25">
      <c r="B3225" s="271" t="s">
        <v>331</v>
      </c>
      <c r="C3225" s="272" t="s">
        <v>330</v>
      </c>
      <c r="D3225" s="275" t="s">
        <v>216</v>
      </c>
      <c r="E3225" s="275">
        <v>41724.765393518515</v>
      </c>
      <c r="F3225" s="276">
        <v>1</v>
      </c>
      <c r="G3225" s="243">
        <f t="shared" si="51"/>
        <v>130</v>
      </c>
      <c r="H3225" s="244"/>
      <c r="I3225" s="71" t="e">
        <f>IF(COUNTIF((rName rData),H3225),"","Name Error!")</f>
        <v>#NAME?</v>
      </c>
    </row>
    <row r="3226" spans="2:9" s="126" customFormat="1" ht="15" customHeight="1" x14ac:dyDescent="0.25">
      <c r="B3226" s="271" t="s">
        <v>331</v>
      </c>
      <c r="C3226" s="272" t="s">
        <v>330</v>
      </c>
      <c r="D3226" s="275" t="s">
        <v>216</v>
      </c>
      <c r="E3226" s="275">
        <v>41725.012789351851</v>
      </c>
      <c r="F3226" s="276">
        <v>2</v>
      </c>
      <c r="G3226" s="243">
        <f t="shared" si="51"/>
        <v>130</v>
      </c>
      <c r="H3226" s="244"/>
      <c r="I3226" s="71" t="e">
        <f>IF(COUNTIF((rName rData),H3226),"","Name Error!")</f>
        <v>#NAME?</v>
      </c>
    </row>
    <row r="3227" spans="2:9" s="126" customFormat="1" ht="15" customHeight="1" x14ac:dyDescent="0.25">
      <c r="B3227" s="271" t="s">
        <v>341</v>
      </c>
      <c r="C3227" s="272" t="s">
        <v>340</v>
      </c>
      <c r="D3227" s="275" t="s">
        <v>216</v>
      </c>
      <c r="E3227" s="275">
        <v>41725.869131944448</v>
      </c>
      <c r="F3227" s="276">
        <v>1</v>
      </c>
      <c r="G3227" s="243">
        <f t="shared" si="51"/>
        <v>130</v>
      </c>
      <c r="H3227" s="244"/>
      <c r="I3227" s="71" t="e">
        <f>IF(COUNTIF((rName rData),H3227),"","Name Error!")</f>
        <v>#NAME?</v>
      </c>
    </row>
    <row r="3228" spans="2:9" s="126" customFormat="1" ht="15" customHeight="1" x14ac:dyDescent="0.25">
      <c r="B3228" s="271" t="s">
        <v>331</v>
      </c>
      <c r="C3228" s="272" t="s">
        <v>330</v>
      </c>
      <c r="D3228" s="275" t="s">
        <v>216</v>
      </c>
      <c r="E3228" s="275">
        <v>41726.003865740742</v>
      </c>
      <c r="F3228" s="276">
        <v>1</v>
      </c>
      <c r="G3228" s="243">
        <f t="shared" si="51"/>
        <v>130</v>
      </c>
      <c r="H3228" s="244"/>
      <c r="I3228" s="71" t="e">
        <f>IF(COUNTIF((rName rData),H3228),"","Name Error!")</f>
        <v>#NAME?</v>
      </c>
    </row>
    <row r="3229" spans="2:9" s="126" customFormat="1" ht="15" customHeight="1" x14ac:dyDescent="0.25">
      <c r="B3229" s="271" t="s">
        <v>322</v>
      </c>
      <c r="C3229" s="272" t="s">
        <v>321</v>
      </c>
      <c r="D3229" s="275" t="s">
        <v>216</v>
      </c>
      <c r="E3229" s="275">
        <v>41726.460717592592</v>
      </c>
      <c r="F3229" s="276">
        <v>1</v>
      </c>
      <c r="G3229" s="243">
        <f t="shared" si="51"/>
        <v>130</v>
      </c>
      <c r="H3229" s="244"/>
      <c r="I3229" s="71" t="e">
        <f>IF(COUNTIF((rName rData),H3229),"","Name Error!")</f>
        <v>#NAME?</v>
      </c>
    </row>
    <row r="3230" spans="2:9" s="126" customFormat="1" ht="15" customHeight="1" x14ac:dyDescent="0.25">
      <c r="B3230" s="271" t="s">
        <v>324</v>
      </c>
      <c r="C3230" s="272" t="s">
        <v>323</v>
      </c>
      <c r="D3230" s="275" t="s">
        <v>216</v>
      </c>
      <c r="E3230" s="275">
        <v>41727.045416666668</v>
      </c>
      <c r="F3230" s="276">
        <v>1</v>
      </c>
      <c r="G3230" s="243">
        <f t="shared" si="51"/>
        <v>131</v>
      </c>
      <c r="H3230" s="244"/>
      <c r="I3230" s="71" t="e">
        <f>IF(COUNTIF((rName rData),H3230),"","Name Error!")</f>
        <v>#NAME?</v>
      </c>
    </row>
    <row r="3231" spans="2:9" s="126" customFormat="1" ht="15" customHeight="1" x14ac:dyDescent="0.25">
      <c r="B3231" s="271" t="s">
        <v>358</v>
      </c>
      <c r="C3231" s="272" t="s">
        <v>357</v>
      </c>
      <c r="D3231" s="275" t="s">
        <v>216</v>
      </c>
      <c r="E3231" s="275">
        <v>41727.074363425927</v>
      </c>
      <c r="F3231" s="276">
        <v>6</v>
      </c>
      <c r="G3231" s="243">
        <f t="shared" si="51"/>
        <v>131</v>
      </c>
      <c r="H3231" s="244"/>
      <c r="I3231" s="71" t="e">
        <f>IF(COUNTIF((rName rData),H3231),"","Name Error!")</f>
        <v>#NAME?</v>
      </c>
    </row>
    <row r="3232" spans="2:9" s="126" customFormat="1" ht="15" customHeight="1" x14ac:dyDescent="0.25">
      <c r="B3232" s="271" t="s">
        <v>352</v>
      </c>
      <c r="C3232" s="272" t="s">
        <v>351</v>
      </c>
      <c r="D3232" s="275" t="s">
        <v>216</v>
      </c>
      <c r="E3232" s="275">
        <v>41727.611643518518</v>
      </c>
      <c r="F3232" s="276">
        <v>3</v>
      </c>
      <c r="G3232" s="243">
        <f t="shared" si="51"/>
        <v>131</v>
      </c>
      <c r="H3232" s="244"/>
      <c r="I3232" s="71" t="e">
        <f>IF(COUNTIF((rName rData),H3232),"","Name Error!")</f>
        <v>#NAME?</v>
      </c>
    </row>
    <row r="3233" spans="2:9" s="126" customFormat="1" ht="15" customHeight="1" x14ac:dyDescent="0.25">
      <c r="B3233" s="271" t="s">
        <v>267</v>
      </c>
      <c r="C3233" s="272" t="s">
        <v>268</v>
      </c>
      <c r="D3233" s="275" t="s">
        <v>216</v>
      </c>
      <c r="E3233" s="275">
        <v>41727.645798611113</v>
      </c>
      <c r="F3233" s="276">
        <v>1</v>
      </c>
      <c r="G3233" s="243">
        <f t="shared" si="51"/>
        <v>131</v>
      </c>
      <c r="H3233" s="244"/>
      <c r="I3233" s="71" t="e">
        <f>IF(COUNTIF((rName rData),H3233),"","Name Error!")</f>
        <v>#NAME?</v>
      </c>
    </row>
    <row r="3234" spans="2:9" s="126" customFormat="1" ht="15" customHeight="1" x14ac:dyDescent="0.25">
      <c r="B3234" s="271" t="s">
        <v>350</v>
      </c>
      <c r="C3234" s="272" t="s">
        <v>349</v>
      </c>
      <c r="D3234" s="275" t="s">
        <v>216</v>
      </c>
      <c r="E3234" s="275">
        <v>41727.668217592596</v>
      </c>
      <c r="F3234" s="276">
        <v>1</v>
      </c>
      <c r="G3234" s="243">
        <f t="shared" si="51"/>
        <v>131</v>
      </c>
      <c r="H3234" s="244"/>
      <c r="I3234" s="71" t="e">
        <f>IF(COUNTIF((rName rData),H3234),"","Name Error!")</f>
        <v>#NAME?</v>
      </c>
    </row>
    <row r="3235" spans="2:9" s="126" customFormat="1" ht="15" customHeight="1" x14ac:dyDescent="0.25">
      <c r="B3235" s="271" t="s">
        <v>337</v>
      </c>
      <c r="C3235" s="272" t="s">
        <v>336</v>
      </c>
      <c r="D3235" s="275" t="s">
        <v>216</v>
      </c>
      <c r="E3235" s="275">
        <v>41727.699849537035</v>
      </c>
      <c r="F3235" s="276">
        <v>1</v>
      </c>
      <c r="G3235" s="243">
        <f t="shared" si="51"/>
        <v>131</v>
      </c>
      <c r="H3235" s="244"/>
      <c r="I3235" s="71" t="e">
        <f>IF(COUNTIF((rName rData),H3235),"","Name Error!")</f>
        <v>#NAME?</v>
      </c>
    </row>
    <row r="3236" spans="2:9" s="126" customFormat="1" ht="15" customHeight="1" x14ac:dyDescent="0.25">
      <c r="B3236" s="271" t="s">
        <v>362</v>
      </c>
      <c r="C3236" s="272" t="s">
        <v>361</v>
      </c>
      <c r="D3236" s="275" t="s">
        <v>216</v>
      </c>
      <c r="E3236" s="275">
        <v>41727.711053240739</v>
      </c>
      <c r="F3236" s="276">
        <v>1</v>
      </c>
      <c r="G3236" s="243">
        <f t="shared" si="51"/>
        <v>131</v>
      </c>
      <c r="H3236" s="244"/>
      <c r="I3236" s="71" t="e">
        <f>IF(COUNTIF((rName rData),H3236),"","Name Error!")</f>
        <v>#NAME?</v>
      </c>
    </row>
    <row r="3237" spans="2:9" s="126" customFormat="1" ht="15" customHeight="1" x14ac:dyDescent="0.25">
      <c r="B3237" s="271" t="s">
        <v>322</v>
      </c>
      <c r="C3237" s="272" t="s">
        <v>321</v>
      </c>
      <c r="D3237" s="275" t="s">
        <v>216</v>
      </c>
      <c r="E3237" s="275">
        <v>41727.731874999998</v>
      </c>
      <c r="F3237" s="276">
        <v>5</v>
      </c>
      <c r="G3237" s="243">
        <f t="shared" si="51"/>
        <v>131</v>
      </c>
      <c r="H3237" s="244"/>
      <c r="I3237" s="71" t="e">
        <f>IF(COUNTIF((rName rData),H3237),"","Name Error!")</f>
        <v>#NAME?</v>
      </c>
    </row>
    <row r="3238" spans="2:9" s="126" customFormat="1" ht="15" customHeight="1" x14ac:dyDescent="0.25">
      <c r="B3238" s="271" t="s">
        <v>331</v>
      </c>
      <c r="C3238" s="272" t="s">
        <v>330</v>
      </c>
      <c r="D3238" s="275" t="s">
        <v>216</v>
      </c>
      <c r="E3238" s="275">
        <v>41727.905648148146</v>
      </c>
      <c r="F3238" s="276">
        <v>5</v>
      </c>
      <c r="G3238" s="243">
        <f t="shared" si="51"/>
        <v>131</v>
      </c>
      <c r="H3238" s="244"/>
      <c r="I3238" s="71" t="e">
        <f>IF(COUNTIF((rName rData),H3238),"","Name Error!")</f>
        <v>#NAME?</v>
      </c>
    </row>
    <row r="3239" spans="2:9" s="126" customFormat="1" ht="15" customHeight="1" x14ac:dyDescent="0.25">
      <c r="B3239" s="271" t="s">
        <v>322</v>
      </c>
      <c r="C3239" s="272" t="s">
        <v>321</v>
      </c>
      <c r="D3239" s="275" t="s">
        <v>216</v>
      </c>
      <c r="E3239" s="275">
        <v>41728.433113425926</v>
      </c>
      <c r="F3239" s="276">
        <v>2</v>
      </c>
      <c r="G3239" s="243">
        <f t="shared" si="51"/>
        <v>131</v>
      </c>
      <c r="H3239" s="244"/>
      <c r="I3239" s="71" t="e">
        <f>IF(COUNTIF((rName rData),H3239),"","Name Error!")</f>
        <v>#NAME?</v>
      </c>
    </row>
    <row r="3240" spans="2:9" s="126" customFormat="1" ht="15" customHeight="1" x14ac:dyDescent="0.25">
      <c r="B3240" s="271" t="s">
        <v>341</v>
      </c>
      <c r="C3240" s="272" t="s">
        <v>340</v>
      </c>
      <c r="D3240" s="275" t="s">
        <v>216</v>
      </c>
      <c r="E3240" s="275">
        <v>41728.448819444442</v>
      </c>
      <c r="F3240" s="276">
        <v>3</v>
      </c>
      <c r="G3240" s="243">
        <f t="shared" si="51"/>
        <v>131</v>
      </c>
      <c r="H3240" s="244"/>
      <c r="I3240" s="71" t="e">
        <f>IF(COUNTIF((rName rData),H3240),"","Name Error!")</f>
        <v>#NAME?</v>
      </c>
    </row>
    <row r="3241" spans="2:9" s="126" customFormat="1" ht="15" customHeight="1" x14ac:dyDescent="0.25">
      <c r="B3241" s="271" t="s">
        <v>267</v>
      </c>
      <c r="C3241" s="272" t="s">
        <v>268</v>
      </c>
      <c r="D3241" s="275" t="s">
        <v>216</v>
      </c>
      <c r="E3241" s="275">
        <v>41728.552858796298</v>
      </c>
      <c r="F3241" s="276">
        <v>2</v>
      </c>
      <c r="G3241" s="243">
        <f t="shared" si="51"/>
        <v>131</v>
      </c>
      <c r="H3241" s="244"/>
      <c r="I3241" s="71" t="e">
        <f>IF(COUNTIF((rName rData),H3241),"","Name Error!")</f>
        <v>#NAME?</v>
      </c>
    </row>
    <row r="3242" spans="2:9" s="126" customFormat="1" ht="15" customHeight="1" x14ac:dyDescent="0.25">
      <c r="B3242" s="271" t="s">
        <v>362</v>
      </c>
      <c r="C3242" s="272" t="s">
        <v>361</v>
      </c>
      <c r="D3242" s="275" t="s">
        <v>216</v>
      </c>
      <c r="E3242" s="275">
        <v>41728.567615740743</v>
      </c>
      <c r="F3242" s="276">
        <v>6</v>
      </c>
      <c r="G3242" s="243">
        <f t="shared" si="51"/>
        <v>131</v>
      </c>
      <c r="H3242" s="244"/>
      <c r="I3242" s="71" t="e">
        <f>IF(COUNTIF((rName rData),H3242),"","Name Error!")</f>
        <v>#NAME?</v>
      </c>
    </row>
    <row r="3243" spans="2:9" s="126" customFormat="1" ht="15" customHeight="1" x14ac:dyDescent="0.25">
      <c r="B3243" s="271" t="s">
        <v>320</v>
      </c>
      <c r="C3243" s="272" t="s">
        <v>319</v>
      </c>
      <c r="D3243" s="275" t="s">
        <v>216</v>
      </c>
      <c r="E3243" s="275">
        <v>41728.583124999997</v>
      </c>
      <c r="F3243" s="276">
        <v>3</v>
      </c>
      <c r="G3243" s="243">
        <f t="shared" si="51"/>
        <v>131</v>
      </c>
      <c r="H3243" s="244"/>
      <c r="I3243" s="71" t="e">
        <f>IF(COUNTIF((rName rData),H3243),"","Name Error!")</f>
        <v>#NAME?</v>
      </c>
    </row>
    <row r="3244" spans="2:9" s="126" customFormat="1" ht="15" customHeight="1" x14ac:dyDescent="0.25">
      <c r="B3244" s="271" t="s">
        <v>371</v>
      </c>
      <c r="C3244" s="272" t="s">
        <v>370</v>
      </c>
      <c r="D3244" s="275" t="s">
        <v>216</v>
      </c>
      <c r="E3244" s="275">
        <v>41728.591840277775</v>
      </c>
      <c r="F3244" s="276">
        <v>1</v>
      </c>
      <c r="G3244" s="243">
        <f t="shared" si="51"/>
        <v>131</v>
      </c>
      <c r="H3244" s="244"/>
      <c r="I3244" s="71" t="e">
        <f>IF(COUNTIF((rName rData),H3244),"","Name Error!")</f>
        <v>#NAME?</v>
      </c>
    </row>
    <row r="3245" spans="2:9" s="126" customFormat="1" ht="15" customHeight="1" x14ac:dyDescent="0.25">
      <c r="B3245" s="271" t="s">
        <v>352</v>
      </c>
      <c r="C3245" s="272" t="s">
        <v>351</v>
      </c>
      <c r="D3245" s="275" t="s">
        <v>216</v>
      </c>
      <c r="E3245" s="275">
        <v>41728.626643518517</v>
      </c>
      <c r="F3245" s="276">
        <v>1</v>
      </c>
      <c r="G3245" s="243">
        <f t="shared" si="51"/>
        <v>131</v>
      </c>
      <c r="H3245" s="244"/>
      <c r="I3245" s="71" t="e">
        <f>IF(COUNTIF((rName rData),H3245),"","Name Error!")</f>
        <v>#NAME?</v>
      </c>
    </row>
    <row r="3246" spans="2:9" s="126" customFormat="1" ht="15" customHeight="1" x14ac:dyDescent="0.25">
      <c r="B3246" s="271" t="s">
        <v>345</v>
      </c>
      <c r="C3246" s="272" t="s">
        <v>344</v>
      </c>
      <c r="D3246" s="275" t="s">
        <v>216</v>
      </c>
      <c r="E3246" s="275">
        <v>41728.66238425926</v>
      </c>
      <c r="F3246" s="276">
        <v>3</v>
      </c>
      <c r="G3246" s="243">
        <f t="shared" si="51"/>
        <v>131</v>
      </c>
      <c r="H3246" s="244"/>
      <c r="I3246" s="71" t="e">
        <f>IF(COUNTIF((rName rData),H3246),"","Name Error!")</f>
        <v>#NAME?</v>
      </c>
    </row>
    <row r="3247" spans="2:9" s="126" customFormat="1" ht="15" customHeight="1" x14ac:dyDescent="0.25">
      <c r="B3247" s="271" t="s">
        <v>354</v>
      </c>
      <c r="C3247" s="272" t="s">
        <v>353</v>
      </c>
      <c r="D3247" s="275" t="s">
        <v>216</v>
      </c>
      <c r="E3247" s="275">
        <v>41728.671307870369</v>
      </c>
      <c r="F3247" s="276">
        <v>3</v>
      </c>
      <c r="G3247" s="243">
        <f t="shared" si="51"/>
        <v>131</v>
      </c>
      <c r="H3247" s="244"/>
      <c r="I3247" s="71" t="e">
        <f>IF(COUNTIF((rName rData),H3247),"","Name Error!")</f>
        <v>#NAME?</v>
      </c>
    </row>
    <row r="3248" spans="2:9" s="126" customFormat="1" ht="15" customHeight="1" x14ac:dyDescent="0.25">
      <c r="B3248" s="271" t="s">
        <v>324</v>
      </c>
      <c r="C3248" s="272" t="s">
        <v>323</v>
      </c>
      <c r="D3248" s="275" t="s">
        <v>216</v>
      </c>
      <c r="E3248" s="275">
        <v>41728.686620370368</v>
      </c>
      <c r="F3248" s="276">
        <v>3</v>
      </c>
      <c r="G3248" s="243">
        <f t="shared" si="51"/>
        <v>131</v>
      </c>
      <c r="H3248" s="244"/>
      <c r="I3248" s="71" t="e">
        <f>IF(COUNTIF((rName rData),H3248),"","Name Error!")</f>
        <v>#NAME?</v>
      </c>
    </row>
    <row r="3249" spans="2:9" s="126" customFormat="1" ht="15" customHeight="1" x14ac:dyDescent="0.25">
      <c r="B3249" s="271" t="s">
        <v>337</v>
      </c>
      <c r="C3249" s="272" t="s">
        <v>336</v>
      </c>
      <c r="D3249" s="275" t="s">
        <v>216</v>
      </c>
      <c r="E3249" s="275">
        <v>41728.698946759258</v>
      </c>
      <c r="F3249" s="276">
        <v>4</v>
      </c>
      <c r="G3249" s="243">
        <f t="shared" si="51"/>
        <v>131</v>
      </c>
      <c r="H3249" s="244"/>
      <c r="I3249" s="71" t="e">
        <f>IF(COUNTIF((rName rData),H3249),"","Name Error!")</f>
        <v>#NAME?</v>
      </c>
    </row>
    <row r="3250" spans="2:9" s="126" customFormat="1" ht="15" customHeight="1" x14ac:dyDescent="0.25">
      <c r="B3250" s="271" t="s">
        <v>356</v>
      </c>
      <c r="C3250" s="272" t="s">
        <v>355</v>
      </c>
      <c r="D3250" s="275" t="s">
        <v>216</v>
      </c>
      <c r="E3250" s="275">
        <v>41728.723738425928</v>
      </c>
      <c r="F3250" s="276">
        <v>3</v>
      </c>
      <c r="G3250" s="243">
        <f t="shared" si="51"/>
        <v>131</v>
      </c>
      <c r="H3250" s="244"/>
      <c r="I3250" s="71" t="e">
        <f>IF(COUNTIF((rName rData),H3250),"","Name Error!")</f>
        <v>#NAME?</v>
      </c>
    </row>
    <row r="3251" spans="2:9" s="126" customFormat="1" ht="15" customHeight="1" x14ac:dyDescent="0.25">
      <c r="B3251" s="271" t="s">
        <v>335</v>
      </c>
      <c r="C3251" s="272" t="s">
        <v>334</v>
      </c>
      <c r="D3251" s="275" t="s">
        <v>216</v>
      </c>
      <c r="E3251" s="275">
        <v>41728.798078703701</v>
      </c>
      <c r="F3251" s="276">
        <v>4</v>
      </c>
      <c r="G3251" s="243">
        <f t="shared" si="51"/>
        <v>131</v>
      </c>
      <c r="H3251" s="244"/>
      <c r="I3251" s="71" t="e">
        <f>IF(COUNTIF((rName rData),H3251),"","Name Error!")</f>
        <v>#NAME?</v>
      </c>
    </row>
    <row r="3252" spans="2:9" s="126" customFormat="1" ht="15" customHeight="1" x14ac:dyDescent="0.25">
      <c r="B3252" s="271" t="s">
        <v>358</v>
      </c>
      <c r="C3252" s="272" t="s">
        <v>357</v>
      </c>
      <c r="D3252" s="275" t="s">
        <v>216</v>
      </c>
      <c r="E3252" s="275">
        <v>41728.835243055553</v>
      </c>
      <c r="F3252" s="276">
        <v>2</v>
      </c>
      <c r="G3252" s="243">
        <f t="shared" si="51"/>
        <v>131</v>
      </c>
      <c r="H3252" s="244"/>
      <c r="I3252" s="71" t="e">
        <f>IF(COUNTIF((rName rData),H3252),"","Name Error!")</f>
        <v>#NAME?</v>
      </c>
    </row>
    <row r="3253" spans="2:9" s="126" customFormat="1" ht="15" customHeight="1" x14ac:dyDescent="0.25">
      <c r="B3253" s="271" t="s">
        <v>333</v>
      </c>
      <c r="C3253" s="272" t="s">
        <v>332</v>
      </c>
      <c r="D3253" s="275" t="s">
        <v>216</v>
      </c>
      <c r="E3253" s="275">
        <v>41728.852905092594</v>
      </c>
      <c r="F3253" s="276">
        <v>2</v>
      </c>
      <c r="G3253" s="243">
        <f t="shared" si="51"/>
        <v>131</v>
      </c>
      <c r="H3253" s="244"/>
      <c r="I3253" s="71" t="e">
        <f>IF(COUNTIF((rName rData),H3253),"","Name Error!")</f>
        <v>#NAME?</v>
      </c>
    </row>
    <row r="3254" spans="2:9" s="126" customFormat="1" ht="15" customHeight="1" x14ac:dyDescent="0.25">
      <c r="B3254" s="271" t="s">
        <v>331</v>
      </c>
      <c r="C3254" s="272" t="s">
        <v>330</v>
      </c>
      <c r="D3254" s="275" t="s">
        <v>216</v>
      </c>
      <c r="E3254" s="275">
        <v>41728.916585648149</v>
      </c>
      <c r="F3254" s="276">
        <v>8</v>
      </c>
      <c r="G3254" s="243">
        <f t="shared" si="51"/>
        <v>131</v>
      </c>
      <c r="H3254" s="244"/>
      <c r="I3254" s="71" t="e">
        <f>IF(COUNTIF((rName rData),H3254),"","Name Error!")</f>
        <v>#NAME?</v>
      </c>
    </row>
    <row r="3255" spans="2:9" s="126" customFormat="1" ht="15" customHeight="1" x14ac:dyDescent="0.25">
      <c r="B3255" s="271" t="s">
        <v>331</v>
      </c>
      <c r="C3255" s="272" t="s">
        <v>330</v>
      </c>
      <c r="D3255" s="275" t="s">
        <v>216</v>
      </c>
      <c r="E3255" s="275">
        <v>41729.08829861111</v>
      </c>
      <c r="F3255" s="276">
        <v>2</v>
      </c>
      <c r="G3255" s="243">
        <f t="shared" si="51"/>
        <v>131</v>
      </c>
      <c r="H3255" s="244"/>
      <c r="I3255" s="71" t="e">
        <f>IF(COUNTIF((rName rData),H3255),"","Name Error!")</f>
        <v>#NAME?</v>
      </c>
    </row>
    <row r="3256" spans="2:9" s="126" customFormat="1" ht="15" customHeight="1" x14ac:dyDescent="0.25">
      <c r="B3256" s="271" t="s">
        <v>333</v>
      </c>
      <c r="C3256" s="272" t="s">
        <v>332</v>
      </c>
      <c r="D3256" s="275" t="s">
        <v>216</v>
      </c>
      <c r="E3256" s="275">
        <v>41729.156469907408</v>
      </c>
      <c r="F3256" s="276">
        <v>1</v>
      </c>
      <c r="G3256" s="243">
        <f t="shared" si="51"/>
        <v>131</v>
      </c>
      <c r="H3256" s="244"/>
      <c r="I3256" s="71" t="e">
        <f>IF(COUNTIF((rName rData),H3256),"","Name Error!")</f>
        <v>#NAME?</v>
      </c>
    </row>
    <row r="3257" spans="2:9" s="126" customFormat="1" ht="15" customHeight="1" x14ac:dyDescent="0.25">
      <c r="B3257" s="271" t="s">
        <v>345</v>
      </c>
      <c r="C3257" s="272" t="s">
        <v>344</v>
      </c>
      <c r="D3257" s="275" t="s">
        <v>216</v>
      </c>
      <c r="E3257" s="275">
        <v>41729.378206018519</v>
      </c>
      <c r="F3257" s="276">
        <v>2</v>
      </c>
      <c r="G3257" s="243">
        <f t="shared" si="51"/>
        <v>131</v>
      </c>
      <c r="H3257" s="244"/>
      <c r="I3257" s="71" t="e">
        <f>IF(COUNTIF((rName rData),H3257),"","Name Error!")</f>
        <v>#NAME?</v>
      </c>
    </row>
    <row r="3258" spans="2:9" s="126" customFormat="1" ht="15" customHeight="1" x14ac:dyDescent="0.25">
      <c r="B3258" s="271" t="s">
        <v>337</v>
      </c>
      <c r="C3258" s="272" t="s">
        <v>336</v>
      </c>
      <c r="D3258" s="275" t="s">
        <v>216</v>
      </c>
      <c r="E3258" s="275">
        <v>41729.473553240743</v>
      </c>
      <c r="F3258" s="276">
        <v>1</v>
      </c>
      <c r="G3258" s="243">
        <f t="shared" si="51"/>
        <v>131</v>
      </c>
      <c r="H3258" s="244"/>
      <c r="I3258" s="71" t="e">
        <f>IF(COUNTIF((rName rData),H3258),"","Name Error!")</f>
        <v>#NAME?</v>
      </c>
    </row>
    <row r="3259" spans="2:9" s="126" customFormat="1" ht="15" customHeight="1" x14ac:dyDescent="0.25">
      <c r="B3259" s="271" t="s">
        <v>354</v>
      </c>
      <c r="C3259" s="272" t="s">
        <v>353</v>
      </c>
      <c r="D3259" s="275" t="s">
        <v>216</v>
      </c>
      <c r="E3259" s="275">
        <v>41729.553495370368</v>
      </c>
      <c r="F3259" s="276">
        <v>2</v>
      </c>
      <c r="G3259" s="243">
        <f t="shared" si="51"/>
        <v>131</v>
      </c>
      <c r="H3259" s="244"/>
      <c r="I3259" s="71" t="e">
        <f>IF(COUNTIF((rName rData),H3259),"","Name Error!")</f>
        <v>#NAME?</v>
      </c>
    </row>
    <row r="3260" spans="2:9" s="126" customFormat="1" ht="15" customHeight="1" x14ac:dyDescent="0.25">
      <c r="B3260" s="271" t="s">
        <v>335</v>
      </c>
      <c r="C3260" s="272" t="s">
        <v>334</v>
      </c>
      <c r="D3260" s="275" t="s">
        <v>216</v>
      </c>
      <c r="E3260" s="275">
        <v>41729.568888888891</v>
      </c>
      <c r="F3260" s="276">
        <v>1</v>
      </c>
      <c r="G3260" s="243">
        <f t="shared" si="51"/>
        <v>131</v>
      </c>
      <c r="H3260" s="244"/>
      <c r="I3260" s="71" t="e">
        <f>IF(COUNTIF((rName rData),H3260),"","Name Error!")</f>
        <v>#NAME?</v>
      </c>
    </row>
    <row r="3261" spans="2:9" s="126" customFormat="1" ht="15" customHeight="1" x14ac:dyDescent="0.25">
      <c r="B3261" s="271" t="s">
        <v>267</v>
      </c>
      <c r="C3261" s="272" t="s">
        <v>268</v>
      </c>
      <c r="D3261" s="275" t="s">
        <v>216</v>
      </c>
      <c r="E3261" s="275">
        <v>41729.569212962961</v>
      </c>
      <c r="F3261" s="276">
        <v>2</v>
      </c>
      <c r="G3261" s="243">
        <f t="shared" si="51"/>
        <v>131</v>
      </c>
      <c r="H3261" s="244"/>
      <c r="I3261" s="71" t="e">
        <f>IF(COUNTIF((rName rData),H3261),"","Name Error!")</f>
        <v>#NAME?</v>
      </c>
    </row>
    <row r="3262" spans="2:9" s="126" customFormat="1" ht="15" customHeight="1" x14ac:dyDescent="0.25">
      <c r="B3262" s="271" t="s">
        <v>356</v>
      </c>
      <c r="C3262" s="272" t="s">
        <v>355</v>
      </c>
      <c r="D3262" s="275" t="s">
        <v>216</v>
      </c>
      <c r="E3262" s="275">
        <v>41729.573194444441</v>
      </c>
      <c r="F3262" s="276">
        <v>1</v>
      </c>
      <c r="G3262" s="243">
        <f t="shared" si="51"/>
        <v>131</v>
      </c>
      <c r="H3262" s="244"/>
      <c r="I3262" s="71" t="e">
        <f>IF(COUNTIF((rName rData),H3262),"","Name Error!")</f>
        <v>#NAME?</v>
      </c>
    </row>
    <row r="3263" spans="2:9" s="126" customFormat="1" ht="15" customHeight="1" x14ac:dyDescent="0.25">
      <c r="B3263" s="271" t="s">
        <v>358</v>
      </c>
      <c r="C3263" s="272" t="s">
        <v>357</v>
      </c>
      <c r="D3263" s="275" t="s">
        <v>216</v>
      </c>
      <c r="E3263" s="275">
        <v>41729.840069444443</v>
      </c>
      <c r="F3263" s="276">
        <v>1</v>
      </c>
      <c r="G3263" s="243">
        <f t="shared" si="51"/>
        <v>131</v>
      </c>
      <c r="H3263" s="244"/>
      <c r="I3263" s="71" t="e">
        <f>IF(COUNTIF((rName rData),H3263),"","Name Error!")</f>
        <v>#NAME?</v>
      </c>
    </row>
    <row r="3264" spans="2:9" s="126" customFormat="1" ht="15" customHeight="1" x14ac:dyDescent="0.25">
      <c r="B3264" s="271" t="s">
        <v>333</v>
      </c>
      <c r="C3264" s="272" t="s">
        <v>332</v>
      </c>
      <c r="D3264" s="275" t="s">
        <v>216</v>
      </c>
      <c r="E3264" s="275">
        <v>41730.243368055555</v>
      </c>
      <c r="F3264" s="276">
        <v>1</v>
      </c>
      <c r="G3264" s="243">
        <f t="shared" si="51"/>
        <v>131</v>
      </c>
      <c r="H3264" s="244"/>
      <c r="I3264" s="71" t="e">
        <f>IF(COUNTIF((rName rData),H3264),"","Name Error!")</f>
        <v>#NAME?</v>
      </c>
    </row>
    <row r="3265" spans="2:9" s="126" customFormat="1" ht="15" customHeight="1" x14ac:dyDescent="0.25">
      <c r="B3265" s="271" t="s">
        <v>337</v>
      </c>
      <c r="C3265" s="272" t="s">
        <v>336</v>
      </c>
      <c r="D3265" s="275" t="s">
        <v>216</v>
      </c>
      <c r="E3265" s="275">
        <v>41730.507534722223</v>
      </c>
      <c r="F3265" s="276">
        <v>1</v>
      </c>
      <c r="G3265" s="243">
        <f t="shared" si="51"/>
        <v>131</v>
      </c>
      <c r="H3265" s="244"/>
      <c r="I3265" s="71" t="e">
        <f>IF(COUNTIF((rName rData),H3265),"","Name Error!")</f>
        <v>#NAME?</v>
      </c>
    </row>
    <row r="3266" spans="2:9" s="126" customFormat="1" ht="15" customHeight="1" x14ac:dyDescent="0.25">
      <c r="B3266" s="271" t="s">
        <v>354</v>
      </c>
      <c r="C3266" s="272" t="s">
        <v>353</v>
      </c>
      <c r="D3266" s="275" t="s">
        <v>216</v>
      </c>
      <c r="E3266" s="275">
        <v>41730.554270833331</v>
      </c>
      <c r="F3266" s="276">
        <v>1</v>
      </c>
      <c r="G3266" s="243">
        <f t="shared" si="51"/>
        <v>131</v>
      </c>
      <c r="H3266" s="244"/>
      <c r="I3266" s="71" t="e">
        <f>IF(COUNTIF((rName rData),H3266),"","Name Error!")</f>
        <v>#NAME?</v>
      </c>
    </row>
    <row r="3267" spans="2:9" s="126" customFormat="1" ht="15" customHeight="1" x14ac:dyDescent="0.25">
      <c r="B3267" s="271" t="s">
        <v>358</v>
      </c>
      <c r="C3267" s="272" t="s">
        <v>357</v>
      </c>
      <c r="D3267" s="275" t="s">
        <v>216</v>
      </c>
      <c r="E3267" s="275">
        <v>41730.663726851853</v>
      </c>
      <c r="F3267" s="276">
        <v>2</v>
      </c>
      <c r="G3267" s="243">
        <f t="shared" si="51"/>
        <v>131</v>
      </c>
      <c r="H3267" s="244"/>
      <c r="I3267" s="71" t="e">
        <f>IF(COUNTIF((rName rData),H3267),"","Name Error!")</f>
        <v>#NAME?</v>
      </c>
    </row>
    <row r="3268" spans="2:9" s="126" customFormat="1" ht="15" customHeight="1" x14ac:dyDescent="0.25">
      <c r="B3268" s="271" t="s">
        <v>371</v>
      </c>
      <c r="C3268" s="272" t="s">
        <v>370</v>
      </c>
      <c r="D3268" s="275" t="s">
        <v>216</v>
      </c>
      <c r="E3268" s="275">
        <v>41730.7658912037</v>
      </c>
      <c r="F3268" s="276">
        <v>1</v>
      </c>
      <c r="G3268" s="243">
        <f t="shared" si="51"/>
        <v>131</v>
      </c>
      <c r="H3268" s="244"/>
      <c r="I3268" s="71" t="e">
        <f>IF(COUNTIF((rName rData),H3268),"","Name Error!")</f>
        <v>#NAME?</v>
      </c>
    </row>
    <row r="3269" spans="2:9" s="126" customFormat="1" ht="15" customHeight="1" x14ac:dyDescent="0.25">
      <c r="B3269" s="271" t="s">
        <v>352</v>
      </c>
      <c r="C3269" s="272" t="s">
        <v>351</v>
      </c>
      <c r="D3269" s="275" t="s">
        <v>216</v>
      </c>
      <c r="E3269" s="275">
        <v>41730.811365740738</v>
      </c>
      <c r="F3269" s="276">
        <v>1</v>
      </c>
      <c r="G3269" s="243">
        <f t="shared" si="51"/>
        <v>131</v>
      </c>
      <c r="H3269" s="244"/>
      <c r="I3269" s="71" t="e">
        <f>IF(COUNTIF((rName rData),H3269),"","Name Error!")</f>
        <v>#NAME?</v>
      </c>
    </row>
    <row r="3270" spans="2:9" s="126" customFormat="1" ht="15" customHeight="1" x14ac:dyDescent="0.25">
      <c r="B3270" s="271" t="s">
        <v>339</v>
      </c>
      <c r="C3270" s="272" t="s">
        <v>338</v>
      </c>
      <c r="D3270" s="275" t="s">
        <v>216</v>
      </c>
      <c r="E3270" s="275">
        <v>41731.115405092591</v>
      </c>
      <c r="F3270" s="276">
        <v>1</v>
      </c>
      <c r="G3270" s="243">
        <f t="shared" si="51"/>
        <v>131</v>
      </c>
      <c r="H3270" s="244"/>
      <c r="I3270" s="71" t="e">
        <f>IF(COUNTIF((rName rData),H3270),"","Name Error!")</f>
        <v>#NAME?</v>
      </c>
    </row>
    <row r="3271" spans="2:9" s="126" customFormat="1" ht="15" customHeight="1" x14ac:dyDescent="0.25">
      <c r="B3271" s="271" t="s">
        <v>354</v>
      </c>
      <c r="C3271" s="272" t="s">
        <v>353</v>
      </c>
      <c r="D3271" s="275" t="s">
        <v>216</v>
      </c>
      <c r="E3271" s="275">
        <v>41731.332499999997</v>
      </c>
      <c r="F3271" s="276">
        <v>1</v>
      </c>
      <c r="G3271" s="243">
        <f t="shared" si="51"/>
        <v>131</v>
      </c>
      <c r="H3271" s="244"/>
      <c r="I3271" s="71" t="e">
        <f>IF(COUNTIF((rName rData),H3271),"","Name Error!")</f>
        <v>#NAME?</v>
      </c>
    </row>
    <row r="3272" spans="2:9" s="126" customFormat="1" ht="15" customHeight="1" x14ac:dyDescent="0.25">
      <c r="B3272" s="271" t="s">
        <v>341</v>
      </c>
      <c r="C3272" s="272" t="s">
        <v>340</v>
      </c>
      <c r="D3272" s="275" t="s">
        <v>216</v>
      </c>
      <c r="E3272" s="275">
        <v>41731.832372685189</v>
      </c>
      <c r="F3272" s="276">
        <v>1</v>
      </c>
      <c r="G3272" s="243">
        <f t="shared" si="51"/>
        <v>131</v>
      </c>
      <c r="H3272" s="244"/>
      <c r="I3272" s="71" t="e">
        <f>IF(COUNTIF((rName rData),H3272),"","Name Error!")</f>
        <v>#NAME?</v>
      </c>
    </row>
    <row r="3273" spans="2:9" s="126" customFormat="1" ht="15" customHeight="1" x14ac:dyDescent="0.25">
      <c r="B3273" s="271" t="s">
        <v>358</v>
      </c>
      <c r="C3273" s="272" t="s">
        <v>357</v>
      </c>
      <c r="D3273" s="275" t="s">
        <v>216</v>
      </c>
      <c r="E3273" s="275">
        <v>41731.872754629629</v>
      </c>
      <c r="F3273" s="276">
        <v>1</v>
      </c>
      <c r="G3273" s="243">
        <f t="shared" si="51"/>
        <v>131</v>
      </c>
      <c r="H3273" s="244"/>
      <c r="I3273" s="71" t="e">
        <f>IF(COUNTIF((rName rData),H3273),"","Name Error!")</f>
        <v>#NAME?</v>
      </c>
    </row>
    <row r="3274" spans="2:9" s="126" customFormat="1" ht="15" customHeight="1" x14ac:dyDescent="0.25">
      <c r="B3274" s="271" t="s">
        <v>371</v>
      </c>
      <c r="C3274" s="272" t="s">
        <v>370</v>
      </c>
      <c r="D3274" s="275" t="s">
        <v>216</v>
      </c>
      <c r="E3274" s="275">
        <v>41731.882511574076</v>
      </c>
      <c r="F3274" s="276">
        <v>1</v>
      </c>
      <c r="G3274" s="243">
        <f t="shared" ref="G3274:G3337" si="52">TRUNC((E3274-start)/7)+1</f>
        <v>131</v>
      </c>
      <c r="H3274" s="244"/>
      <c r="I3274" s="71" t="e">
        <f>IF(COUNTIF((rName rData),H3274),"","Name Error!")</f>
        <v>#NAME?</v>
      </c>
    </row>
    <row r="3275" spans="2:9" s="126" customFormat="1" ht="15" customHeight="1" x14ac:dyDescent="0.25">
      <c r="B3275" s="271" t="s">
        <v>339</v>
      </c>
      <c r="C3275" s="272" t="s">
        <v>338</v>
      </c>
      <c r="D3275" s="275" t="s">
        <v>216</v>
      </c>
      <c r="E3275" s="275">
        <v>41732.078449074077</v>
      </c>
      <c r="F3275" s="276">
        <v>1</v>
      </c>
      <c r="G3275" s="243">
        <f t="shared" si="52"/>
        <v>131</v>
      </c>
      <c r="H3275" s="244"/>
      <c r="I3275" s="71" t="e">
        <f>IF(COUNTIF((rName rData),H3275),"","Name Error!")</f>
        <v>#NAME?</v>
      </c>
    </row>
    <row r="3276" spans="2:9" s="126" customFormat="1" ht="15" customHeight="1" x14ac:dyDescent="0.25">
      <c r="B3276" s="271" t="s">
        <v>331</v>
      </c>
      <c r="C3276" s="272" t="s">
        <v>330</v>
      </c>
      <c r="D3276" s="275" t="s">
        <v>216</v>
      </c>
      <c r="E3276" s="275">
        <v>41732.502187500002</v>
      </c>
      <c r="F3276" s="276">
        <v>1</v>
      </c>
      <c r="G3276" s="243">
        <f t="shared" si="52"/>
        <v>131</v>
      </c>
      <c r="H3276" s="244"/>
      <c r="I3276" s="71" t="e">
        <f>IF(COUNTIF((rName rData),H3276),"","Name Error!")</f>
        <v>#NAME?</v>
      </c>
    </row>
    <row r="3277" spans="2:9" s="126" customFormat="1" ht="15" customHeight="1" x14ac:dyDescent="0.25">
      <c r="B3277" s="271" t="s">
        <v>341</v>
      </c>
      <c r="C3277" s="272" t="s">
        <v>340</v>
      </c>
      <c r="D3277" s="275" t="s">
        <v>216</v>
      </c>
      <c r="E3277" s="275">
        <v>41732.512731481482</v>
      </c>
      <c r="F3277" s="276">
        <v>1</v>
      </c>
      <c r="G3277" s="243">
        <f t="shared" si="52"/>
        <v>131</v>
      </c>
      <c r="H3277" s="244"/>
      <c r="I3277" s="71" t="e">
        <f>IF(COUNTIF((rName rData),H3277),"","Name Error!")</f>
        <v>#NAME?</v>
      </c>
    </row>
    <row r="3278" spans="2:9" s="126" customFormat="1" ht="15" customHeight="1" x14ac:dyDescent="0.25">
      <c r="B3278" s="271" t="s">
        <v>267</v>
      </c>
      <c r="C3278" s="272" t="s">
        <v>268</v>
      </c>
      <c r="D3278" s="275" t="s">
        <v>216</v>
      </c>
      <c r="E3278" s="275">
        <v>41732.731944444444</v>
      </c>
      <c r="F3278" s="276">
        <v>1</v>
      </c>
      <c r="G3278" s="243">
        <f t="shared" si="52"/>
        <v>131</v>
      </c>
      <c r="H3278" s="244"/>
      <c r="I3278" s="71" t="e">
        <f>IF(COUNTIF((rName rData),H3278),"","Name Error!")</f>
        <v>#NAME?</v>
      </c>
    </row>
    <row r="3279" spans="2:9" s="126" customFormat="1" ht="15" customHeight="1" x14ac:dyDescent="0.25">
      <c r="B3279" s="271" t="s">
        <v>324</v>
      </c>
      <c r="C3279" s="272" t="s">
        <v>323</v>
      </c>
      <c r="D3279" s="275" t="s">
        <v>216</v>
      </c>
      <c r="E3279" s="275">
        <v>41733.059791666667</v>
      </c>
      <c r="F3279" s="276">
        <v>1</v>
      </c>
      <c r="G3279" s="243">
        <f t="shared" si="52"/>
        <v>131</v>
      </c>
      <c r="H3279" s="244"/>
      <c r="I3279" s="71" t="e">
        <f>IF(COUNTIF((rName rData),H3279),"","Name Error!")</f>
        <v>#NAME?</v>
      </c>
    </row>
    <row r="3280" spans="2:9" s="126" customFormat="1" ht="15" customHeight="1" x14ac:dyDescent="0.25">
      <c r="B3280" s="271" t="s">
        <v>267</v>
      </c>
      <c r="C3280" s="272" t="s">
        <v>268</v>
      </c>
      <c r="D3280" s="275" t="s">
        <v>216</v>
      </c>
      <c r="E3280" s="275">
        <v>41733.751145833332</v>
      </c>
      <c r="F3280" s="276">
        <v>2</v>
      </c>
      <c r="G3280" s="243">
        <f t="shared" si="52"/>
        <v>131</v>
      </c>
      <c r="H3280" s="244"/>
      <c r="I3280" s="71" t="e">
        <f>IF(COUNTIF((rName rData),H3280),"","Name Error!")</f>
        <v>#NAME?</v>
      </c>
    </row>
    <row r="3281" spans="2:9" s="126" customFormat="1" ht="15" customHeight="1" x14ac:dyDescent="0.25">
      <c r="B3281" s="271" t="s">
        <v>322</v>
      </c>
      <c r="C3281" s="272" t="s">
        <v>321</v>
      </c>
      <c r="D3281" s="275" t="s">
        <v>216</v>
      </c>
      <c r="E3281" s="275">
        <v>41733.839560185188</v>
      </c>
      <c r="F3281" s="276">
        <v>2</v>
      </c>
      <c r="G3281" s="243">
        <f t="shared" si="52"/>
        <v>131</v>
      </c>
      <c r="H3281" s="244"/>
      <c r="I3281" s="71" t="e">
        <f>IF(COUNTIF((rName rData),H3281),"","Name Error!")</f>
        <v>#NAME?</v>
      </c>
    </row>
    <row r="3282" spans="2:9" s="126" customFormat="1" ht="15" customHeight="1" x14ac:dyDescent="0.25">
      <c r="B3282" s="271" t="s">
        <v>358</v>
      </c>
      <c r="C3282" s="272" t="s">
        <v>357</v>
      </c>
      <c r="D3282" s="275" t="s">
        <v>216</v>
      </c>
      <c r="E3282" s="275">
        <v>41734.330405092594</v>
      </c>
      <c r="F3282" s="276">
        <v>6</v>
      </c>
      <c r="G3282" s="243">
        <f t="shared" si="52"/>
        <v>132</v>
      </c>
      <c r="H3282" s="244"/>
      <c r="I3282" s="71" t="e">
        <f>IF(COUNTIF((rName rData),H3282),"","Name Error!")</f>
        <v>#NAME?</v>
      </c>
    </row>
    <row r="3283" spans="2:9" s="126" customFormat="1" ht="15" customHeight="1" x14ac:dyDescent="0.25">
      <c r="B3283" s="271" t="s">
        <v>322</v>
      </c>
      <c r="C3283" s="272" t="s">
        <v>321</v>
      </c>
      <c r="D3283" s="275" t="s">
        <v>216</v>
      </c>
      <c r="E3283" s="275">
        <v>41734.389675925922</v>
      </c>
      <c r="F3283" s="276">
        <v>6</v>
      </c>
      <c r="G3283" s="243">
        <f t="shared" si="52"/>
        <v>132</v>
      </c>
      <c r="H3283" s="244"/>
      <c r="I3283" s="71" t="e">
        <f>IF(COUNTIF((rName rData),H3283),"","Name Error!")</f>
        <v>#NAME?</v>
      </c>
    </row>
    <row r="3284" spans="2:9" s="126" customFormat="1" ht="15" customHeight="1" x14ac:dyDescent="0.25">
      <c r="B3284" s="271" t="s">
        <v>362</v>
      </c>
      <c r="C3284" s="272" t="s">
        <v>361</v>
      </c>
      <c r="D3284" s="275" t="s">
        <v>216</v>
      </c>
      <c r="E3284" s="275">
        <v>41734.521516203706</v>
      </c>
      <c r="F3284" s="276">
        <v>1</v>
      </c>
      <c r="G3284" s="243">
        <f t="shared" si="52"/>
        <v>132</v>
      </c>
      <c r="H3284" s="244"/>
      <c r="I3284" s="71" t="e">
        <f>IF(COUNTIF((rName rData),H3284),"","Name Error!")</f>
        <v>#NAME?</v>
      </c>
    </row>
    <row r="3285" spans="2:9" s="126" customFormat="1" ht="15" customHeight="1" x14ac:dyDescent="0.25">
      <c r="B3285" s="271" t="s">
        <v>335</v>
      </c>
      <c r="C3285" s="272" t="s">
        <v>334</v>
      </c>
      <c r="D3285" s="275" t="s">
        <v>216</v>
      </c>
      <c r="E3285" s="275">
        <v>41734.548831018517</v>
      </c>
      <c r="F3285" s="276">
        <v>1</v>
      </c>
      <c r="G3285" s="243">
        <f t="shared" si="52"/>
        <v>132</v>
      </c>
      <c r="H3285" s="244"/>
      <c r="I3285" s="71" t="e">
        <f>IF(COUNTIF((rName rData),H3285),"","Name Error!")</f>
        <v>#NAME?</v>
      </c>
    </row>
    <row r="3286" spans="2:9" s="126" customFormat="1" ht="15" customHeight="1" x14ac:dyDescent="0.25">
      <c r="B3286" s="271" t="s">
        <v>267</v>
      </c>
      <c r="C3286" s="272" t="s">
        <v>268</v>
      </c>
      <c r="D3286" s="275" t="s">
        <v>216</v>
      </c>
      <c r="E3286" s="275">
        <v>41734.562731481485</v>
      </c>
      <c r="F3286" s="276">
        <v>2</v>
      </c>
      <c r="G3286" s="243">
        <f t="shared" si="52"/>
        <v>132</v>
      </c>
      <c r="H3286" s="244"/>
      <c r="I3286" s="71" t="e">
        <f>IF(COUNTIF((rName rData),H3286),"","Name Error!")</f>
        <v>#NAME?</v>
      </c>
    </row>
    <row r="3287" spans="2:9" s="126" customFormat="1" ht="15" customHeight="1" x14ac:dyDescent="0.25">
      <c r="B3287" s="271" t="s">
        <v>371</v>
      </c>
      <c r="C3287" s="272" t="s">
        <v>370</v>
      </c>
      <c r="D3287" s="275" t="s">
        <v>216</v>
      </c>
      <c r="E3287" s="275">
        <v>41734.572488425925</v>
      </c>
      <c r="F3287" s="276">
        <v>1</v>
      </c>
      <c r="G3287" s="243">
        <f t="shared" si="52"/>
        <v>132</v>
      </c>
      <c r="H3287" s="244"/>
      <c r="I3287" s="71" t="e">
        <f>IF(COUNTIF((rName rData),H3287),"","Name Error!")</f>
        <v>#NAME?</v>
      </c>
    </row>
    <row r="3288" spans="2:9" s="126" customFormat="1" ht="15" customHeight="1" x14ac:dyDescent="0.25">
      <c r="B3288" s="271" t="s">
        <v>337</v>
      </c>
      <c r="C3288" s="272" t="s">
        <v>336</v>
      </c>
      <c r="D3288" s="275" t="s">
        <v>216</v>
      </c>
      <c r="E3288" s="275">
        <v>41734.697164351855</v>
      </c>
      <c r="F3288" s="276">
        <v>1</v>
      </c>
      <c r="G3288" s="243">
        <f t="shared" si="52"/>
        <v>132</v>
      </c>
      <c r="H3288" s="244"/>
      <c r="I3288" s="71" t="e">
        <f>IF(COUNTIF((rName rData),H3288),"","Name Error!")</f>
        <v>#NAME?</v>
      </c>
    </row>
    <row r="3289" spans="2:9" s="126" customFormat="1" ht="15" customHeight="1" x14ac:dyDescent="0.25">
      <c r="B3289" s="271" t="s">
        <v>354</v>
      </c>
      <c r="C3289" s="272" t="s">
        <v>353</v>
      </c>
      <c r="D3289" s="275" t="s">
        <v>216</v>
      </c>
      <c r="E3289" s="275">
        <v>41734.781597222223</v>
      </c>
      <c r="F3289" s="276">
        <v>2</v>
      </c>
      <c r="G3289" s="243">
        <f t="shared" si="52"/>
        <v>132</v>
      </c>
      <c r="H3289" s="244"/>
      <c r="I3289" s="71" t="e">
        <f>IF(COUNTIF((rName rData),H3289),"","Name Error!")</f>
        <v>#NAME?</v>
      </c>
    </row>
    <row r="3290" spans="2:9" s="126" customFormat="1" ht="15" customHeight="1" x14ac:dyDescent="0.25">
      <c r="B3290" s="271" t="s">
        <v>331</v>
      </c>
      <c r="C3290" s="272" t="s">
        <v>330</v>
      </c>
      <c r="D3290" s="275" t="s">
        <v>216</v>
      </c>
      <c r="E3290" s="275">
        <v>41734.969236111108</v>
      </c>
      <c r="F3290" s="276">
        <v>3</v>
      </c>
      <c r="G3290" s="243">
        <f t="shared" si="52"/>
        <v>132</v>
      </c>
      <c r="H3290" s="244"/>
      <c r="I3290" s="71" t="e">
        <f>IF(COUNTIF((rName rData),H3290),"","Name Error!")</f>
        <v>#NAME?</v>
      </c>
    </row>
    <row r="3291" spans="2:9" s="126" customFormat="1" ht="15" customHeight="1" x14ac:dyDescent="0.25">
      <c r="B3291" s="271" t="s">
        <v>333</v>
      </c>
      <c r="C3291" s="272" t="s">
        <v>332</v>
      </c>
      <c r="D3291" s="275" t="s">
        <v>216</v>
      </c>
      <c r="E3291" s="275">
        <v>41735.168124999997</v>
      </c>
      <c r="F3291" s="276">
        <v>2</v>
      </c>
      <c r="G3291" s="243">
        <f t="shared" si="52"/>
        <v>132</v>
      </c>
      <c r="H3291" s="244"/>
      <c r="I3291" s="71" t="e">
        <f>IF(COUNTIF((rName rData),H3291),"","Name Error!")</f>
        <v>#NAME?</v>
      </c>
    </row>
    <row r="3292" spans="2:9" s="126" customFormat="1" ht="15" customHeight="1" x14ac:dyDescent="0.25">
      <c r="B3292" s="271" t="s">
        <v>358</v>
      </c>
      <c r="C3292" s="272" t="s">
        <v>357</v>
      </c>
      <c r="D3292" s="275" t="s">
        <v>216</v>
      </c>
      <c r="E3292" s="275">
        <v>41735.37773148148</v>
      </c>
      <c r="F3292" s="276">
        <v>5</v>
      </c>
      <c r="G3292" s="243">
        <f t="shared" si="52"/>
        <v>132</v>
      </c>
      <c r="H3292" s="244"/>
      <c r="I3292" s="71" t="e">
        <f>IF(COUNTIF((rName rData),H3292),"","Name Error!")</f>
        <v>#NAME?</v>
      </c>
    </row>
    <row r="3293" spans="2:9" s="126" customFormat="1" ht="15" customHeight="1" x14ac:dyDescent="0.25">
      <c r="B3293" s="271" t="s">
        <v>356</v>
      </c>
      <c r="C3293" s="272" t="s">
        <v>355</v>
      </c>
      <c r="D3293" s="275" t="s">
        <v>216</v>
      </c>
      <c r="E3293" s="275">
        <v>41735.37777777778</v>
      </c>
      <c r="F3293" s="276">
        <v>3</v>
      </c>
      <c r="G3293" s="243">
        <f t="shared" si="52"/>
        <v>132</v>
      </c>
      <c r="H3293" s="244"/>
      <c r="I3293" s="71" t="e">
        <f>IF(COUNTIF((rName rData),H3293),"","Name Error!")</f>
        <v>#NAME?</v>
      </c>
    </row>
    <row r="3294" spans="2:9" s="126" customFormat="1" ht="15" customHeight="1" x14ac:dyDescent="0.25">
      <c r="B3294" s="271" t="s">
        <v>352</v>
      </c>
      <c r="C3294" s="272" t="s">
        <v>351</v>
      </c>
      <c r="D3294" s="275" t="s">
        <v>216</v>
      </c>
      <c r="E3294" s="275">
        <v>41735.407534722224</v>
      </c>
      <c r="F3294" s="276">
        <v>3</v>
      </c>
      <c r="G3294" s="243">
        <f t="shared" si="52"/>
        <v>132</v>
      </c>
      <c r="H3294" s="244"/>
      <c r="I3294" s="71" t="e">
        <f>IF(COUNTIF((rName rData),H3294),"","Name Error!")</f>
        <v>#NAME?</v>
      </c>
    </row>
    <row r="3295" spans="2:9" s="126" customFormat="1" ht="15" customHeight="1" x14ac:dyDescent="0.25">
      <c r="B3295" s="271" t="s">
        <v>341</v>
      </c>
      <c r="C3295" s="272" t="s">
        <v>340</v>
      </c>
      <c r="D3295" s="275" t="s">
        <v>216</v>
      </c>
      <c r="E3295" s="275">
        <v>41735.479502314818</v>
      </c>
      <c r="F3295" s="276">
        <v>3</v>
      </c>
      <c r="G3295" s="243">
        <f t="shared" si="52"/>
        <v>132</v>
      </c>
      <c r="H3295" s="244"/>
      <c r="I3295" s="71" t="e">
        <f>IF(COUNTIF((rName rData),H3295),"","Name Error!")</f>
        <v>#NAME?</v>
      </c>
    </row>
    <row r="3296" spans="2:9" s="126" customFormat="1" ht="15" customHeight="1" x14ac:dyDescent="0.25">
      <c r="B3296" s="271" t="s">
        <v>350</v>
      </c>
      <c r="C3296" s="272" t="s">
        <v>349</v>
      </c>
      <c r="D3296" s="275" t="s">
        <v>216</v>
      </c>
      <c r="E3296" s="275">
        <v>41735.508171296293</v>
      </c>
      <c r="F3296" s="276">
        <v>1</v>
      </c>
      <c r="G3296" s="243">
        <f t="shared" si="52"/>
        <v>132</v>
      </c>
      <c r="H3296" s="244"/>
      <c r="I3296" s="71" t="e">
        <f>IF(COUNTIF((rName rData),H3296),"","Name Error!")</f>
        <v>#NAME?</v>
      </c>
    </row>
    <row r="3297" spans="2:9" s="126" customFormat="1" ht="15" customHeight="1" x14ac:dyDescent="0.25">
      <c r="B3297" s="271" t="s">
        <v>365</v>
      </c>
      <c r="C3297" s="272" t="s">
        <v>364</v>
      </c>
      <c r="D3297" s="275" t="s">
        <v>216</v>
      </c>
      <c r="E3297" s="275">
        <v>41735.556574074071</v>
      </c>
      <c r="F3297" s="276">
        <v>1</v>
      </c>
      <c r="G3297" s="243">
        <f t="shared" si="52"/>
        <v>132</v>
      </c>
      <c r="H3297" s="244"/>
      <c r="I3297" s="71" t="e">
        <f>IF(COUNTIF((rName rData),H3297),"","Name Error!")</f>
        <v>#NAME?</v>
      </c>
    </row>
    <row r="3298" spans="2:9" s="126" customFormat="1" ht="15" customHeight="1" x14ac:dyDescent="0.25">
      <c r="B3298" s="271" t="s">
        <v>331</v>
      </c>
      <c r="C3298" s="272" t="s">
        <v>330</v>
      </c>
      <c r="D3298" s="275" t="s">
        <v>216</v>
      </c>
      <c r="E3298" s="275">
        <v>41735.596342592595</v>
      </c>
      <c r="F3298" s="276">
        <v>1</v>
      </c>
      <c r="G3298" s="243">
        <f t="shared" si="52"/>
        <v>132</v>
      </c>
      <c r="H3298" s="244"/>
      <c r="I3298" s="71" t="e">
        <f>IF(COUNTIF((rName rData),H3298),"","Name Error!")</f>
        <v>#NAME?</v>
      </c>
    </row>
    <row r="3299" spans="2:9" s="126" customFormat="1" ht="15" customHeight="1" x14ac:dyDescent="0.25">
      <c r="B3299" s="271" t="s">
        <v>339</v>
      </c>
      <c r="C3299" s="272" t="s">
        <v>338</v>
      </c>
      <c r="D3299" s="275" t="s">
        <v>216</v>
      </c>
      <c r="E3299" s="275">
        <v>41735.671550925923</v>
      </c>
      <c r="F3299" s="276">
        <v>1</v>
      </c>
      <c r="G3299" s="243">
        <f t="shared" si="52"/>
        <v>132</v>
      </c>
      <c r="H3299" s="244"/>
      <c r="I3299" s="71" t="e">
        <f>IF(COUNTIF((rName rData),H3299),"","Name Error!")</f>
        <v>#NAME?</v>
      </c>
    </row>
    <row r="3300" spans="2:9" s="126" customFormat="1" ht="15" customHeight="1" x14ac:dyDescent="0.25">
      <c r="B3300" s="271" t="s">
        <v>324</v>
      </c>
      <c r="C3300" s="272" t="s">
        <v>323</v>
      </c>
      <c r="D3300" s="275" t="s">
        <v>216</v>
      </c>
      <c r="E3300" s="275">
        <v>41735.698819444442</v>
      </c>
      <c r="F3300" s="276">
        <v>2</v>
      </c>
      <c r="G3300" s="243">
        <f t="shared" si="52"/>
        <v>132</v>
      </c>
      <c r="H3300" s="244"/>
      <c r="I3300" s="71" t="e">
        <f>IF(COUNTIF((rName rData),H3300),"","Name Error!")</f>
        <v>#NAME?</v>
      </c>
    </row>
    <row r="3301" spans="2:9" s="126" customFormat="1" ht="15" customHeight="1" x14ac:dyDescent="0.25">
      <c r="B3301" s="271" t="s">
        <v>267</v>
      </c>
      <c r="C3301" s="272" t="s">
        <v>268</v>
      </c>
      <c r="D3301" s="275" t="s">
        <v>216</v>
      </c>
      <c r="E3301" s="275">
        <v>41735.70758101852</v>
      </c>
      <c r="F3301" s="276">
        <v>2</v>
      </c>
      <c r="G3301" s="243">
        <f t="shared" si="52"/>
        <v>132</v>
      </c>
      <c r="H3301" s="244"/>
      <c r="I3301" s="71" t="e">
        <f>IF(COUNTIF((rName rData),H3301),"","Name Error!")</f>
        <v>#NAME?</v>
      </c>
    </row>
    <row r="3302" spans="2:9" s="126" customFormat="1" ht="15" customHeight="1" x14ac:dyDescent="0.25">
      <c r="B3302" s="271" t="s">
        <v>362</v>
      </c>
      <c r="C3302" s="272" t="s">
        <v>361</v>
      </c>
      <c r="D3302" s="275" t="s">
        <v>216</v>
      </c>
      <c r="E3302" s="275">
        <v>41735.716793981483</v>
      </c>
      <c r="F3302" s="276">
        <v>4</v>
      </c>
      <c r="G3302" s="243">
        <f t="shared" si="52"/>
        <v>132</v>
      </c>
      <c r="H3302" s="244"/>
      <c r="I3302" s="71" t="e">
        <f>IF(COUNTIF((rName rData),H3302),"","Name Error!")</f>
        <v>#NAME?</v>
      </c>
    </row>
    <row r="3303" spans="2:9" s="126" customFormat="1" ht="15" customHeight="1" x14ac:dyDescent="0.25">
      <c r="B3303" s="271" t="s">
        <v>335</v>
      </c>
      <c r="C3303" s="272" t="s">
        <v>334</v>
      </c>
      <c r="D3303" s="275" t="s">
        <v>216</v>
      </c>
      <c r="E3303" s="275">
        <v>41735.759293981479</v>
      </c>
      <c r="F3303" s="276">
        <v>1</v>
      </c>
      <c r="G3303" s="243">
        <f t="shared" si="52"/>
        <v>132</v>
      </c>
      <c r="H3303" s="244"/>
      <c r="I3303" s="71" t="e">
        <f>IF(COUNTIF((rName rData),H3303),"","Name Error!")</f>
        <v>#NAME?</v>
      </c>
    </row>
    <row r="3304" spans="2:9" s="126" customFormat="1" ht="15" customHeight="1" x14ac:dyDescent="0.25">
      <c r="B3304" s="271" t="s">
        <v>322</v>
      </c>
      <c r="C3304" s="272" t="s">
        <v>321</v>
      </c>
      <c r="D3304" s="275" t="s">
        <v>216</v>
      </c>
      <c r="E3304" s="275">
        <v>41735.851030092592</v>
      </c>
      <c r="F3304" s="276">
        <v>1</v>
      </c>
      <c r="G3304" s="243">
        <f t="shared" si="52"/>
        <v>132</v>
      </c>
      <c r="H3304" s="244"/>
      <c r="I3304" s="71" t="e">
        <f>IF(COUNTIF((rName rData),H3304),"","Name Error!")</f>
        <v>#NAME?</v>
      </c>
    </row>
    <row r="3305" spans="2:9" s="126" customFormat="1" ht="15" customHeight="1" x14ac:dyDescent="0.25">
      <c r="B3305" s="271" t="s">
        <v>337</v>
      </c>
      <c r="C3305" s="272" t="s">
        <v>336</v>
      </c>
      <c r="D3305" s="275" t="s">
        <v>216</v>
      </c>
      <c r="E3305" s="275">
        <v>41735.89166666667</v>
      </c>
      <c r="F3305" s="276">
        <v>3</v>
      </c>
      <c r="G3305" s="243">
        <f t="shared" si="52"/>
        <v>132</v>
      </c>
      <c r="H3305" s="244"/>
      <c r="I3305" s="71" t="e">
        <f>IF(COUNTIF((rName rData),H3305),"","Name Error!")</f>
        <v>#NAME?</v>
      </c>
    </row>
    <row r="3306" spans="2:9" s="126" customFormat="1" ht="15" customHeight="1" x14ac:dyDescent="0.25">
      <c r="B3306" s="271" t="s">
        <v>354</v>
      </c>
      <c r="C3306" s="272" t="s">
        <v>353</v>
      </c>
      <c r="D3306" s="275" t="s">
        <v>216</v>
      </c>
      <c r="E3306" s="275">
        <v>41735.895370370374</v>
      </c>
      <c r="F3306" s="276">
        <v>2</v>
      </c>
      <c r="G3306" s="243">
        <f t="shared" si="52"/>
        <v>132</v>
      </c>
      <c r="H3306" s="244"/>
      <c r="I3306" s="71" t="e">
        <f>IF(COUNTIF((rName rData),H3306),"","Name Error!")</f>
        <v>#NAME?</v>
      </c>
    </row>
    <row r="3307" spans="2:9" s="126" customFormat="1" ht="15" customHeight="1" x14ac:dyDescent="0.25">
      <c r="B3307" s="271" t="s">
        <v>320</v>
      </c>
      <c r="C3307" s="272" t="s">
        <v>319</v>
      </c>
      <c r="D3307" s="275" t="s">
        <v>216</v>
      </c>
      <c r="E3307" s="275">
        <v>41735.895810185182</v>
      </c>
      <c r="F3307" s="276">
        <v>1</v>
      </c>
      <c r="G3307" s="243">
        <f t="shared" si="52"/>
        <v>132</v>
      </c>
      <c r="H3307" s="244"/>
      <c r="I3307" s="71" t="e">
        <f>IF(COUNTIF((rName rData),H3307),"","Name Error!")</f>
        <v>#NAME?</v>
      </c>
    </row>
    <row r="3308" spans="2:9" s="126" customFormat="1" ht="15" customHeight="1" x14ac:dyDescent="0.25">
      <c r="B3308" s="271" t="s">
        <v>345</v>
      </c>
      <c r="C3308" s="272" t="s">
        <v>344</v>
      </c>
      <c r="D3308" s="275" t="s">
        <v>216</v>
      </c>
      <c r="E3308" s="275">
        <v>41735.955243055556</v>
      </c>
      <c r="F3308" s="276">
        <v>1</v>
      </c>
      <c r="G3308" s="243">
        <f t="shared" si="52"/>
        <v>132</v>
      </c>
      <c r="H3308" s="244"/>
      <c r="I3308" s="71" t="e">
        <f>IF(COUNTIF((rName rData),H3308),"","Name Error!")</f>
        <v>#NAME?</v>
      </c>
    </row>
    <row r="3309" spans="2:9" s="126" customFormat="1" ht="15" customHeight="1" x14ac:dyDescent="0.25">
      <c r="B3309" s="271" t="s">
        <v>333</v>
      </c>
      <c r="C3309" s="272" t="s">
        <v>332</v>
      </c>
      <c r="D3309" s="275" t="s">
        <v>216</v>
      </c>
      <c r="E3309" s="275">
        <v>41736.005219907405</v>
      </c>
      <c r="F3309" s="276">
        <v>3</v>
      </c>
      <c r="G3309" s="243">
        <f t="shared" si="52"/>
        <v>132</v>
      </c>
      <c r="H3309" s="244"/>
      <c r="I3309" s="71" t="e">
        <f>IF(COUNTIF((rName rData),H3309),"","Name Error!")</f>
        <v>#NAME?</v>
      </c>
    </row>
    <row r="3310" spans="2:9" s="126" customFormat="1" ht="15" customHeight="1" x14ac:dyDescent="0.25">
      <c r="B3310" s="271" t="s">
        <v>356</v>
      </c>
      <c r="C3310" s="272" t="s">
        <v>355</v>
      </c>
      <c r="D3310" s="275" t="s">
        <v>216</v>
      </c>
      <c r="E3310" s="275">
        <v>41736.357824074075</v>
      </c>
      <c r="F3310" s="276">
        <v>2</v>
      </c>
      <c r="G3310" s="243">
        <f t="shared" si="52"/>
        <v>132</v>
      </c>
      <c r="H3310" s="244"/>
      <c r="I3310" s="71" t="e">
        <f>IF(COUNTIF((rName rData),H3310),"","Name Error!")</f>
        <v>#NAME?</v>
      </c>
    </row>
    <row r="3311" spans="2:9" s="126" customFormat="1" ht="15" customHeight="1" x14ac:dyDescent="0.25">
      <c r="B3311" s="271" t="s">
        <v>331</v>
      </c>
      <c r="C3311" s="272" t="s">
        <v>330</v>
      </c>
      <c r="D3311" s="275" t="s">
        <v>216</v>
      </c>
      <c r="E3311" s="275">
        <v>41736.496203703704</v>
      </c>
      <c r="F3311" s="276">
        <v>2</v>
      </c>
      <c r="G3311" s="243">
        <f t="shared" si="52"/>
        <v>132</v>
      </c>
      <c r="H3311" s="244"/>
      <c r="I3311" s="71" t="e">
        <f>IF(COUNTIF((rName rData),H3311),"","Name Error!")</f>
        <v>#NAME?</v>
      </c>
    </row>
    <row r="3312" spans="2:9" s="126" customFormat="1" ht="15" customHeight="1" x14ac:dyDescent="0.25">
      <c r="B3312" s="271" t="s">
        <v>322</v>
      </c>
      <c r="C3312" s="272" t="s">
        <v>321</v>
      </c>
      <c r="D3312" s="275" t="s">
        <v>216</v>
      </c>
      <c r="E3312" s="275">
        <v>41736.6403587963</v>
      </c>
      <c r="F3312" s="276">
        <v>1</v>
      </c>
      <c r="G3312" s="243">
        <f t="shared" si="52"/>
        <v>132</v>
      </c>
      <c r="H3312" s="244"/>
      <c r="I3312" s="71" t="e">
        <f>IF(COUNTIF((rName rData),H3312),"","Name Error!")</f>
        <v>#NAME?</v>
      </c>
    </row>
    <row r="3313" spans="2:9" s="126" customFormat="1" ht="15" customHeight="1" x14ac:dyDescent="0.25">
      <c r="B3313" s="271" t="s">
        <v>267</v>
      </c>
      <c r="C3313" s="272" t="s">
        <v>268</v>
      </c>
      <c r="D3313" s="275" t="s">
        <v>216</v>
      </c>
      <c r="E3313" s="275">
        <v>41736.706018518518</v>
      </c>
      <c r="F3313" s="276">
        <v>2</v>
      </c>
      <c r="G3313" s="243">
        <f t="shared" si="52"/>
        <v>132</v>
      </c>
      <c r="H3313" s="244"/>
      <c r="I3313" s="71" t="e">
        <f>IF(COUNTIF((rName rData),H3313),"","Name Error!")</f>
        <v>#NAME?</v>
      </c>
    </row>
    <row r="3314" spans="2:9" s="126" customFormat="1" ht="15" customHeight="1" x14ac:dyDescent="0.25">
      <c r="B3314" s="271" t="s">
        <v>354</v>
      </c>
      <c r="C3314" s="272" t="s">
        <v>353</v>
      </c>
      <c r="D3314" s="275" t="s">
        <v>216</v>
      </c>
      <c r="E3314" s="275">
        <v>41736.856041666666</v>
      </c>
      <c r="F3314" s="276">
        <v>1</v>
      </c>
      <c r="G3314" s="243">
        <f t="shared" si="52"/>
        <v>132</v>
      </c>
      <c r="H3314" s="244"/>
      <c r="I3314" s="71" t="e">
        <f>IF(COUNTIF((rName rData),H3314),"","Name Error!")</f>
        <v>#NAME?</v>
      </c>
    </row>
    <row r="3315" spans="2:9" s="126" customFormat="1" ht="15" customHeight="1" x14ac:dyDescent="0.25">
      <c r="B3315" s="271" t="s">
        <v>333</v>
      </c>
      <c r="C3315" s="272" t="s">
        <v>332</v>
      </c>
      <c r="D3315" s="275" t="s">
        <v>216</v>
      </c>
      <c r="E3315" s="275">
        <v>41737.142453703702</v>
      </c>
      <c r="F3315" s="276">
        <v>1</v>
      </c>
      <c r="G3315" s="243">
        <f t="shared" si="52"/>
        <v>132</v>
      </c>
      <c r="H3315" s="244"/>
      <c r="I3315" s="71" t="e">
        <f>IF(COUNTIF((rName rData),H3315),"","Name Error!")</f>
        <v>#NAME?</v>
      </c>
    </row>
    <row r="3316" spans="2:9" s="126" customFormat="1" ht="15" customHeight="1" x14ac:dyDescent="0.25">
      <c r="B3316" s="271" t="s">
        <v>335</v>
      </c>
      <c r="C3316" s="272" t="s">
        <v>334</v>
      </c>
      <c r="D3316" s="275" t="s">
        <v>216</v>
      </c>
      <c r="E3316" s="275">
        <v>41737.704895833333</v>
      </c>
      <c r="F3316" s="276">
        <v>1</v>
      </c>
      <c r="G3316" s="243">
        <f t="shared" si="52"/>
        <v>132</v>
      </c>
      <c r="H3316" s="244"/>
      <c r="I3316" s="71" t="e">
        <f>IF(COUNTIF((rName rData),H3316),"","Name Error!")</f>
        <v>#NAME?</v>
      </c>
    </row>
    <row r="3317" spans="2:9" s="126" customFormat="1" ht="15" customHeight="1" x14ac:dyDescent="0.25">
      <c r="B3317" s="271" t="s">
        <v>354</v>
      </c>
      <c r="C3317" s="272" t="s">
        <v>353</v>
      </c>
      <c r="D3317" s="275" t="s">
        <v>216</v>
      </c>
      <c r="E3317" s="275">
        <v>41737.826956018522</v>
      </c>
      <c r="F3317" s="276">
        <v>1</v>
      </c>
      <c r="G3317" s="243">
        <f t="shared" si="52"/>
        <v>132</v>
      </c>
      <c r="H3317" s="244"/>
      <c r="I3317" s="71" t="e">
        <f>IF(COUNTIF((rName rData),H3317),"","Name Error!")</f>
        <v>#NAME?</v>
      </c>
    </row>
    <row r="3318" spans="2:9" s="126" customFormat="1" ht="15" customHeight="1" x14ac:dyDescent="0.25">
      <c r="B3318" s="271" t="s">
        <v>345</v>
      </c>
      <c r="C3318" s="272" t="s">
        <v>344</v>
      </c>
      <c r="D3318" s="275" t="s">
        <v>216</v>
      </c>
      <c r="E3318" s="275">
        <v>41737.852187500001</v>
      </c>
      <c r="F3318" s="276">
        <v>1</v>
      </c>
      <c r="G3318" s="243">
        <f t="shared" si="52"/>
        <v>132</v>
      </c>
      <c r="H3318" s="244"/>
      <c r="I3318" s="71" t="e">
        <f>IF(COUNTIF((rName rData),H3318),"","Name Error!")</f>
        <v>#NAME?</v>
      </c>
    </row>
    <row r="3319" spans="2:9" s="126" customFormat="1" ht="15" customHeight="1" x14ac:dyDescent="0.25">
      <c r="B3319" s="271" t="s">
        <v>358</v>
      </c>
      <c r="C3319" s="272" t="s">
        <v>357</v>
      </c>
      <c r="D3319" s="275" t="s">
        <v>216</v>
      </c>
      <c r="E3319" s="275">
        <v>41738.531875000001</v>
      </c>
      <c r="F3319" s="276">
        <v>1</v>
      </c>
      <c r="G3319" s="243">
        <f t="shared" si="52"/>
        <v>132</v>
      </c>
      <c r="H3319" s="244"/>
      <c r="I3319" s="71" t="e">
        <f>IF(COUNTIF((rName rData),H3319),"","Name Error!")</f>
        <v>#NAME?</v>
      </c>
    </row>
    <row r="3320" spans="2:9" s="126" customFormat="1" ht="15" customHeight="1" x14ac:dyDescent="0.25">
      <c r="B3320" s="271" t="s">
        <v>341</v>
      </c>
      <c r="C3320" s="272" t="s">
        <v>340</v>
      </c>
      <c r="D3320" s="275" t="s">
        <v>216</v>
      </c>
      <c r="E3320" s="275">
        <v>41738.861041666663</v>
      </c>
      <c r="F3320" s="276">
        <v>1</v>
      </c>
      <c r="G3320" s="243">
        <f t="shared" si="52"/>
        <v>132</v>
      </c>
      <c r="H3320" s="244"/>
      <c r="I3320" s="71" t="e">
        <f>IF(COUNTIF((rName rData),H3320),"","Name Error!")</f>
        <v>#NAME?</v>
      </c>
    </row>
    <row r="3321" spans="2:9" s="126" customFormat="1" ht="15" customHeight="1" x14ac:dyDescent="0.25">
      <c r="B3321" s="271" t="s">
        <v>331</v>
      </c>
      <c r="C3321" s="272" t="s">
        <v>330</v>
      </c>
      <c r="D3321" s="275" t="s">
        <v>216</v>
      </c>
      <c r="E3321" s="275">
        <v>41738.917881944442</v>
      </c>
      <c r="F3321" s="276">
        <v>3</v>
      </c>
      <c r="G3321" s="243">
        <f t="shared" si="52"/>
        <v>132</v>
      </c>
      <c r="H3321" s="244"/>
      <c r="I3321" s="71" t="e">
        <f>IF(COUNTIF((rName rData),H3321),"","Name Error!")</f>
        <v>#NAME?</v>
      </c>
    </row>
    <row r="3322" spans="2:9" s="126" customFormat="1" ht="15" customHeight="1" x14ac:dyDescent="0.25">
      <c r="B3322" s="271" t="s">
        <v>371</v>
      </c>
      <c r="C3322" s="272" t="s">
        <v>370</v>
      </c>
      <c r="D3322" s="275" t="s">
        <v>216</v>
      </c>
      <c r="E3322" s="275">
        <v>41739.284537037034</v>
      </c>
      <c r="F3322" s="276">
        <v>1</v>
      </c>
      <c r="G3322" s="243">
        <f t="shared" si="52"/>
        <v>132</v>
      </c>
      <c r="H3322" s="244"/>
      <c r="I3322" s="71" t="e">
        <f>IF(COUNTIF((rName rData),H3322),"","Name Error!")</f>
        <v>#NAME?</v>
      </c>
    </row>
    <row r="3323" spans="2:9" s="126" customFormat="1" ht="15" customHeight="1" x14ac:dyDescent="0.25">
      <c r="B3323" s="271" t="s">
        <v>324</v>
      </c>
      <c r="C3323" s="272" t="s">
        <v>323</v>
      </c>
      <c r="D3323" s="275" t="s">
        <v>216</v>
      </c>
      <c r="E3323" s="275">
        <v>41739.519108796296</v>
      </c>
      <c r="F3323" s="276">
        <v>1</v>
      </c>
      <c r="G3323" s="243">
        <f t="shared" si="52"/>
        <v>132</v>
      </c>
      <c r="H3323" s="244"/>
      <c r="I3323" s="71" t="e">
        <f>IF(COUNTIF((rName rData),H3323),"","Name Error!")</f>
        <v>#NAME?</v>
      </c>
    </row>
    <row r="3324" spans="2:9" s="126" customFormat="1" ht="15" customHeight="1" x14ac:dyDescent="0.25">
      <c r="B3324" s="271" t="s">
        <v>331</v>
      </c>
      <c r="C3324" s="272" t="s">
        <v>330</v>
      </c>
      <c r="D3324" s="275" t="s">
        <v>216</v>
      </c>
      <c r="E3324" s="275">
        <v>41739.553425925929</v>
      </c>
      <c r="F3324" s="276">
        <v>4</v>
      </c>
      <c r="G3324" s="243">
        <f t="shared" si="52"/>
        <v>132</v>
      </c>
      <c r="H3324" s="244"/>
      <c r="I3324" s="71" t="e">
        <f>IF(COUNTIF((rName rData),H3324),"","Name Error!")</f>
        <v>#NAME?</v>
      </c>
    </row>
    <row r="3325" spans="2:9" s="126" customFormat="1" ht="15" customHeight="1" x14ac:dyDescent="0.25">
      <c r="B3325" s="271" t="s">
        <v>267</v>
      </c>
      <c r="C3325" s="272" t="s">
        <v>268</v>
      </c>
      <c r="D3325" s="275" t="s">
        <v>216</v>
      </c>
      <c r="E3325" s="275">
        <v>41739.561701388891</v>
      </c>
      <c r="F3325" s="276">
        <v>2</v>
      </c>
      <c r="G3325" s="243">
        <f t="shared" si="52"/>
        <v>132</v>
      </c>
      <c r="H3325" s="244"/>
      <c r="I3325" s="71" t="e">
        <f>IF(COUNTIF((rName rData),H3325),"","Name Error!")</f>
        <v>#NAME?</v>
      </c>
    </row>
    <row r="3326" spans="2:9" s="126" customFormat="1" ht="15" customHeight="1" x14ac:dyDescent="0.25">
      <c r="B3326" s="271" t="s">
        <v>341</v>
      </c>
      <c r="C3326" s="272" t="s">
        <v>340</v>
      </c>
      <c r="D3326" s="275" t="s">
        <v>216</v>
      </c>
      <c r="E3326" s="275">
        <v>41739.617604166669</v>
      </c>
      <c r="F3326" s="276">
        <v>1</v>
      </c>
      <c r="G3326" s="243">
        <f t="shared" si="52"/>
        <v>132</v>
      </c>
      <c r="H3326" s="244"/>
      <c r="I3326" s="71" t="e">
        <f>IF(COUNTIF((rName rData),H3326),"","Name Error!")</f>
        <v>#NAME?</v>
      </c>
    </row>
    <row r="3327" spans="2:9" s="126" customFormat="1" ht="15" customHeight="1" x14ac:dyDescent="0.25">
      <c r="B3327" s="271" t="s">
        <v>358</v>
      </c>
      <c r="C3327" s="272" t="s">
        <v>357</v>
      </c>
      <c r="D3327" s="275" t="s">
        <v>216</v>
      </c>
      <c r="E3327" s="275">
        <v>41739.867037037038</v>
      </c>
      <c r="F3327" s="276">
        <v>2</v>
      </c>
      <c r="G3327" s="243">
        <f t="shared" si="52"/>
        <v>132</v>
      </c>
      <c r="H3327" s="244"/>
      <c r="I3327" s="71" t="e">
        <f>IF(COUNTIF((rName rData),H3327),"","Name Error!")</f>
        <v>#NAME?</v>
      </c>
    </row>
    <row r="3328" spans="2:9" s="126" customFormat="1" ht="15" customHeight="1" x14ac:dyDescent="0.25">
      <c r="B3328" s="271" t="s">
        <v>267</v>
      </c>
      <c r="C3328" s="272" t="s">
        <v>268</v>
      </c>
      <c r="D3328" s="275" t="s">
        <v>216</v>
      </c>
      <c r="E3328" s="275">
        <v>41740.037928240738</v>
      </c>
      <c r="F3328" s="276">
        <v>4</v>
      </c>
      <c r="G3328" s="243">
        <f t="shared" si="52"/>
        <v>132</v>
      </c>
      <c r="H3328" s="244"/>
      <c r="I3328" s="71" t="e">
        <f>IF(COUNTIF((rName rData),H3328),"","Name Error!")</f>
        <v>#NAME?</v>
      </c>
    </row>
    <row r="3329" spans="2:9" s="126" customFormat="1" ht="15" customHeight="1" x14ac:dyDescent="0.25">
      <c r="B3329" s="271" t="s">
        <v>358</v>
      </c>
      <c r="C3329" s="272" t="s">
        <v>357</v>
      </c>
      <c r="D3329" s="275" t="s">
        <v>216</v>
      </c>
      <c r="E3329" s="275">
        <v>41740.428576388891</v>
      </c>
      <c r="F3329" s="276">
        <v>1</v>
      </c>
      <c r="G3329" s="243">
        <f t="shared" si="52"/>
        <v>132</v>
      </c>
      <c r="H3329" s="244"/>
      <c r="I3329" s="71" t="e">
        <f>IF(COUNTIF((rName rData),H3329),"","Name Error!")</f>
        <v>#NAME?</v>
      </c>
    </row>
    <row r="3330" spans="2:9" s="126" customFormat="1" ht="15" customHeight="1" x14ac:dyDescent="0.25">
      <c r="B3330" s="271" t="s">
        <v>356</v>
      </c>
      <c r="C3330" s="272" t="s">
        <v>355</v>
      </c>
      <c r="D3330" s="275" t="s">
        <v>216</v>
      </c>
      <c r="E3330" s="275">
        <v>41740.481504629628</v>
      </c>
      <c r="F3330" s="276">
        <v>1</v>
      </c>
      <c r="G3330" s="243">
        <f t="shared" si="52"/>
        <v>132</v>
      </c>
      <c r="H3330" s="244"/>
      <c r="I3330" s="71" t="e">
        <f>IF(COUNTIF((rName rData),H3330),"","Name Error!")</f>
        <v>#NAME?</v>
      </c>
    </row>
    <row r="3331" spans="2:9" s="126" customFormat="1" ht="15" customHeight="1" x14ac:dyDescent="0.25">
      <c r="B3331" s="271" t="s">
        <v>371</v>
      </c>
      <c r="C3331" s="272" t="s">
        <v>370</v>
      </c>
      <c r="D3331" s="275" t="s">
        <v>216</v>
      </c>
      <c r="E3331" s="275">
        <v>41740.850092592591</v>
      </c>
      <c r="F3331" s="276">
        <v>1</v>
      </c>
      <c r="G3331" s="243">
        <f t="shared" si="52"/>
        <v>132</v>
      </c>
      <c r="H3331" s="244"/>
      <c r="I3331" s="71" t="e">
        <f>IF(COUNTIF((rName rData),H3331),"","Name Error!")</f>
        <v>#NAME?</v>
      </c>
    </row>
    <row r="3332" spans="2:9" s="126" customFormat="1" ht="15" customHeight="1" x14ac:dyDescent="0.25">
      <c r="B3332" s="271" t="s">
        <v>337</v>
      </c>
      <c r="C3332" s="272" t="s">
        <v>336</v>
      </c>
      <c r="D3332" s="275" t="s">
        <v>216</v>
      </c>
      <c r="E3332" s="275">
        <v>41740.979733796295</v>
      </c>
      <c r="F3332" s="276">
        <v>1</v>
      </c>
      <c r="G3332" s="243">
        <f t="shared" si="52"/>
        <v>132</v>
      </c>
      <c r="H3332" s="244"/>
      <c r="I3332" s="71" t="e">
        <f>IF(COUNTIF((rName rData),H3332),"","Name Error!")</f>
        <v>#NAME?</v>
      </c>
    </row>
    <row r="3333" spans="2:9" s="126" customFormat="1" ht="15" customHeight="1" x14ac:dyDescent="0.25">
      <c r="B3333" s="271" t="s">
        <v>358</v>
      </c>
      <c r="C3333" s="272" t="s">
        <v>357</v>
      </c>
      <c r="D3333" s="275" t="s">
        <v>216</v>
      </c>
      <c r="E3333" s="275">
        <v>41741.370300925926</v>
      </c>
      <c r="F3333" s="276">
        <v>7</v>
      </c>
      <c r="G3333" s="243">
        <f t="shared" si="52"/>
        <v>133</v>
      </c>
      <c r="H3333" s="244"/>
      <c r="I3333" s="71" t="e">
        <f>IF(COUNTIF((rName rData),H3333),"","Name Error!")</f>
        <v>#NAME?</v>
      </c>
    </row>
    <row r="3334" spans="2:9" s="126" customFormat="1" ht="15" customHeight="1" x14ac:dyDescent="0.25">
      <c r="B3334" s="271" t="s">
        <v>371</v>
      </c>
      <c r="C3334" s="272" t="s">
        <v>370</v>
      </c>
      <c r="D3334" s="275" t="s">
        <v>216</v>
      </c>
      <c r="E3334" s="275">
        <v>41741.376979166664</v>
      </c>
      <c r="F3334" s="276">
        <v>3</v>
      </c>
      <c r="G3334" s="243">
        <f t="shared" si="52"/>
        <v>133</v>
      </c>
      <c r="H3334" s="244"/>
      <c r="I3334" s="71" t="e">
        <f>IF(COUNTIF((rName rData),H3334),"","Name Error!")</f>
        <v>#NAME?</v>
      </c>
    </row>
    <row r="3335" spans="2:9" s="126" customFormat="1" ht="15" customHeight="1" x14ac:dyDescent="0.25">
      <c r="B3335" s="271" t="s">
        <v>362</v>
      </c>
      <c r="C3335" s="272" t="s">
        <v>361</v>
      </c>
      <c r="D3335" s="275" t="s">
        <v>216</v>
      </c>
      <c r="E3335" s="275">
        <v>41741.474594907406</v>
      </c>
      <c r="F3335" s="276">
        <v>1</v>
      </c>
      <c r="G3335" s="243">
        <f t="shared" si="52"/>
        <v>133</v>
      </c>
      <c r="H3335" s="244"/>
      <c r="I3335" s="71" t="e">
        <f>IF(COUNTIF((rName rData),H3335),"","Name Error!")</f>
        <v>#NAME?</v>
      </c>
    </row>
    <row r="3336" spans="2:9" s="126" customFormat="1" ht="15" customHeight="1" x14ac:dyDescent="0.25">
      <c r="B3336" s="271" t="s">
        <v>267</v>
      </c>
      <c r="C3336" s="272" t="s">
        <v>268</v>
      </c>
      <c r="D3336" s="275" t="s">
        <v>216</v>
      </c>
      <c r="E3336" s="275">
        <v>41741.582106481481</v>
      </c>
      <c r="F3336" s="276">
        <v>4</v>
      </c>
      <c r="G3336" s="243">
        <f t="shared" si="52"/>
        <v>133</v>
      </c>
      <c r="H3336" s="244"/>
      <c r="I3336" s="71" t="e">
        <f>IF(COUNTIF((rName rData),H3336),"","Name Error!")</f>
        <v>#NAME?</v>
      </c>
    </row>
    <row r="3337" spans="2:9" s="126" customFormat="1" ht="15" customHeight="1" x14ac:dyDescent="0.25">
      <c r="B3337" s="271" t="s">
        <v>341</v>
      </c>
      <c r="C3337" s="272" t="s">
        <v>340</v>
      </c>
      <c r="D3337" s="275" t="s">
        <v>216</v>
      </c>
      <c r="E3337" s="275">
        <v>41741.638923611114</v>
      </c>
      <c r="F3337" s="276">
        <v>5</v>
      </c>
      <c r="G3337" s="243">
        <f t="shared" si="52"/>
        <v>133</v>
      </c>
      <c r="H3337" s="244"/>
      <c r="I3337" s="71" t="e">
        <f>IF(COUNTIF((rName rData),H3337),"","Name Error!")</f>
        <v>#NAME?</v>
      </c>
    </row>
    <row r="3338" spans="2:9" s="126" customFormat="1" ht="15" customHeight="1" x14ac:dyDescent="0.25">
      <c r="B3338" s="271" t="s">
        <v>331</v>
      </c>
      <c r="C3338" s="272" t="s">
        <v>330</v>
      </c>
      <c r="D3338" s="275" t="s">
        <v>216</v>
      </c>
      <c r="E3338" s="275">
        <v>41741.885266203702</v>
      </c>
      <c r="F3338" s="276">
        <v>1</v>
      </c>
      <c r="G3338" s="243">
        <f t="shared" ref="G3338:G3401" si="53">TRUNC((E3338-start)/7)+1</f>
        <v>133</v>
      </c>
      <c r="H3338" s="244"/>
      <c r="I3338" s="71" t="e">
        <f>IF(COUNTIF((rName rData),H3338),"","Name Error!")</f>
        <v>#NAME?</v>
      </c>
    </row>
    <row r="3339" spans="2:9" s="126" customFormat="1" ht="15" customHeight="1" x14ac:dyDescent="0.25">
      <c r="B3339" s="271" t="s">
        <v>350</v>
      </c>
      <c r="C3339" s="272" t="s">
        <v>349</v>
      </c>
      <c r="D3339" s="275" t="s">
        <v>216</v>
      </c>
      <c r="E3339" s="275">
        <v>41741.896273148152</v>
      </c>
      <c r="F3339" s="276">
        <v>1</v>
      </c>
      <c r="G3339" s="243">
        <f t="shared" si="53"/>
        <v>133</v>
      </c>
      <c r="H3339" s="244"/>
      <c r="I3339" s="71" t="e">
        <f>IF(COUNTIF((rName rData),H3339),"","Name Error!")</f>
        <v>#NAME?</v>
      </c>
    </row>
    <row r="3340" spans="2:9" s="126" customFormat="1" ht="15" customHeight="1" x14ac:dyDescent="0.25">
      <c r="B3340" s="271" t="s">
        <v>337</v>
      </c>
      <c r="C3340" s="272" t="s">
        <v>336</v>
      </c>
      <c r="D3340" s="275" t="s">
        <v>216</v>
      </c>
      <c r="E3340" s="275">
        <v>41742.031817129631</v>
      </c>
      <c r="F3340" s="276">
        <v>6</v>
      </c>
      <c r="G3340" s="243">
        <f t="shared" si="53"/>
        <v>133</v>
      </c>
      <c r="H3340" s="244"/>
      <c r="I3340" s="71" t="e">
        <f>IF(COUNTIF((rName rData),H3340),"","Name Error!")</f>
        <v>#NAME?</v>
      </c>
    </row>
    <row r="3341" spans="2:9" s="126" customFormat="1" ht="15" customHeight="1" x14ac:dyDescent="0.25">
      <c r="B3341" s="271" t="s">
        <v>331</v>
      </c>
      <c r="C3341" s="272" t="s">
        <v>330</v>
      </c>
      <c r="D3341" s="275" t="s">
        <v>216</v>
      </c>
      <c r="E3341" s="275">
        <v>41742.057685185187</v>
      </c>
      <c r="F3341" s="276">
        <v>2</v>
      </c>
      <c r="G3341" s="243">
        <f t="shared" si="53"/>
        <v>133</v>
      </c>
      <c r="H3341" s="244"/>
      <c r="I3341" s="71" t="e">
        <f>IF(COUNTIF((rName rData),H3341),"","Name Error!")</f>
        <v>#NAME?</v>
      </c>
    </row>
    <row r="3342" spans="2:9" s="126" customFormat="1" ht="15" customHeight="1" x14ac:dyDescent="0.25">
      <c r="B3342" s="271" t="s">
        <v>352</v>
      </c>
      <c r="C3342" s="272" t="s">
        <v>351</v>
      </c>
      <c r="D3342" s="275" t="s">
        <v>216</v>
      </c>
      <c r="E3342" s="275">
        <v>41742.34615740741</v>
      </c>
      <c r="F3342" s="276">
        <v>2</v>
      </c>
      <c r="G3342" s="243">
        <f t="shared" si="53"/>
        <v>133</v>
      </c>
      <c r="H3342" s="244"/>
      <c r="I3342" s="71" t="e">
        <f>IF(COUNTIF((rName rData),H3342),"","Name Error!")</f>
        <v>#NAME?</v>
      </c>
    </row>
    <row r="3343" spans="2:9" s="126" customFormat="1" ht="15" customHeight="1" x14ac:dyDescent="0.25">
      <c r="B3343" s="271" t="s">
        <v>341</v>
      </c>
      <c r="C3343" s="272" t="s">
        <v>340</v>
      </c>
      <c r="D3343" s="275" t="s">
        <v>216</v>
      </c>
      <c r="E3343" s="275">
        <v>41742.394895833335</v>
      </c>
      <c r="F3343" s="276">
        <v>3</v>
      </c>
      <c r="G3343" s="243">
        <f t="shared" si="53"/>
        <v>133</v>
      </c>
      <c r="H3343" s="244"/>
      <c r="I3343" s="71" t="e">
        <f>IF(COUNTIF((rName rData),H3343),"","Name Error!")</f>
        <v>#NAME?</v>
      </c>
    </row>
    <row r="3344" spans="2:9" s="126" customFormat="1" ht="15" customHeight="1" x14ac:dyDescent="0.25">
      <c r="B3344" s="271" t="s">
        <v>358</v>
      </c>
      <c r="C3344" s="272" t="s">
        <v>357</v>
      </c>
      <c r="D3344" s="275" t="s">
        <v>216</v>
      </c>
      <c r="E3344" s="275">
        <v>41742.454155092593</v>
      </c>
      <c r="F3344" s="276">
        <v>3</v>
      </c>
      <c r="G3344" s="243">
        <f t="shared" si="53"/>
        <v>133</v>
      </c>
      <c r="H3344" s="244"/>
      <c r="I3344" s="71" t="e">
        <f>IF(COUNTIF((rName rData),H3344),"","Name Error!")</f>
        <v>#NAME?</v>
      </c>
    </row>
    <row r="3345" spans="2:9" s="126" customFormat="1" ht="15" customHeight="1" x14ac:dyDescent="0.25">
      <c r="B3345" s="271" t="s">
        <v>267</v>
      </c>
      <c r="C3345" s="272" t="s">
        <v>268</v>
      </c>
      <c r="D3345" s="275" t="s">
        <v>216</v>
      </c>
      <c r="E3345" s="275">
        <v>41742.556122685186</v>
      </c>
      <c r="F3345" s="276">
        <v>4</v>
      </c>
      <c r="G3345" s="243">
        <f t="shared" si="53"/>
        <v>133</v>
      </c>
      <c r="H3345" s="244"/>
      <c r="I3345" s="71" t="e">
        <f>IF(COUNTIF((rName rData),H3345),"","Name Error!")</f>
        <v>#NAME?</v>
      </c>
    </row>
    <row r="3346" spans="2:9" s="126" customFormat="1" ht="15" customHeight="1" x14ac:dyDescent="0.25">
      <c r="B3346" s="271" t="s">
        <v>362</v>
      </c>
      <c r="C3346" s="272" t="s">
        <v>361</v>
      </c>
      <c r="D3346" s="275" t="s">
        <v>216</v>
      </c>
      <c r="E3346" s="275">
        <v>41742.569884259261</v>
      </c>
      <c r="F3346" s="276">
        <v>3</v>
      </c>
      <c r="G3346" s="243">
        <f t="shared" si="53"/>
        <v>133</v>
      </c>
      <c r="H3346" s="244"/>
      <c r="I3346" s="71" t="e">
        <f>IF(COUNTIF((rName rData),H3346),"","Name Error!")</f>
        <v>#NAME?</v>
      </c>
    </row>
    <row r="3347" spans="2:9" s="126" customFormat="1" ht="15" customHeight="1" x14ac:dyDescent="0.25">
      <c r="B3347" s="271" t="s">
        <v>322</v>
      </c>
      <c r="C3347" s="272" t="s">
        <v>321</v>
      </c>
      <c r="D3347" s="275" t="s">
        <v>216</v>
      </c>
      <c r="E3347" s="275">
        <v>41742.588888888888</v>
      </c>
      <c r="F3347" s="276">
        <v>3</v>
      </c>
      <c r="G3347" s="243">
        <f t="shared" si="53"/>
        <v>133</v>
      </c>
      <c r="H3347" s="244"/>
      <c r="I3347" s="71" t="e">
        <f>IF(COUNTIF((rName rData),H3347),"","Name Error!")</f>
        <v>#NAME?</v>
      </c>
    </row>
    <row r="3348" spans="2:9" s="126" customFormat="1" ht="15" customHeight="1" x14ac:dyDescent="0.25">
      <c r="B3348" s="271" t="s">
        <v>324</v>
      </c>
      <c r="C3348" s="272" t="s">
        <v>323</v>
      </c>
      <c r="D3348" s="275" t="s">
        <v>216</v>
      </c>
      <c r="E3348" s="275">
        <v>41742.752418981479</v>
      </c>
      <c r="F3348" s="276">
        <v>1</v>
      </c>
      <c r="G3348" s="243">
        <f t="shared" si="53"/>
        <v>133</v>
      </c>
      <c r="H3348" s="244"/>
      <c r="I3348" s="71" t="e">
        <f>IF(COUNTIF((rName rData),H3348),"","Name Error!")</f>
        <v>#NAME?</v>
      </c>
    </row>
    <row r="3349" spans="2:9" s="126" customFormat="1" ht="15" customHeight="1" x14ac:dyDescent="0.25">
      <c r="B3349" s="271" t="s">
        <v>320</v>
      </c>
      <c r="C3349" s="272" t="s">
        <v>319</v>
      </c>
      <c r="D3349" s="275" t="s">
        <v>216</v>
      </c>
      <c r="E3349" s="275">
        <v>41742.807986111111</v>
      </c>
      <c r="F3349" s="276">
        <v>1</v>
      </c>
      <c r="G3349" s="243">
        <f t="shared" si="53"/>
        <v>133</v>
      </c>
      <c r="H3349" s="244"/>
      <c r="I3349" s="71" t="e">
        <f>IF(COUNTIF((rName rData),H3349),"","Name Error!")</f>
        <v>#NAME?</v>
      </c>
    </row>
    <row r="3350" spans="2:9" s="126" customFormat="1" ht="15" customHeight="1" x14ac:dyDescent="0.25">
      <c r="B3350" s="271" t="s">
        <v>333</v>
      </c>
      <c r="C3350" s="272" t="s">
        <v>332</v>
      </c>
      <c r="D3350" s="275" t="s">
        <v>216</v>
      </c>
      <c r="E3350" s="275">
        <v>41742.857141203705</v>
      </c>
      <c r="F3350" s="276">
        <v>2</v>
      </c>
      <c r="G3350" s="243">
        <f t="shared" si="53"/>
        <v>133</v>
      </c>
      <c r="H3350" s="244"/>
      <c r="I3350" s="71" t="e">
        <f>IF(COUNTIF((rName rData),H3350),"","Name Error!")</f>
        <v>#NAME?</v>
      </c>
    </row>
    <row r="3351" spans="2:9" s="126" customFormat="1" ht="15" customHeight="1" x14ac:dyDescent="0.25">
      <c r="B3351" s="271" t="s">
        <v>354</v>
      </c>
      <c r="C3351" s="272" t="s">
        <v>353</v>
      </c>
      <c r="D3351" s="275" t="s">
        <v>216</v>
      </c>
      <c r="E3351" s="275">
        <v>41742.87023148148</v>
      </c>
      <c r="F3351" s="276">
        <v>2</v>
      </c>
      <c r="G3351" s="243">
        <f t="shared" si="53"/>
        <v>133</v>
      </c>
      <c r="H3351" s="244"/>
      <c r="I3351" s="71" t="e">
        <f>IF(COUNTIF((rName rData),H3351),"","Name Error!")</f>
        <v>#NAME?</v>
      </c>
    </row>
    <row r="3352" spans="2:9" s="126" customFormat="1" ht="15" customHeight="1" x14ac:dyDescent="0.25">
      <c r="B3352" s="271" t="s">
        <v>356</v>
      </c>
      <c r="C3352" s="272" t="s">
        <v>355</v>
      </c>
      <c r="D3352" s="275" t="s">
        <v>216</v>
      </c>
      <c r="E3352" s="275">
        <v>41742.872025462966</v>
      </c>
      <c r="F3352" s="276">
        <v>1</v>
      </c>
      <c r="G3352" s="243">
        <f t="shared" si="53"/>
        <v>133</v>
      </c>
      <c r="H3352" s="244"/>
      <c r="I3352" s="71" t="e">
        <f>IF(COUNTIF((rName rData),H3352),"","Name Error!")</f>
        <v>#NAME?</v>
      </c>
    </row>
    <row r="3353" spans="2:9" s="126" customFormat="1" ht="15" customHeight="1" x14ac:dyDescent="0.25">
      <c r="B3353" s="271" t="s">
        <v>365</v>
      </c>
      <c r="C3353" s="272" t="s">
        <v>364</v>
      </c>
      <c r="D3353" s="275" t="s">
        <v>216</v>
      </c>
      <c r="E3353" s="275">
        <v>41742.886631944442</v>
      </c>
      <c r="F3353" s="276">
        <v>2</v>
      </c>
      <c r="G3353" s="243">
        <f t="shared" si="53"/>
        <v>133</v>
      </c>
      <c r="H3353" s="244"/>
      <c r="I3353" s="71" t="e">
        <f>IF(COUNTIF((rName rData),H3353),"","Name Error!")</f>
        <v>#NAME?</v>
      </c>
    </row>
    <row r="3354" spans="2:9" s="126" customFormat="1" ht="15" customHeight="1" x14ac:dyDescent="0.25">
      <c r="B3354" s="271" t="s">
        <v>345</v>
      </c>
      <c r="C3354" s="272" t="s">
        <v>344</v>
      </c>
      <c r="D3354" s="275" t="s">
        <v>216</v>
      </c>
      <c r="E3354" s="275">
        <v>41742.897650462961</v>
      </c>
      <c r="F3354" s="276">
        <v>2</v>
      </c>
      <c r="G3354" s="243">
        <f t="shared" si="53"/>
        <v>133</v>
      </c>
      <c r="H3354" s="244"/>
      <c r="I3354" s="71" t="e">
        <f>IF(COUNTIF((rName rData),H3354),"","Name Error!")</f>
        <v>#NAME?</v>
      </c>
    </row>
    <row r="3355" spans="2:9" s="126" customFormat="1" ht="15" customHeight="1" x14ac:dyDescent="0.25">
      <c r="B3355" s="271" t="s">
        <v>335</v>
      </c>
      <c r="C3355" s="272" t="s">
        <v>334</v>
      </c>
      <c r="D3355" s="275" t="s">
        <v>216</v>
      </c>
      <c r="E3355" s="275">
        <v>41742.910810185182</v>
      </c>
      <c r="F3355" s="276">
        <v>1</v>
      </c>
      <c r="G3355" s="243">
        <f t="shared" si="53"/>
        <v>133</v>
      </c>
      <c r="H3355" s="244"/>
      <c r="I3355" s="71" t="e">
        <f>IF(COUNTIF((rName rData),H3355),"","Name Error!")</f>
        <v>#NAME?</v>
      </c>
    </row>
    <row r="3356" spans="2:9" s="126" customFormat="1" ht="15" customHeight="1" x14ac:dyDescent="0.25">
      <c r="B3356" s="271" t="s">
        <v>324</v>
      </c>
      <c r="C3356" s="272" t="s">
        <v>323</v>
      </c>
      <c r="D3356" s="275" t="s">
        <v>216</v>
      </c>
      <c r="E3356" s="275">
        <v>41743.024525462963</v>
      </c>
      <c r="F3356" s="276">
        <v>1</v>
      </c>
      <c r="G3356" s="243">
        <f t="shared" si="53"/>
        <v>133</v>
      </c>
      <c r="H3356" s="244"/>
      <c r="I3356" s="71" t="e">
        <f>IF(COUNTIF((rName rData),H3356),"","Name Error!")</f>
        <v>#NAME?</v>
      </c>
    </row>
    <row r="3357" spans="2:9" s="126" customFormat="1" ht="15" customHeight="1" x14ac:dyDescent="0.25">
      <c r="B3357" s="271" t="s">
        <v>267</v>
      </c>
      <c r="C3357" s="272" t="s">
        <v>268</v>
      </c>
      <c r="D3357" s="275" t="s">
        <v>216</v>
      </c>
      <c r="E3357" s="275">
        <v>41743.068043981482</v>
      </c>
      <c r="F3357" s="276">
        <v>5</v>
      </c>
      <c r="G3357" s="243">
        <f t="shared" si="53"/>
        <v>133</v>
      </c>
      <c r="H3357" s="244"/>
      <c r="I3357" s="71" t="e">
        <f>IF(COUNTIF((rName rData),H3357),"","Name Error!")</f>
        <v>#NAME?</v>
      </c>
    </row>
    <row r="3358" spans="2:9" s="126" customFormat="1" ht="15" customHeight="1" x14ac:dyDescent="0.25">
      <c r="B3358" s="271" t="s">
        <v>358</v>
      </c>
      <c r="C3358" s="272" t="s">
        <v>357</v>
      </c>
      <c r="D3358" s="275" t="s">
        <v>216</v>
      </c>
      <c r="E3358" s="275">
        <v>41743.383622685185</v>
      </c>
      <c r="F3358" s="276">
        <v>1</v>
      </c>
      <c r="G3358" s="243">
        <f t="shared" si="53"/>
        <v>133</v>
      </c>
      <c r="H3358" s="244"/>
      <c r="I3358" s="71" t="e">
        <f>IF(COUNTIF((rName rData),H3358),"","Name Error!")</f>
        <v>#NAME?</v>
      </c>
    </row>
    <row r="3359" spans="2:9" s="126" customFormat="1" ht="15" customHeight="1" x14ac:dyDescent="0.25">
      <c r="B3359" s="271" t="s">
        <v>345</v>
      </c>
      <c r="C3359" s="272" t="s">
        <v>344</v>
      </c>
      <c r="D3359" s="275" t="s">
        <v>216</v>
      </c>
      <c r="E3359" s="275">
        <v>41743.487673611111</v>
      </c>
      <c r="F3359" s="276">
        <v>1</v>
      </c>
      <c r="G3359" s="243">
        <f t="shared" si="53"/>
        <v>133</v>
      </c>
      <c r="H3359" s="244"/>
      <c r="I3359" s="71" t="e">
        <f>IF(COUNTIF((rName rData),H3359),"","Name Error!")</f>
        <v>#NAME?</v>
      </c>
    </row>
    <row r="3360" spans="2:9" s="126" customFormat="1" ht="15" customHeight="1" x14ac:dyDescent="0.25">
      <c r="B3360" s="271" t="s">
        <v>337</v>
      </c>
      <c r="C3360" s="272" t="s">
        <v>336</v>
      </c>
      <c r="D3360" s="275" t="s">
        <v>216</v>
      </c>
      <c r="E3360" s="275">
        <v>41743.624050925922</v>
      </c>
      <c r="F3360" s="276">
        <v>1</v>
      </c>
      <c r="G3360" s="243">
        <f t="shared" si="53"/>
        <v>133</v>
      </c>
      <c r="H3360" s="244"/>
      <c r="I3360" s="71" t="e">
        <f>IF(COUNTIF((rName rData),H3360),"","Name Error!")</f>
        <v>#NAME?</v>
      </c>
    </row>
    <row r="3361" spans="2:9" s="126" customFormat="1" ht="15" customHeight="1" x14ac:dyDescent="0.25">
      <c r="B3361" s="271" t="s">
        <v>320</v>
      </c>
      <c r="C3361" s="272" t="s">
        <v>319</v>
      </c>
      <c r="D3361" s="275" t="s">
        <v>216</v>
      </c>
      <c r="E3361" s="275">
        <v>41743.864884259259</v>
      </c>
      <c r="F3361" s="276">
        <v>1</v>
      </c>
      <c r="G3361" s="243">
        <f t="shared" si="53"/>
        <v>133</v>
      </c>
      <c r="H3361" s="244"/>
      <c r="I3361" s="71" t="e">
        <f>IF(COUNTIF((rName rData),H3361),"","Name Error!")</f>
        <v>#NAME?</v>
      </c>
    </row>
    <row r="3362" spans="2:9" s="126" customFormat="1" ht="15" customHeight="1" x14ac:dyDescent="0.25">
      <c r="B3362" s="271" t="s">
        <v>335</v>
      </c>
      <c r="C3362" s="272" t="s">
        <v>334</v>
      </c>
      <c r="D3362" s="275" t="s">
        <v>216</v>
      </c>
      <c r="E3362" s="275">
        <v>41743.88925925926</v>
      </c>
      <c r="F3362" s="276">
        <v>1</v>
      </c>
      <c r="G3362" s="243">
        <f t="shared" si="53"/>
        <v>133</v>
      </c>
      <c r="H3362" s="244"/>
      <c r="I3362" s="71" t="e">
        <f>IF(COUNTIF((rName rData),H3362),"","Name Error!")</f>
        <v>#NAME?</v>
      </c>
    </row>
    <row r="3363" spans="2:9" s="126" customFormat="1" ht="15" customHeight="1" x14ac:dyDescent="0.25">
      <c r="B3363" s="271" t="s">
        <v>362</v>
      </c>
      <c r="C3363" s="272" t="s">
        <v>361</v>
      </c>
      <c r="D3363" s="275" t="s">
        <v>216</v>
      </c>
      <c r="E3363" s="275">
        <v>41743.945335648146</v>
      </c>
      <c r="F3363" s="276">
        <v>1</v>
      </c>
      <c r="G3363" s="243">
        <f t="shared" si="53"/>
        <v>133</v>
      </c>
      <c r="H3363" s="244"/>
      <c r="I3363" s="71" t="e">
        <f>IF(COUNTIF((rName rData),H3363),"","Name Error!")</f>
        <v>#NAME?</v>
      </c>
    </row>
    <row r="3364" spans="2:9" s="126" customFormat="1" ht="15" customHeight="1" x14ac:dyDescent="0.25">
      <c r="B3364" s="271" t="s">
        <v>354</v>
      </c>
      <c r="C3364" s="272" t="s">
        <v>353</v>
      </c>
      <c r="D3364" s="275" t="s">
        <v>216</v>
      </c>
      <c r="E3364" s="275">
        <v>41743.978136574071</v>
      </c>
      <c r="F3364" s="276">
        <v>1</v>
      </c>
      <c r="G3364" s="243">
        <f t="shared" si="53"/>
        <v>133</v>
      </c>
      <c r="H3364" s="244"/>
      <c r="I3364" s="71" t="e">
        <f>IF(COUNTIF((rName rData),H3364),"","Name Error!")</f>
        <v>#NAME?</v>
      </c>
    </row>
    <row r="3365" spans="2:9" s="126" customFormat="1" ht="15" customHeight="1" x14ac:dyDescent="0.25">
      <c r="B3365" s="271" t="s">
        <v>339</v>
      </c>
      <c r="C3365" s="272" t="s">
        <v>338</v>
      </c>
      <c r="D3365" s="275" t="s">
        <v>216</v>
      </c>
      <c r="E3365" s="275">
        <v>41743.983356481483</v>
      </c>
      <c r="F3365" s="276">
        <v>1</v>
      </c>
      <c r="G3365" s="243">
        <f t="shared" si="53"/>
        <v>133</v>
      </c>
      <c r="H3365" s="244"/>
      <c r="I3365" s="71" t="e">
        <f>IF(COUNTIF((rName rData),H3365),"","Name Error!")</f>
        <v>#NAME?</v>
      </c>
    </row>
    <row r="3366" spans="2:9" s="126" customFormat="1" ht="15" customHeight="1" x14ac:dyDescent="0.25">
      <c r="B3366" s="271" t="s">
        <v>267</v>
      </c>
      <c r="C3366" s="272" t="s">
        <v>268</v>
      </c>
      <c r="D3366" s="275" t="s">
        <v>216</v>
      </c>
      <c r="E3366" s="275">
        <v>41744.283379629633</v>
      </c>
      <c r="F3366" s="276">
        <v>1</v>
      </c>
      <c r="G3366" s="243">
        <f t="shared" si="53"/>
        <v>133</v>
      </c>
      <c r="H3366" s="244"/>
      <c r="I3366" s="71" t="e">
        <f>IF(COUNTIF((rName rData),H3366),"","Name Error!")</f>
        <v>#NAME?</v>
      </c>
    </row>
    <row r="3367" spans="2:9" s="126" customFormat="1" ht="15" customHeight="1" x14ac:dyDescent="0.25">
      <c r="B3367" s="271" t="s">
        <v>356</v>
      </c>
      <c r="C3367" s="272" t="s">
        <v>355</v>
      </c>
      <c r="D3367" s="275" t="s">
        <v>216</v>
      </c>
      <c r="E3367" s="275">
        <v>41744.347962962966</v>
      </c>
      <c r="F3367" s="276">
        <v>1</v>
      </c>
      <c r="G3367" s="243">
        <f t="shared" si="53"/>
        <v>133</v>
      </c>
      <c r="H3367" s="244"/>
      <c r="I3367" s="71" t="e">
        <f>IF(COUNTIF((rName rData),H3367),"","Name Error!")</f>
        <v>#NAME?</v>
      </c>
    </row>
    <row r="3368" spans="2:9" s="126" customFormat="1" ht="15" customHeight="1" x14ac:dyDescent="0.25">
      <c r="B3368" s="271" t="s">
        <v>341</v>
      </c>
      <c r="C3368" s="272" t="s">
        <v>340</v>
      </c>
      <c r="D3368" s="275" t="s">
        <v>216</v>
      </c>
      <c r="E3368" s="275">
        <v>41744.364583333336</v>
      </c>
      <c r="F3368" s="276">
        <v>2</v>
      </c>
      <c r="G3368" s="243">
        <f t="shared" si="53"/>
        <v>133</v>
      </c>
      <c r="H3368" s="244"/>
      <c r="I3368" s="71" t="e">
        <f>IF(COUNTIF((rName rData),H3368),"","Name Error!")</f>
        <v>#NAME?</v>
      </c>
    </row>
    <row r="3369" spans="2:9" s="126" customFormat="1" ht="15" customHeight="1" x14ac:dyDescent="0.25">
      <c r="B3369" s="271" t="s">
        <v>331</v>
      </c>
      <c r="C3369" s="272" t="s">
        <v>330</v>
      </c>
      <c r="D3369" s="275" t="s">
        <v>216</v>
      </c>
      <c r="E3369" s="275">
        <v>41744.601342592592</v>
      </c>
      <c r="F3369" s="276">
        <v>2</v>
      </c>
      <c r="G3369" s="243">
        <f t="shared" si="53"/>
        <v>133</v>
      </c>
      <c r="H3369" s="244"/>
      <c r="I3369" s="71" t="e">
        <f>IF(COUNTIF((rName rData),H3369),"","Name Error!")</f>
        <v>#NAME?</v>
      </c>
    </row>
    <row r="3370" spans="2:9" s="126" customFormat="1" ht="15" customHeight="1" x14ac:dyDescent="0.25">
      <c r="B3370" s="271" t="s">
        <v>358</v>
      </c>
      <c r="C3370" s="272" t="s">
        <v>357</v>
      </c>
      <c r="D3370" s="275" t="s">
        <v>216</v>
      </c>
      <c r="E3370" s="275">
        <v>41744.806585648148</v>
      </c>
      <c r="F3370" s="276">
        <v>1</v>
      </c>
      <c r="G3370" s="243">
        <f t="shared" si="53"/>
        <v>133</v>
      </c>
      <c r="H3370" s="244"/>
      <c r="I3370" s="71" t="e">
        <f>IF(COUNTIF((rName rData),H3370),"","Name Error!")</f>
        <v>#NAME?</v>
      </c>
    </row>
    <row r="3371" spans="2:9" s="126" customFormat="1" ht="15" customHeight="1" x14ac:dyDescent="0.25">
      <c r="B3371" s="271" t="s">
        <v>341</v>
      </c>
      <c r="C3371" s="272" t="s">
        <v>340</v>
      </c>
      <c r="D3371" s="275" t="s">
        <v>216</v>
      </c>
      <c r="E3371" s="275">
        <v>41745.326898148145</v>
      </c>
      <c r="F3371" s="276">
        <v>1</v>
      </c>
      <c r="G3371" s="243">
        <f t="shared" si="53"/>
        <v>133</v>
      </c>
      <c r="H3371" s="244"/>
      <c r="I3371" s="71" t="e">
        <f>IF(COUNTIF((rName rData),H3371),"","Name Error!")</f>
        <v>#NAME?</v>
      </c>
    </row>
    <row r="3372" spans="2:9" s="126" customFormat="1" ht="15" customHeight="1" x14ac:dyDescent="0.25">
      <c r="B3372" s="271" t="s">
        <v>356</v>
      </c>
      <c r="C3372" s="272" t="s">
        <v>355</v>
      </c>
      <c r="D3372" s="275" t="s">
        <v>216</v>
      </c>
      <c r="E3372" s="275">
        <v>41745.329467592594</v>
      </c>
      <c r="F3372" s="276">
        <v>3</v>
      </c>
      <c r="G3372" s="243">
        <f t="shared" si="53"/>
        <v>133</v>
      </c>
      <c r="H3372" s="244"/>
      <c r="I3372" s="71" t="e">
        <f>IF(COUNTIF((rName rData),H3372),"","Name Error!")</f>
        <v>#NAME?</v>
      </c>
    </row>
    <row r="3373" spans="2:9" s="126" customFormat="1" ht="15" customHeight="1" x14ac:dyDescent="0.25">
      <c r="B3373" s="271" t="s">
        <v>335</v>
      </c>
      <c r="C3373" s="272" t="s">
        <v>334</v>
      </c>
      <c r="D3373" s="275" t="s">
        <v>216</v>
      </c>
      <c r="E3373" s="275">
        <v>41745.408587962964</v>
      </c>
      <c r="F3373" s="276">
        <v>3</v>
      </c>
      <c r="G3373" s="243">
        <f t="shared" si="53"/>
        <v>133</v>
      </c>
      <c r="H3373" s="244"/>
      <c r="I3373" s="71" t="e">
        <f>IF(COUNTIF((rName rData),H3373),"","Name Error!")</f>
        <v>#NAME?</v>
      </c>
    </row>
    <row r="3374" spans="2:9" s="126" customFormat="1" ht="15" customHeight="1" x14ac:dyDescent="0.25">
      <c r="B3374" s="271" t="s">
        <v>354</v>
      </c>
      <c r="C3374" s="272" t="s">
        <v>353</v>
      </c>
      <c r="D3374" s="275" t="s">
        <v>216</v>
      </c>
      <c r="E3374" s="275">
        <v>41745.409016203703</v>
      </c>
      <c r="F3374" s="276">
        <v>1</v>
      </c>
      <c r="G3374" s="243">
        <f t="shared" si="53"/>
        <v>133</v>
      </c>
      <c r="H3374" s="244"/>
      <c r="I3374" s="71" t="e">
        <f>IF(COUNTIF((rName rData),H3374),"","Name Error!")</f>
        <v>#NAME?</v>
      </c>
    </row>
    <row r="3375" spans="2:9" s="126" customFormat="1" ht="15" customHeight="1" x14ac:dyDescent="0.25">
      <c r="B3375" s="271" t="s">
        <v>371</v>
      </c>
      <c r="C3375" s="272" t="s">
        <v>370</v>
      </c>
      <c r="D3375" s="275" t="s">
        <v>216</v>
      </c>
      <c r="E3375" s="275">
        <v>41745.412222222221</v>
      </c>
      <c r="F3375" s="276">
        <v>4</v>
      </c>
      <c r="G3375" s="243">
        <f t="shared" si="53"/>
        <v>133</v>
      </c>
      <c r="H3375" s="244"/>
      <c r="I3375" s="71" t="e">
        <f>IF(COUNTIF((rName rData),H3375),"","Name Error!")</f>
        <v>#NAME?</v>
      </c>
    </row>
    <row r="3376" spans="2:9" s="126" customFormat="1" ht="15" customHeight="1" x14ac:dyDescent="0.25">
      <c r="B3376" s="271" t="s">
        <v>352</v>
      </c>
      <c r="C3376" s="272" t="s">
        <v>351</v>
      </c>
      <c r="D3376" s="275" t="s">
        <v>216</v>
      </c>
      <c r="E3376" s="275">
        <v>41745.418344907404</v>
      </c>
      <c r="F3376" s="276">
        <v>1</v>
      </c>
      <c r="G3376" s="243">
        <f t="shared" si="53"/>
        <v>133</v>
      </c>
      <c r="H3376" s="244"/>
      <c r="I3376" s="71" t="e">
        <f>IF(COUNTIF((rName rData),H3376),"","Name Error!")</f>
        <v>#NAME?</v>
      </c>
    </row>
    <row r="3377" spans="2:9" s="126" customFormat="1" ht="15" customHeight="1" x14ac:dyDescent="0.25">
      <c r="B3377" s="271" t="s">
        <v>339</v>
      </c>
      <c r="C3377" s="272" t="s">
        <v>338</v>
      </c>
      <c r="D3377" s="275" t="s">
        <v>216</v>
      </c>
      <c r="E3377" s="275">
        <v>41745.486157407409</v>
      </c>
      <c r="F3377" s="276">
        <v>2</v>
      </c>
      <c r="G3377" s="243">
        <f t="shared" si="53"/>
        <v>133</v>
      </c>
      <c r="H3377" s="244"/>
      <c r="I3377" s="71" t="e">
        <f>IF(COUNTIF((rName rData),H3377),"","Name Error!")</f>
        <v>#NAME?</v>
      </c>
    </row>
    <row r="3378" spans="2:9" s="126" customFormat="1" ht="15" customHeight="1" x14ac:dyDescent="0.25">
      <c r="B3378" s="271" t="s">
        <v>333</v>
      </c>
      <c r="C3378" s="272" t="s">
        <v>332</v>
      </c>
      <c r="D3378" s="275" t="s">
        <v>216</v>
      </c>
      <c r="E3378" s="275">
        <v>41745.519618055558</v>
      </c>
      <c r="F3378" s="276">
        <v>2</v>
      </c>
      <c r="G3378" s="243">
        <f t="shared" si="53"/>
        <v>133</v>
      </c>
      <c r="H3378" s="244"/>
      <c r="I3378" s="71" t="e">
        <f>IF(COUNTIF((rName rData),H3378),"","Name Error!")</f>
        <v>#NAME?</v>
      </c>
    </row>
    <row r="3379" spans="2:9" s="126" customFormat="1" ht="15" customHeight="1" x14ac:dyDescent="0.25">
      <c r="B3379" s="271" t="s">
        <v>267</v>
      </c>
      <c r="C3379" s="272" t="s">
        <v>268</v>
      </c>
      <c r="D3379" s="275" t="s">
        <v>216</v>
      </c>
      <c r="E3379" s="275">
        <v>41745.604166666664</v>
      </c>
      <c r="F3379" s="276">
        <v>1</v>
      </c>
      <c r="G3379" s="243">
        <f t="shared" si="53"/>
        <v>133</v>
      </c>
      <c r="H3379" s="244"/>
      <c r="I3379" s="71" t="e">
        <f>IF(COUNTIF((rName rData),H3379),"","Name Error!")</f>
        <v>#NAME?</v>
      </c>
    </row>
    <row r="3380" spans="2:9" s="126" customFormat="1" ht="15" customHeight="1" x14ac:dyDescent="0.25">
      <c r="B3380" s="271" t="s">
        <v>345</v>
      </c>
      <c r="C3380" s="272" t="s">
        <v>344</v>
      </c>
      <c r="D3380" s="275" t="s">
        <v>216</v>
      </c>
      <c r="E3380" s="275">
        <v>41745.615381944444</v>
      </c>
      <c r="F3380" s="276">
        <v>3</v>
      </c>
      <c r="G3380" s="243">
        <f t="shared" si="53"/>
        <v>133</v>
      </c>
      <c r="H3380" s="244"/>
      <c r="I3380" s="71" t="e">
        <f>IF(COUNTIF((rName rData),H3380),"","Name Error!")</f>
        <v>#NAME?</v>
      </c>
    </row>
    <row r="3381" spans="2:9" s="126" customFormat="1" ht="15" customHeight="1" x14ac:dyDescent="0.25">
      <c r="B3381" s="271" t="s">
        <v>324</v>
      </c>
      <c r="C3381" s="272" t="s">
        <v>323</v>
      </c>
      <c r="D3381" s="275" t="s">
        <v>216</v>
      </c>
      <c r="E3381" s="275">
        <v>41745.694756944446</v>
      </c>
      <c r="F3381" s="276">
        <v>1</v>
      </c>
      <c r="G3381" s="243">
        <f t="shared" si="53"/>
        <v>133</v>
      </c>
      <c r="H3381" s="244"/>
      <c r="I3381" s="71" t="e">
        <f>IF(COUNTIF((rName rData),H3381),"","Name Error!")</f>
        <v>#NAME?</v>
      </c>
    </row>
    <row r="3382" spans="2:9" s="126" customFormat="1" ht="15" customHeight="1" x14ac:dyDescent="0.25">
      <c r="B3382" s="271" t="s">
        <v>365</v>
      </c>
      <c r="C3382" s="272" t="s">
        <v>364</v>
      </c>
      <c r="D3382" s="275" t="s">
        <v>216</v>
      </c>
      <c r="E3382" s="275">
        <v>41745.783599537041</v>
      </c>
      <c r="F3382" s="276">
        <v>2</v>
      </c>
      <c r="G3382" s="243">
        <f t="shared" si="53"/>
        <v>133</v>
      </c>
      <c r="H3382" s="244"/>
      <c r="I3382" s="71" t="e">
        <f>IF(COUNTIF((rName rData),H3382),"","Name Error!")</f>
        <v>#NAME?</v>
      </c>
    </row>
    <row r="3383" spans="2:9" s="126" customFormat="1" ht="15" customHeight="1" x14ac:dyDescent="0.25">
      <c r="B3383" s="271" t="s">
        <v>358</v>
      </c>
      <c r="C3383" s="272" t="s">
        <v>357</v>
      </c>
      <c r="D3383" s="275" t="s">
        <v>216</v>
      </c>
      <c r="E3383" s="275">
        <v>41745.886944444443</v>
      </c>
      <c r="F3383" s="276">
        <v>1</v>
      </c>
      <c r="G3383" s="243">
        <f t="shared" si="53"/>
        <v>133</v>
      </c>
      <c r="H3383" s="244"/>
      <c r="I3383" s="71" t="e">
        <f>IF(COUNTIF((rName rData),H3383),"","Name Error!")</f>
        <v>#NAME?</v>
      </c>
    </row>
    <row r="3384" spans="2:9" s="126" customFormat="1" ht="15" customHeight="1" x14ac:dyDescent="0.25">
      <c r="B3384" s="271" t="s">
        <v>339</v>
      </c>
      <c r="C3384" s="272" t="s">
        <v>338</v>
      </c>
      <c r="D3384" s="275" t="s">
        <v>216</v>
      </c>
      <c r="E3384" s="275">
        <v>41746.025543981479</v>
      </c>
      <c r="F3384" s="276">
        <v>2</v>
      </c>
      <c r="G3384" s="243">
        <f t="shared" si="53"/>
        <v>133</v>
      </c>
      <c r="H3384" s="244"/>
      <c r="I3384" s="71" t="e">
        <f>IF(COUNTIF((rName rData),H3384),"","Name Error!")</f>
        <v>#NAME?</v>
      </c>
    </row>
    <row r="3385" spans="2:9" s="126" customFormat="1" ht="15" customHeight="1" x14ac:dyDescent="0.25">
      <c r="B3385" s="271" t="s">
        <v>333</v>
      </c>
      <c r="C3385" s="272" t="s">
        <v>332</v>
      </c>
      <c r="D3385" s="275" t="s">
        <v>216</v>
      </c>
      <c r="E3385" s="275">
        <v>41746.08084490741</v>
      </c>
      <c r="F3385" s="276">
        <v>1</v>
      </c>
      <c r="G3385" s="243">
        <f t="shared" si="53"/>
        <v>133</v>
      </c>
      <c r="H3385" s="244"/>
      <c r="I3385" s="71" t="e">
        <f>IF(COUNTIF((rName rData),H3385),"","Name Error!")</f>
        <v>#NAME?</v>
      </c>
    </row>
    <row r="3386" spans="2:9" s="126" customFormat="1" ht="15" customHeight="1" x14ac:dyDescent="0.25">
      <c r="B3386" s="271" t="s">
        <v>356</v>
      </c>
      <c r="C3386" s="272" t="s">
        <v>355</v>
      </c>
      <c r="D3386" s="275" t="s">
        <v>216</v>
      </c>
      <c r="E3386" s="275">
        <v>41746.325972222221</v>
      </c>
      <c r="F3386" s="276">
        <v>2</v>
      </c>
      <c r="G3386" s="243">
        <f t="shared" si="53"/>
        <v>133</v>
      </c>
      <c r="H3386" s="244"/>
      <c r="I3386" s="71" t="e">
        <f>IF(COUNTIF((rName rData),H3386),"","Name Error!")</f>
        <v>#NAME?</v>
      </c>
    </row>
    <row r="3387" spans="2:9" s="126" customFormat="1" ht="15" customHeight="1" x14ac:dyDescent="0.25">
      <c r="B3387" s="271" t="s">
        <v>335</v>
      </c>
      <c r="C3387" s="272" t="s">
        <v>334</v>
      </c>
      <c r="D3387" s="275" t="s">
        <v>216</v>
      </c>
      <c r="E3387" s="275">
        <v>41746.381469907406</v>
      </c>
      <c r="F3387" s="276">
        <v>2</v>
      </c>
      <c r="G3387" s="243">
        <f t="shared" si="53"/>
        <v>133</v>
      </c>
      <c r="H3387" s="244"/>
      <c r="I3387" s="71" t="e">
        <f>IF(COUNTIF((rName rData),H3387),"","Name Error!")</f>
        <v>#NAME?</v>
      </c>
    </row>
    <row r="3388" spans="2:9" s="126" customFormat="1" ht="15" customHeight="1" x14ac:dyDescent="0.25">
      <c r="B3388" s="271" t="s">
        <v>345</v>
      </c>
      <c r="C3388" s="272" t="s">
        <v>344</v>
      </c>
      <c r="D3388" s="275" t="s">
        <v>216</v>
      </c>
      <c r="E3388" s="275">
        <v>41746.461180555554</v>
      </c>
      <c r="F3388" s="276">
        <v>1</v>
      </c>
      <c r="G3388" s="243">
        <f t="shared" si="53"/>
        <v>133</v>
      </c>
      <c r="H3388" s="244"/>
      <c r="I3388" s="71" t="e">
        <f>IF(COUNTIF((rName rData),H3388),"","Name Error!")</f>
        <v>#NAME?</v>
      </c>
    </row>
    <row r="3389" spans="2:9" s="126" customFormat="1" ht="15" customHeight="1" x14ac:dyDescent="0.25">
      <c r="B3389" s="271" t="s">
        <v>267</v>
      </c>
      <c r="C3389" s="272" t="s">
        <v>268</v>
      </c>
      <c r="D3389" s="275" t="s">
        <v>216</v>
      </c>
      <c r="E3389" s="275">
        <v>41746.479571759257</v>
      </c>
      <c r="F3389" s="276">
        <v>1</v>
      </c>
      <c r="G3389" s="243">
        <f t="shared" si="53"/>
        <v>133</v>
      </c>
      <c r="H3389" s="244"/>
      <c r="I3389" s="71" t="e">
        <f>IF(COUNTIF((rName rData),H3389),"","Name Error!")</f>
        <v>#NAME?</v>
      </c>
    </row>
    <row r="3390" spans="2:9" s="126" customFormat="1" ht="15" customHeight="1" x14ac:dyDescent="0.25">
      <c r="B3390" s="271" t="s">
        <v>350</v>
      </c>
      <c r="C3390" s="272" t="s">
        <v>349</v>
      </c>
      <c r="D3390" s="275" t="s">
        <v>216</v>
      </c>
      <c r="E3390" s="275">
        <v>41746.80028935185</v>
      </c>
      <c r="F3390" s="276">
        <v>1</v>
      </c>
      <c r="G3390" s="243">
        <f t="shared" si="53"/>
        <v>133</v>
      </c>
      <c r="H3390" s="244"/>
      <c r="I3390" s="71" t="e">
        <f>IF(COUNTIF((rName rData),H3390),"","Name Error!")</f>
        <v>#NAME?</v>
      </c>
    </row>
    <row r="3391" spans="2:9" s="126" customFormat="1" ht="15" customHeight="1" x14ac:dyDescent="0.25">
      <c r="B3391" s="271" t="s">
        <v>358</v>
      </c>
      <c r="C3391" s="272" t="s">
        <v>357</v>
      </c>
      <c r="D3391" s="275" t="s">
        <v>216</v>
      </c>
      <c r="E3391" s="275">
        <v>41746.822199074071</v>
      </c>
      <c r="F3391" s="276">
        <v>1</v>
      </c>
      <c r="G3391" s="243">
        <f t="shared" si="53"/>
        <v>133</v>
      </c>
      <c r="H3391" s="244"/>
      <c r="I3391" s="71" t="e">
        <f>IF(COUNTIF((rName rData),H3391),"","Name Error!")</f>
        <v>#NAME?</v>
      </c>
    </row>
    <row r="3392" spans="2:9" s="126" customFormat="1" ht="15" customHeight="1" x14ac:dyDescent="0.25">
      <c r="B3392" s="271" t="s">
        <v>365</v>
      </c>
      <c r="C3392" s="272" t="s">
        <v>364</v>
      </c>
      <c r="D3392" s="275" t="s">
        <v>216</v>
      </c>
      <c r="E3392" s="275">
        <v>41746.879849537036</v>
      </c>
      <c r="F3392" s="276">
        <v>1</v>
      </c>
      <c r="G3392" s="243">
        <f t="shared" si="53"/>
        <v>133</v>
      </c>
      <c r="H3392" s="244"/>
      <c r="I3392" s="71" t="e">
        <f>IF(COUNTIF((rName rData),H3392),"","Name Error!")</f>
        <v>#NAME?</v>
      </c>
    </row>
    <row r="3393" spans="2:9" s="126" customFormat="1" ht="15" customHeight="1" x14ac:dyDescent="0.25">
      <c r="B3393" s="271" t="s">
        <v>371</v>
      </c>
      <c r="C3393" s="272" t="s">
        <v>370</v>
      </c>
      <c r="D3393" s="275" t="s">
        <v>216</v>
      </c>
      <c r="E3393" s="275">
        <v>41746.959861111114</v>
      </c>
      <c r="F3393" s="276">
        <v>1</v>
      </c>
      <c r="G3393" s="243">
        <f t="shared" si="53"/>
        <v>133</v>
      </c>
      <c r="H3393" s="244"/>
      <c r="I3393" s="71" t="e">
        <f>IF(COUNTIF((rName rData),H3393),"","Name Error!")</f>
        <v>#NAME?</v>
      </c>
    </row>
    <row r="3394" spans="2:9" s="126" customFormat="1" ht="15" customHeight="1" x14ac:dyDescent="0.25">
      <c r="B3394" s="271" t="s">
        <v>356</v>
      </c>
      <c r="C3394" s="272" t="s">
        <v>355</v>
      </c>
      <c r="D3394" s="275" t="s">
        <v>216</v>
      </c>
      <c r="E3394" s="275">
        <v>41747.344502314816</v>
      </c>
      <c r="F3394" s="276">
        <v>1</v>
      </c>
      <c r="G3394" s="243">
        <f t="shared" si="53"/>
        <v>133</v>
      </c>
      <c r="H3394" s="244"/>
      <c r="I3394" s="71" t="e">
        <f>IF(COUNTIF((rName rData),H3394),"","Name Error!")</f>
        <v>#NAME?</v>
      </c>
    </row>
    <row r="3395" spans="2:9" s="126" customFormat="1" ht="15" customHeight="1" x14ac:dyDescent="0.25">
      <c r="B3395" s="271" t="s">
        <v>350</v>
      </c>
      <c r="C3395" s="272" t="s">
        <v>349</v>
      </c>
      <c r="D3395" s="275" t="s">
        <v>216</v>
      </c>
      <c r="E3395" s="275">
        <v>41747.423333333332</v>
      </c>
      <c r="F3395" s="276">
        <v>1</v>
      </c>
      <c r="G3395" s="243">
        <f t="shared" si="53"/>
        <v>133</v>
      </c>
      <c r="H3395" s="244"/>
      <c r="I3395" s="71" t="e">
        <f>IF(COUNTIF((rName rData),H3395),"","Name Error!")</f>
        <v>#NAME?</v>
      </c>
    </row>
    <row r="3396" spans="2:9" s="126" customFormat="1" ht="15" customHeight="1" x14ac:dyDescent="0.25">
      <c r="B3396" s="271" t="s">
        <v>345</v>
      </c>
      <c r="C3396" s="272" t="s">
        <v>344</v>
      </c>
      <c r="D3396" s="275" t="s">
        <v>216</v>
      </c>
      <c r="E3396" s="275">
        <v>41747.439166666663</v>
      </c>
      <c r="F3396" s="276">
        <v>1</v>
      </c>
      <c r="G3396" s="243">
        <f t="shared" si="53"/>
        <v>133</v>
      </c>
      <c r="H3396" s="244"/>
      <c r="I3396" s="71" t="e">
        <f>IF(COUNTIF((rName rData),H3396),"","Name Error!")</f>
        <v>#NAME?</v>
      </c>
    </row>
    <row r="3397" spans="2:9" s="126" customFormat="1" ht="15" customHeight="1" x14ac:dyDescent="0.25">
      <c r="B3397" s="271" t="s">
        <v>341</v>
      </c>
      <c r="C3397" s="272" t="s">
        <v>340</v>
      </c>
      <c r="D3397" s="275" t="s">
        <v>216</v>
      </c>
      <c r="E3397" s="275">
        <v>41747.441944444443</v>
      </c>
      <c r="F3397" s="276">
        <v>2</v>
      </c>
      <c r="G3397" s="243">
        <f t="shared" si="53"/>
        <v>133</v>
      </c>
      <c r="H3397" s="244"/>
      <c r="I3397" s="71" t="e">
        <f>IF(COUNTIF((rName rData),H3397),"","Name Error!")</f>
        <v>#NAME?</v>
      </c>
    </row>
    <row r="3398" spans="2:9" s="126" customFormat="1" ht="15" customHeight="1" x14ac:dyDescent="0.25">
      <c r="B3398" s="271" t="s">
        <v>352</v>
      </c>
      <c r="C3398" s="272" t="s">
        <v>351</v>
      </c>
      <c r="D3398" s="275" t="s">
        <v>216</v>
      </c>
      <c r="E3398" s="275">
        <v>41747.482881944445</v>
      </c>
      <c r="F3398" s="276">
        <v>2</v>
      </c>
      <c r="G3398" s="243">
        <f t="shared" si="53"/>
        <v>133</v>
      </c>
      <c r="H3398" s="244"/>
      <c r="I3398" s="71" t="e">
        <f>IF(COUNTIF((rName rData),H3398),"","Name Error!")</f>
        <v>#NAME?</v>
      </c>
    </row>
    <row r="3399" spans="2:9" s="126" customFormat="1" ht="15" customHeight="1" x14ac:dyDescent="0.25">
      <c r="B3399" s="271" t="s">
        <v>322</v>
      </c>
      <c r="C3399" s="272" t="s">
        <v>321</v>
      </c>
      <c r="D3399" s="275" t="s">
        <v>216</v>
      </c>
      <c r="E3399" s="275">
        <v>41747.80127314815</v>
      </c>
      <c r="F3399" s="276">
        <v>1</v>
      </c>
      <c r="G3399" s="243">
        <f t="shared" si="53"/>
        <v>133</v>
      </c>
      <c r="H3399" s="244"/>
      <c r="I3399" s="71" t="e">
        <f>IF(COUNTIF((rName rData),H3399),"","Name Error!")</f>
        <v>#NAME?</v>
      </c>
    </row>
    <row r="3400" spans="2:9" s="126" customFormat="1" ht="15" customHeight="1" x14ac:dyDescent="0.25">
      <c r="B3400" s="271" t="s">
        <v>358</v>
      </c>
      <c r="C3400" s="272" t="s">
        <v>357</v>
      </c>
      <c r="D3400" s="275" t="s">
        <v>216</v>
      </c>
      <c r="E3400" s="275">
        <v>41747.827268518522</v>
      </c>
      <c r="F3400" s="276">
        <v>1</v>
      </c>
      <c r="G3400" s="243">
        <f t="shared" si="53"/>
        <v>133</v>
      </c>
      <c r="H3400" s="244"/>
      <c r="I3400" s="71" t="e">
        <f>IF(COUNTIF((rName rData),H3400),"","Name Error!")</f>
        <v>#NAME?</v>
      </c>
    </row>
    <row r="3401" spans="2:9" s="126" customFormat="1" ht="15" customHeight="1" x14ac:dyDescent="0.25">
      <c r="B3401" s="271" t="s">
        <v>331</v>
      </c>
      <c r="C3401" s="272" t="s">
        <v>330</v>
      </c>
      <c r="D3401" s="275" t="s">
        <v>216</v>
      </c>
      <c r="E3401" s="275">
        <v>41747.991342592592</v>
      </c>
      <c r="F3401" s="276">
        <v>1</v>
      </c>
      <c r="G3401" s="243">
        <f t="shared" si="53"/>
        <v>133</v>
      </c>
      <c r="H3401" s="244"/>
      <c r="I3401" s="71" t="e">
        <f>IF(COUNTIF((rName rData),H3401),"","Name Error!")</f>
        <v>#NAME?</v>
      </c>
    </row>
    <row r="3402" spans="2:9" s="126" customFormat="1" ht="15" customHeight="1" x14ac:dyDescent="0.25">
      <c r="B3402" s="271" t="s">
        <v>331</v>
      </c>
      <c r="C3402" s="272" t="s">
        <v>330</v>
      </c>
      <c r="D3402" s="275" t="s">
        <v>216</v>
      </c>
      <c r="E3402" s="275">
        <v>41748.133090277777</v>
      </c>
      <c r="F3402" s="276">
        <v>5</v>
      </c>
      <c r="G3402" s="243">
        <f t="shared" ref="G3402:G3465" si="54">TRUNC((E3402-start)/7)+1</f>
        <v>134</v>
      </c>
      <c r="H3402" s="244"/>
      <c r="I3402" s="71" t="e">
        <f>IF(COUNTIF((rName rData),H3402),"","Name Error!")</f>
        <v>#NAME?</v>
      </c>
    </row>
    <row r="3403" spans="2:9" s="126" customFormat="1" ht="15" customHeight="1" x14ac:dyDescent="0.25">
      <c r="B3403" s="271" t="s">
        <v>267</v>
      </c>
      <c r="C3403" s="272" t="s">
        <v>268</v>
      </c>
      <c r="D3403" s="275" t="s">
        <v>216</v>
      </c>
      <c r="E3403" s="275">
        <v>41748.534884259258</v>
      </c>
      <c r="F3403" s="276">
        <v>1</v>
      </c>
      <c r="G3403" s="243">
        <f t="shared" si="54"/>
        <v>134</v>
      </c>
      <c r="H3403" s="244"/>
      <c r="I3403" s="71" t="e">
        <f>IF(COUNTIF((rName rData),H3403),"","Name Error!")</f>
        <v>#NAME?</v>
      </c>
    </row>
    <row r="3404" spans="2:9" s="126" customFormat="1" ht="15" customHeight="1" x14ac:dyDescent="0.25">
      <c r="B3404" s="271" t="s">
        <v>352</v>
      </c>
      <c r="C3404" s="272" t="s">
        <v>351</v>
      </c>
      <c r="D3404" s="275" t="s">
        <v>216</v>
      </c>
      <c r="E3404" s="275">
        <v>41748.552129629628</v>
      </c>
      <c r="F3404" s="276">
        <v>1</v>
      </c>
      <c r="G3404" s="243">
        <f t="shared" si="54"/>
        <v>134</v>
      </c>
      <c r="H3404" s="244"/>
      <c r="I3404" s="71" t="e">
        <f>IF(COUNTIF((rName rData),H3404),"","Name Error!")</f>
        <v>#NAME?</v>
      </c>
    </row>
    <row r="3405" spans="2:9" s="126" customFormat="1" ht="15" customHeight="1" x14ac:dyDescent="0.25">
      <c r="B3405" s="271" t="s">
        <v>339</v>
      </c>
      <c r="C3405" s="272" t="s">
        <v>338</v>
      </c>
      <c r="D3405" s="275" t="s">
        <v>216</v>
      </c>
      <c r="E3405" s="275">
        <v>41748.636273148149</v>
      </c>
      <c r="F3405" s="276">
        <v>1</v>
      </c>
      <c r="G3405" s="243">
        <f t="shared" si="54"/>
        <v>134</v>
      </c>
      <c r="H3405" s="244"/>
      <c r="I3405" s="71" t="e">
        <f>IF(COUNTIF((rName rData),H3405),"","Name Error!")</f>
        <v>#NAME?</v>
      </c>
    </row>
    <row r="3406" spans="2:9" s="126" customFormat="1" ht="15" customHeight="1" x14ac:dyDescent="0.25">
      <c r="B3406" s="271" t="s">
        <v>341</v>
      </c>
      <c r="C3406" s="272" t="s">
        <v>340</v>
      </c>
      <c r="D3406" s="275" t="s">
        <v>216</v>
      </c>
      <c r="E3406" s="275">
        <v>41748.699849537035</v>
      </c>
      <c r="F3406" s="276">
        <v>1</v>
      </c>
      <c r="G3406" s="243">
        <f t="shared" si="54"/>
        <v>134</v>
      </c>
      <c r="H3406" s="244"/>
      <c r="I3406" s="71" t="e">
        <f>IF(COUNTIF((rName rData),H3406),"","Name Error!")</f>
        <v>#NAME?</v>
      </c>
    </row>
    <row r="3407" spans="2:9" s="126" customFormat="1" ht="15" customHeight="1" x14ac:dyDescent="0.25">
      <c r="B3407" s="271" t="s">
        <v>350</v>
      </c>
      <c r="C3407" s="272" t="s">
        <v>349</v>
      </c>
      <c r="D3407" s="275" t="s">
        <v>216</v>
      </c>
      <c r="E3407" s="275">
        <v>41748.726215277777</v>
      </c>
      <c r="F3407" s="276">
        <v>1</v>
      </c>
      <c r="G3407" s="243">
        <f t="shared" si="54"/>
        <v>134</v>
      </c>
      <c r="H3407" s="244"/>
      <c r="I3407" s="71" t="e">
        <f>IF(COUNTIF((rName rData),H3407),"","Name Error!")</f>
        <v>#NAME?</v>
      </c>
    </row>
    <row r="3408" spans="2:9" s="126" customFormat="1" ht="15" customHeight="1" x14ac:dyDescent="0.25">
      <c r="B3408" s="271" t="s">
        <v>337</v>
      </c>
      <c r="C3408" s="272" t="s">
        <v>336</v>
      </c>
      <c r="D3408" s="275" t="s">
        <v>216</v>
      </c>
      <c r="E3408" s="275">
        <v>41748.80300925926</v>
      </c>
      <c r="F3408" s="276">
        <v>1</v>
      </c>
      <c r="G3408" s="243">
        <f t="shared" si="54"/>
        <v>134</v>
      </c>
      <c r="H3408" s="244"/>
      <c r="I3408" s="71" t="e">
        <f>IF(COUNTIF((rName rData),H3408),"","Name Error!")</f>
        <v>#NAME?</v>
      </c>
    </row>
    <row r="3409" spans="2:9" s="126" customFormat="1" ht="15" customHeight="1" x14ac:dyDescent="0.25">
      <c r="B3409" s="271" t="s">
        <v>333</v>
      </c>
      <c r="C3409" s="272" t="s">
        <v>332</v>
      </c>
      <c r="D3409" s="275" t="s">
        <v>216</v>
      </c>
      <c r="E3409" s="275">
        <v>41748.807002314818</v>
      </c>
      <c r="F3409" s="276">
        <v>1</v>
      </c>
      <c r="G3409" s="243">
        <f t="shared" si="54"/>
        <v>134</v>
      </c>
      <c r="H3409" s="244"/>
      <c r="I3409" s="71" t="e">
        <f>IF(COUNTIF((rName rData),H3409),"","Name Error!")</f>
        <v>#NAME?</v>
      </c>
    </row>
    <row r="3410" spans="2:9" s="126" customFormat="1" ht="15" customHeight="1" x14ac:dyDescent="0.25">
      <c r="B3410" s="271" t="s">
        <v>331</v>
      </c>
      <c r="C3410" s="272" t="s">
        <v>330</v>
      </c>
      <c r="D3410" s="275" t="s">
        <v>216</v>
      </c>
      <c r="E3410" s="275">
        <v>41749.010972222219</v>
      </c>
      <c r="F3410" s="276">
        <v>1</v>
      </c>
      <c r="G3410" s="243">
        <f t="shared" si="54"/>
        <v>134</v>
      </c>
      <c r="H3410" s="244"/>
      <c r="I3410" s="71" t="e">
        <f>IF(COUNTIF((rName rData),H3410),"","Name Error!")</f>
        <v>#NAME?</v>
      </c>
    </row>
    <row r="3411" spans="2:9" s="126" customFormat="1" ht="15" customHeight="1" x14ac:dyDescent="0.25">
      <c r="B3411" s="271" t="s">
        <v>371</v>
      </c>
      <c r="C3411" s="272" t="s">
        <v>370</v>
      </c>
      <c r="D3411" s="275" t="s">
        <v>216</v>
      </c>
      <c r="E3411" s="275">
        <v>41749.330879629626</v>
      </c>
      <c r="F3411" s="276">
        <v>3</v>
      </c>
      <c r="G3411" s="243">
        <f t="shared" si="54"/>
        <v>134</v>
      </c>
      <c r="H3411" s="244"/>
      <c r="I3411" s="71" t="e">
        <f>IF(COUNTIF((rName rData),H3411),"","Name Error!")</f>
        <v>#NAME?</v>
      </c>
    </row>
    <row r="3412" spans="2:9" s="126" customFormat="1" ht="15" customHeight="1" x14ac:dyDescent="0.25">
      <c r="B3412" s="271" t="s">
        <v>358</v>
      </c>
      <c r="C3412" s="272" t="s">
        <v>357</v>
      </c>
      <c r="D3412" s="275" t="s">
        <v>216</v>
      </c>
      <c r="E3412" s="275">
        <v>41749.367962962962</v>
      </c>
      <c r="F3412" s="276">
        <v>2</v>
      </c>
      <c r="G3412" s="243">
        <f t="shared" si="54"/>
        <v>134</v>
      </c>
      <c r="H3412" s="244"/>
      <c r="I3412" s="71" t="e">
        <f>IF(COUNTIF((rName rData),H3412),"","Name Error!")</f>
        <v>#NAME?</v>
      </c>
    </row>
    <row r="3413" spans="2:9" s="126" customFormat="1" ht="15" customHeight="1" x14ac:dyDescent="0.25">
      <c r="B3413" s="271" t="s">
        <v>322</v>
      </c>
      <c r="C3413" s="272" t="s">
        <v>321</v>
      </c>
      <c r="D3413" s="275" t="s">
        <v>216</v>
      </c>
      <c r="E3413" s="275">
        <v>41749.416041666664</v>
      </c>
      <c r="F3413" s="276">
        <v>6</v>
      </c>
      <c r="G3413" s="243">
        <f t="shared" si="54"/>
        <v>134</v>
      </c>
      <c r="H3413" s="244"/>
      <c r="I3413" s="71" t="e">
        <f>IF(COUNTIF((rName rData),H3413),"","Name Error!")</f>
        <v>#NAME?</v>
      </c>
    </row>
    <row r="3414" spans="2:9" s="126" customFormat="1" ht="15" customHeight="1" x14ac:dyDescent="0.25">
      <c r="B3414" s="271" t="s">
        <v>352</v>
      </c>
      <c r="C3414" s="272" t="s">
        <v>351</v>
      </c>
      <c r="D3414" s="275" t="s">
        <v>216</v>
      </c>
      <c r="E3414" s="275">
        <v>41749.421030092592</v>
      </c>
      <c r="F3414" s="276">
        <v>2</v>
      </c>
      <c r="G3414" s="243">
        <f t="shared" si="54"/>
        <v>134</v>
      </c>
      <c r="H3414" s="244"/>
      <c r="I3414" s="71" t="e">
        <f>IF(COUNTIF((rName rData),H3414),"","Name Error!")</f>
        <v>#NAME?</v>
      </c>
    </row>
    <row r="3415" spans="2:9" s="126" customFormat="1" ht="15" customHeight="1" x14ac:dyDescent="0.25">
      <c r="B3415" s="271" t="s">
        <v>350</v>
      </c>
      <c r="C3415" s="272" t="s">
        <v>349</v>
      </c>
      <c r="D3415" s="275" t="s">
        <v>216</v>
      </c>
      <c r="E3415" s="275">
        <v>41749.471400462964</v>
      </c>
      <c r="F3415" s="276">
        <v>1</v>
      </c>
      <c r="G3415" s="243">
        <f t="shared" si="54"/>
        <v>134</v>
      </c>
      <c r="H3415" s="244"/>
      <c r="I3415" s="71" t="e">
        <f>IF(COUNTIF((rName rData),H3415),"","Name Error!")</f>
        <v>#NAME?</v>
      </c>
    </row>
    <row r="3416" spans="2:9" s="126" customFormat="1" ht="15" customHeight="1" x14ac:dyDescent="0.25">
      <c r="B3416" s="271" t="s">
        <v>337</v>
      </c>
      <c r="C3416" s="272" t="s">
        <v>336</v>
      </c>
      <c r="D3416" s="275" t="s">
        <v>216</v>
      </c>
      <c r="E3416" s="275">
        <v>41749.515335648146</v>
      </c>
      <c r="F3416" s="276">
        <v>2</v>
      </c>
      <c r="G3416" s="243">
        <f t="shared" si="54"/>
        <v>134</v>
      </c>
      <c r="H3416" s="244"/>
      <c r="I3416" s="71" t="e">
        <f>IF(COUNTIF((rName rData),H3416),"","Name Error!")</f>
        <v>#NAME?</v>
      </c>
    </row>
    <row r="3417" spans="2:9" s="126" customFormat="1" ht="15" customHeight="1" x14ac:dyDescent="0.25">
      <c r="B3417" s="271" t="s">
        <v>362</v>
      </c>
      <c r="C3417" s="272" t="s">
        <v>361</v>
      </c>
      <c r="D3417" s="275" t="s">
        <v>216</v>
      </c>
      <c r="E3417" s="275">
        <v>41749.522986111115</v>
      </c>
      <c r="F3417" s="276">
        <v>2</v>
      </c>
      <c r="G3417" s="243">
        <f t="shared" si="54"/>
        <v>134</v>
      </c>
      <c r="H3417" s="244"/>
      <c r="I3417" s="71" t="e">
        <f>IF(COUNTIF((rName rData),H3417),"","Name Error!")</f>
        <v>#NAME?</v>
      </c>
    </row>
    <row r="3418" spans="2:9" s="126" customFormat="1" ht="15" customHeight="1" x14ac:dyDescent="0.25">
      <c r="B3418" s="271" t="s">
        <v>267</v>
      </c>
      <c r="C3418" s="272" t="s">
        <v>268</v>
      </c>
      <c r="D3418" s="275" t="s">
        <v>216</v>
      </c>
      <c r="E3418" s="275">
        <v>41749.632361111115</v>
      </c>
      <c r="F3418" s="276">
        <v>1</v>
      </c>
      <c r="G3418" s="243">
        <f t="shared" si="54"/>
        <v>134</v>
      </c>
      <c r="H3418" s="244"/>
      <c r="I3418" s="71" t="e">
        <f>IF(COUNTIF((rName rData),H3418),"","Name Error!")</f>
        <v>#NAME?</v>
      </c>
    </row>
    <row r="3419" spans="2:9" s="126" customFormat="1" ht="15" customHeight="1" x14ac:dyDescent="0.25">
      <c r="B3419" s="271" t="s">
        <v>324</v>
      </c>
      <c r="C3419" s="272" t="s">
        <v>323</v>
      </c>
      <c r="D3419" s="275" t="s">
        <v>216</v>
      </c>
      <c r="E3419" s="275">
        <v>41749.684467592589</v>
      </c>
      <c r="F3419" s="276">
        <v>4</v>
      </c>
      <c r="G3419" s="243">
        <f t="shared" si="54"/>
        <v>134</v>
      </c>
      <c r="H3419" s="244"/>
      <c r="I3419" s="71" t="e">
        <f>IF(COUNTIF((rName rData),H3419),"","Name Error!")</f>
        <v>#NAME?</v>
      </c>
    </row>
    <row r="3420" spans="2:9" s="126" customFormat="1" ht="15" customHeight="1" x14ac:dyDescent="0.25">
      <c r="B3420" s="271" t="s">
        <v>335</v>
      </c>
      <c r="C3420" s="272" t="s">
        <v>334</v>
      </c>
      <c r="D3420" s="275" t="s">
        <v>216</v>
      </c>
      <c r="E3420" s="275">
        <v>41749.749699074076</v>
      </c>
      <c r="F3420" s="276">
        <v>2</v>
      </c>
      <c r="G3420" s="243">
        <f t="shared" si="54"/>
        <v>134</v>
      </c>
      <c r="H3420" s="244"/>
      <c r="I3420" s="71" t="e">
        <f>IF(COUNTIF((rName rData),H3420),"","Name Error!")</f>
        <v>#NAME?</v>
      </c>
    </row>
    <row r="3421" spans="2:9" s="126" customFormat="1" ht="15" customHeight="1" x14ac:dyDescent="0.25">
      <c r="B3421" s="271" t="s">
        <v>320</v>
      </c>
      <c r="C3421" s="272" t="s">
        <v>319</v>
      </c>
      <c r="D3421" s="275" t="s">
        <v>216</v>
      </c>
      <c r="E3421" s="275">
        <v>41749.808240740742</v>
      </c>
      <c r="F3421" s="276">
        <v>2</v>
      </c>
      <c r="G3421" s="243">
        <f t="shared" si="54"/>
        <v>134</v>
      </c>
      <c r="H3421" s="244"/>
      <c r="I3421" s="71" t="e">
        <f>IF(COUNTIF((rName rData),H3421),"","Name Error!")</f>
        <v>#NAME?</v>
      </c>
    </row>
    <row r="3422" spans="2:9" s="126" customFormat="1" ht="15" customHeight="1" x14ac:dyDescent="0.25">
      <c r="B3422" s="271" t="s">
        <v>365</v>
      </c>
      <c r="C3422" s="272" t="s">
        <v>364</v>
      </c>
      <c r="D3422" s="275" t="s">
        <v>216</v>
      </c>
      <c r="E3422" s="275">
        <v>41749.815069444441</v>
      </c>
      <c r="F3422" s="276">
        <v>3</v>
      </c>
      <c r="G3422" s="243">
        <f t="shared" si="54"/>
        <v>134</v>
      </c>
      <c r="H3422" s="244"/>
      <c r="I3422" s="71" t="e">
        <f>IF(COUNTIF((rName rData),H3422),"","Name Error!")</f>
        <v>#NAME?</v>
      </c>
    </row>
    <row r="3423" spans="2:9" s="126" customFormat="1" ht="15" customHeight="1" x14ac:dyDescent="0.25">
      <c r="B3423" s="271" t="s">
        <v>356</v>
      </c>
      <c r="C3423" s="272" t="s">
        <v>355</v>
      </c>
      <c r="D3423" s="275" t="s">
        <v>216</v>
      </c>
      <c r="E3423" s="275">
        <v>41749.844641203701</v>
      </c>
      <c r="F3423" s="276">
        <v>1</v>
      </c>
      <c r="G3423" s="243">
        <f t="shared" si="54"/>
        <v>134</v>
      </c>
      <c r="H3423" s="244"/>
      <c r="I3423" s="71" t="e">
        <f>IF(COUNTIF((rName rData),H3423),"","Name Error!")</f>
        <v>#NAME?</v>
      </c>
    </row>
    <row r="3424" spans="2:9" s="126" customFormat="1" ht="15" customHeight="1" x14ac:dyDescent="0.25">
      <c r="B3424" s="271" t="s">
        <v>345</v>
      </c>
      <c r="C3424" s="272" t="s">
        <v>344</v>
      </c>
      <c r="D3424" s="275" t="s">
        <v>216</v>
      </c>
      <c r="E3424" s="275">
        <v>41749.964768518519</v>
      </c>
      <c r="F3424" s="276">
        <v>1</v>
      </c>
      <c r="G3424" s="243">
        <f t="shared" si="54"/>
        <v>134</v>
      </c>
      <c r="H3424" s="244"/>
      <c r="I3424" s="71" t="e">
        <f>IF(COUNTIF((rName rData),H3424),"","Name Error!")</f>
        <v>#NAME?</v>
      </c>
    </row>
    <row r="3425" spans="2:9" s="126" customFormat="1" ht="15" customHeight="1" x14ac:dyDescent="0.25">
      <c r="B3425" s="271" t="s">
        <v>333</v>
      </c>
      <c r="C3425" s="272" t="s">
        <v>332</v>
      </c>
      <c r="D3425" s="275" t="s">
        <v>216</v>
      </c>
      <c r="E3425" s="275">
        <v>41749.985706018517</v>
      </c>
      <c r="F3425" s="276">
        <v>1</v>
      </c>
      <c r="G3425" s="243">
        <f t="shared" si="54"/>
        <v>134</v>
      </c>
      <c r="H3425" s="244"/>
      <c r="I3425" s="71" t="e">
        <f>IF(COUNTIF((rName rData),H3425),"","Name Error!")</f>
        <v>#NAME?</v>
      </c>
    </row>
    <row r="3426" spans="2:9" s="126" customFormat="1" ht="15" customHeight="1" x14ac:dyDescent="0.25">
      <c r="B3426" s="271" t="s">
        <v>345</v>
      </c>
      <c r="C3426" s="272" t="s">
        <v>344</v>
      </c>
      <c r="D3426" s="275" t="s">
        <v>216</v>
      </c>
      <c r="E3426" s="275">
        <v>41750.380219907405</v>
      </c>
      <c r="F3426" s="276">
        <v>1</v>
      </c>
      <c r="G3426" s="243">
        <f t="shared" si="54"/>
        <v>134</v>
      </c>
      <c r="H3426" s="244"/>
      <c r="I3426" s="71" t="e">
        <f>IF(COUNTIF((rName rData),H3426),"","Name Error!")</f>
        <v>#NAME?</v>
      </c>
    </row>
    <row r="3427" spans="2:9" s="126" customFormat="1" ht="15" customHeight="1" x14ac:dyDescent="0.25">
      <c r="B3427" s="271" t="s">
        <v>331</v>
      </c>
      <c r="C3427" s="272" t="s">
        <v>330</v>
      </c>
      <c r="D3427" s="275" t="s">
        <v>216</v>
      </c>
      <c r="E3427" s="275">
        <v>41750.517210648148</v>
      </c>
      <c r="F3427" s="276">
        <v>2</v>
      </c>
      <c r="G3427" s="243">
        <f t="shared" si="54"/>
        <v>134</v>
      </c>
      <c r="H3427" s="244"/>
      <c r="I3427" s="71" t="e">
        <f>IF(COUNTIF((rName rData),H3427),"","Name Error!")</f>
        <v>#NAME?</v>
      </c>
    </row>
    <row r="3428" spans="2:9" s="126" customFormat="1" ht="15" customHeight="1" x14ac:dyDescent="0.25">
      <c r="B3428" s="271" t="s">
        <v>341</v>
      </c>
      <c r="C3428" s="272" t="s">
        <v>340</v>
      </c>
      <c r="D3428" s="275" t="s">
        <v>216</v>
      </c>
      <c r="E3428" s="275">
        <v>41750.550428240742</v>
      </c>
      <c r="F3428" s="276">
        <v>1</v>
      </c>
      <c r="G3428" s="243">
        <f t="shared" si="54"/>
        <v>134</v>
      </c>
      <c r="H3428" s="244"/>
      <c r="I3428" s="71" t="e">
        <f>IF(COUNTIF((rName rData),H3428),"","Name Error!")</f>
        <v>#NAME?</v>
      </c>
    </row>
    <row r="3429" spans="2:9" s="126" customFormat="1" ht="15" customHeight="1" x14ac:dyDescent="0.25">
      <c r="B3429" s="271" t="s">
        <v>358</v>
      </c>
      <c r="C3429" s="272" t="s">
        <v>357</v>
      </c>
      <c r="D3429" s="275" t="s">
        <v>216</v>
      </c>
      <c r="E3429" s="275">
        <v>41750.594375000001</v>
      </c>
      <c r="F3429" s="276">
        <v>2</v>
      </c>
      <c r="G3429" s="243">
        <f t="shared" si="54"/>
        <v>134</v>
      </c>
      <c r="H3429" s="244"/>
      <c r="I3429" s="71" t="e">
        <f>IF(COUNTIF((rName rData),H3429),"","Name Error!")</f>
        <v>#NAME?</v>
      </c>
    </row>
    <row r="3430" spans="2:9" s="126" customFormat="1" ht="15" customHeight="1" x14ac:dyDescent="0.25">
      <c r="B3430" s="271" t="s">
        <v>356</v>
      </c>
      <c r="C3430" s="272" t="s">
        <v>355</v>
      </c>
      <c r="D3430" s="275" t="s">
        <v>216</v>
      </c>
      <c r="E3430" s="275">
        <v>41750.601863425924</v>
      </c>
      <c r="F3430" s="276">
        <v>1</v>
      </c>
      <c r="G3430" s="243">
        <f t="shared" si="54"/>
        <v>134</v>
      </c>
      <c r="H3430" s="244"/>
      <c r="I3430" s="71" t="e">
        <f>IF(COUNTIF((rName rData),H3430),"","Name Error!")</f>
        <v>#NAME?</v>
      </c>
    </row>
    <row r="3431" spans="2:9" s="126" customFormat="1" ht="15" customHeight="1" x14ac:dyDescent="0.25">
      <c r="B3431" s="271" t="s">
        <v>352</v>
      </c>
      <c r="C3431" s="272" t="s">
        <v>351</v>
      </c>
      <c r="D3431" s="275" t="s">
        <v>216</v>
      </c>
      <c r="E3431" s="275">
        <v>41750.668993055559</v>
      </c>
      <c r="F3431" s="276">
        <v>1</v>
      </c>
      <c r="G3431" s="243">
        <f t="shared" si="54"/>
        <v>134</v>
      </c>
      <c r="H3431" s="244"/>
      <c r="I3431" s="71" t="e">
        <f>IF(COUNTIF((rName rData),H3431),"","Name Error!")</f>
        <v>#NAME?</v>
      </c>
    </row>
    <row r="3432" spans="2:9" s="126" customFormat="1" ht="15" customHeight="1" x14ac:dyDescent="0.25">
      <c r="B3432" s="271" t="s">
        <v>320</v>
      </c>
      <c r="C3432" s="272" t="s">
        <v>319</v>
      </c>
      <c r="D3432" s="275" t="s">
        <v>216</v>
      </c>
      <c r="E3432" s="275">
        <v>41750.866956018515</v>
      </c>
      <c r="F3432" s="276">
        <v>2</v>
      </c>
      <c r="G3432" s="243">
        <f t="shared" si="54"/>
        <v>134</v>
      </c>
      <c r="H3432" s="244"/>
      <c r="I3432" s="71" t="e">
        <f>IF(COUNTIF((rName rData),H3432),"","Name Error!")</f>
        <v>#NAME?</v>
      </c>
    </row>
    <row r="3433" spans="2:9" s="126" customFormat="1" ht="15" customHeight="1" x14ac:dyDescent="0.25">
      <c r="B3433" s="271" t="s">
        <v>371</v>
      </c>
      <c r="C3433" s="272" t="s">
        <v>370</v>
      </c>
      <c r="D3433" s="275" t="s">
        <v>216</v>
      </c>
      <c r="E3433" s="275">
        <v>41750.89640046296</v>
      </c>
      <c r="F3433" s="276">
        <v>1</v>
      </c>
      <c r="G3433" s="243">
        <f t="shared" si="54"/>
        <v>134</v>
      </c>
      <c r="H3433" s="244"/>
      <c r="I3433" s="71" t="e">
        <f>IF(COUNTIF((rName rData),H3433),"","Name Error!")</f>
        <v>#NAME?</v>
      </c>
    </row>
    <row r="3434" spans="2:9" s="126" customFormat="1" ht="15" customHeight="1" x14ac:dyDescent="0.25">
      <c r="B3434" s="271" t="s">
        <v>354</v>
      </c>
      <c r="C3434" s="272" t="s">
        <v>353</v>
      </c>
      <c r="D3434" s="275" t="s">
        <v>216</v>
      </c>
      <c r="E3434" s="275">
        <v>41750.932592592595</v>
      </c>
      <c r="F3434" s="276">
        <v>1</v>
      </c>
      <c r="G3434" s="243">
        <f t="shared" si="54"/>
        <v>134</v>
      </c>
      <c r="H3434" s="244"/>
      <c r="I3434" s="71" t="e">
        <f>IF(COUNTIF((rName rData),H3434),"","Name Error!")</f>
        <v>#NAME?</v>
      </c>
    </row>
    <row r="3435" spans="2:9" s="126" customFormat="1" ht="15" customHeight="1" x14ac:dyDescent="0.25">
      <c r="B3435" s="271" t="s">
        <v>371</v>
      </c>
      <c r="C3435" s="272" t="s">
        <v>370</v>
      </c>
      <c r="D3435" s="275" t="s">
        <v>216</v>
      </c>
      <c r="E3435" s="275">
        <v>41751.312326388892</v>
      </c>
      <c r="F3435" s="276">
        <v>1</v>
      </c>
      <c r="G3435" s="243">
        <f t="shared" si="54"/>
        <v>134</v>
      </c>
      <c r="H3435" s="244"/>
      <c r="I3435" s="71" t="e">
        <f>IF(COUNTIF((rName rData),H3435),"","Name Error!")</f>
        <v>#NAME?</v>
      </c>
    </row>
    <row r="3436" spans="2:9" s="126" customFormat="1" ht="15" customHeight="1" x14ac:dyDescent="0.25">
      <c r="B3436" s="271" t="s">
        <v>356</v>
      </c>
      <c r="C3436" s="272" t="s">
        <v>355</v>
      </c>
      <c r="D3436" s="275" t="s">
        <v>216</v>
      </c>
      <c r="E3436" s="275">
        <v>41751.363981481481</v>
      </c>
      <c r="F3436" s="276">
        <v>3</v>
      </c>
      <c r="G3436" s="243">
        <f t="shared" si="54"/>
        <v>134</v>
      </c>
      <c r="H3436" s="244"/>
      <c r="I3436" s="71" t="e">
        <f>IF(COUNTIF((rName rData),H3436),"","Name Error!")</f>
        <v>#NAME?</v>
      </c>
    </row>
    <row r="3437" spans="2:9" s="126" customFormat="1" ht="15" customHeight="1" x14ac:dyDescent="0.25">
      <c r="B3437" s="271" t="s">
        <v>324</v>
      </c>
      <c r="C3437" s="272" t="s">
        <v>323</v>
      </c>
      <c r="D3437" s="275" t="s">
        <v>216</v>
      </c>
      <c r="E3437" s="275">
        <v>41751.493460648147</v>
      </c>
      <c r="F3437" s="276">
        <v>1</v>
      </c>
      <c r="G3437" s="243">
        <f t="shared" si="54"/>
        <v>134</v>
      </c>
      <c r="H3437" s="244"/>
      <c r="I3437" s="71" t="e">
        <f>IF(COUNTIF((rName rData),H3437),"","Name Error!")</f>
        <v>#NAME?</v>
      </c>
    </row>
    <row r="3438" spans="2:9" s="126" customFormat="1" ht="15" customHeight="1" x14ac:dyDescent="0.25">
      <c r="B3438" s="271" t="s">
        <v>331</v>
      </c>
      <c r="C3438" s="272" t="s">
        <v>330</v>
      </c>
      <c r="D3438" s="275" t="s">
        <v>216</v>
      </c>
      <c r="E3438" s="275">
        <v>41751.544432870367</v>
      </c>
      <c r="F3438" s="276">
        <v>1</v>
      </c>
      <c r="G3438" s="243">
        <f t="shared" si="54"/>
        <v>134</v>
      </c>
      <c r="H3438" s="244"/>
      <c r="I3438" s="71" t="e">
        <f>IF(COUNTIF((rName rData),H3438),"","Name Error!")</f>
        <v>#NAME?</v>
      </c>
    </row>
    <row r="3439" spans="2:9" s="126" customFormat="1" ht="15" customHeight="1" x14ac:dyDescent="0.25">
      <c r="B3439" s="271" t="s">
        <v>335</v>
      </c>
      <c r="C3439" s="272" t="s">
        <v>334</v>
      </c>
      <c r="D3439" s="275" t="s">
        <v>216</v>
      </c>
      <c r="E3439" s="275">
        <v>41751.575775462959</v>
      </c>
      <c r="F3439" s="276">
        <v>1</v>
      </c>
      <c r="G3439" s="243">
        <f t="shared" si="54"/>
        <v>134</v>
      </c>
      <c r="H3439" s="244"/>
      <c r="I3439" s="71" t="e">
        <f>IF(COUNTIF((rName rData),H3439),"","Name Error!")</f>
        <v>#NAME?</v>
      </c>
    </row>
    <row r="3440" spans="2:9" s="126" customFormat="1" ht="15" customHeight="1" x14ac:dyDescent="0.25">
      <c r="B3440" s="271" t="s">
        <v>354</v>
      </c>
      <c r="C3440" s="272" t="s">
        <v>353</v>
      </c>
      <c r="D3440" s="275" t="s">
        <v>216</v>
      </c>
      <c r="E3440" s="275">
        <v>41751.577951388892</v>
      </c>
      <c r="F3440" s="276">
        <v>1</v>
      </c>
      <c r="G3440" s="243">
        <f t="shared" si="54"/>
        <v>134</v>
      </c>
      <c r="H3440" s="244"/>
      <c r="I3440" s="71" t="e">
        <f>IF(COUNTIF((rName rData),H3440),"","Name Error!")</f>
        <v>#NAME?</v>
      </c>
    </row>
    <row r="3441" spans="2:9" s="126" customFormat="1" ht="15" customHeight="1" x14ac:dyDescent="0.25">
      <c r="B3441" s="271" t="s">
        <v>352</v>
      </c>
      <c r="C3441" s="272" t="s">
        <v>351</v>
      </c>
      <c r="D3441" s="275" t="s">
        <v>216</v>
      </c>
      <c r="E3441" s="275">
        <v>41751.581041666665</v>
      </c>
      <c r="F3441" s="276">
        <v>1</v>
      </c>
      <c r="G3441" s="243">
        <f t="shared" si="54"/>
        <v>134</v>
      </c>
      <c r="H3441" s="244"/>
      <c r="I3441" s="71" t="e">
        <f>IF(COUNTIF((rName rData),H3441),"","Name Error!")</f>
        <v>#NAME?</v>
      </c>
    </row>
    <row r="3442" spans="2:9" s="126" customFormat="1" ht="15" customHeight="1" x14ac:dyDescent="0.25">
      <c r="B3442" s="271" t="s">
        <v>345</v>
      </c>
      <c r="C3442" s="272" t="s">
        <v>344</v>
      </c>
      <c r="D3442" s="275" t="s">
        <v>216</v>
      </c>
      <c r="E3442" s="275">
        <v>41751.615266203706</v>
      </c>
      <c r="F3442" s="276">
        <v>1</v>
      </c>
      <c r="G3442" s="243">
        <f t="shared" si="54"/>
        <v>134</v>
      </c>
      <c r="H3442" s="244"/>
      <c r="I3442" s="71" t="e">
        <f>IF(COUNTIF((rName rData),H3442),"","Name Error!")</f>
        <v>#NAME?</v>
      </c>
    </row>
    <row r="3443" spans="2:9" s="126" customFormat="1" ht="15" customHeight="1" x14ac:dyDescent="0.25">
      <c r="B3443" s="271" t="s">
        <v>267</v>
      </c>
      <c r="C3443" s="272" t="s">
        <v>268</v>
      </c>
      <c r="D3443" s="275" t="s">
        <v>216</v>
      </c>
      <c r="E3443" s="275">
        <v>41751.689479166664</v>
      </c>
      <c r="F3443" s="276">
        <v>1</v>
      </c>
      <c r="G3443" s="243">
        <f t="shared" si="54"/>
        <v>134</v>
      </c>
      <c r="H3443" s="244"/>
      <c r="I3443" s="71" t="e">
        <f>IF(COUNTIF((rName rData),H3443),"","Name Error!")</f>
        <v>#NAME?</v>
      </c>
    </row>
    <row r="3444" spans="2:9" s="126" customFormat="1" ht="15" customHeight="1" x14ac:dyDescent="0.25">
      <c r="B3444" s="271" t="s">
        <v>339</v>
      </c>
      <c r="C3444" s="272" t="s">
        <v>338</v>
      </c>
      <c r="D3444" s="275" t="s">
        <v>216</v>
      </c>
      <c r="E3444" s="275">
        <v>41752.003541666665</v>
      </c>
      <c r="F3444" s="276">
        <v>1</v>
      </c>
      <c r="G3444" s="243">
        <f t="shared" si="54"/>
        <v>134</v>
      </c>
      <c r="H3444" s="244"/>
      <c r="I3444" s="71" t="e">
        <f>IF(COUNTIF((rName rData),H3444),"","Name Error!")</f>
        <v>#NAME?</v>
      </c>
    </row>
    <row r="3445" spans="2:9" s="126" customFormat="1" ht="15" customHeight="1" x14ac:dyDescent="0.25">
      <c r="B3445" s="271" t="s">
        <v>322</v>
      </c>
      <c r="C3445" s="272" t="s">
        <v>321</v>
      </c>
      <c r="D3445" s="275" t="s">
        <v>216</v>
      </c>
      <c r="E3445" s="275">
        <v>41752.502129629633</v>
      </c>
      <c r="F3445" s="276">
        <v>3</v>
      </c>
      <c r="G3445" s="243">
        <f t="shared" si="54"/>
        <v>134</v>
      </c>
      <c r="H3445" s="244"/>
      <c r="I3445" s="71" t="e">
        <f>IF(COUNTIF((rName rData),H3445),"","Name Error!")</f>
        <v>#NAME?</v>
      </c>
    </row>
    <row r="3446" spans="2:9" s="126" customFormat="1" ht="15" customHeight="1" x14ac:dyDescent="0.25">
      <c r="B3446" s="271" t="s">
        <v>337</v>
      </c>
      <c r="C3446" s="272" t="s">
        <v>336</v>
      </c>
      <c r="D3446" s="275" t="s">
        <v>216</v>
      </c>
      <c r="E3446" s="275">
        <v>41752.737337962964</v>
      </c>
      <c r="F3446" s="276">
        <v>1</v>
      </c>
      <c r="G3446" s="243">
        <f t="shared" si="54"/>
        <v>134</v>
      </c>
      <c r="H3446" s="244"/>
      <c r="I3446" s="71" t="e">
        <f>IF(COUNTIF((rName rData),H3446),"","Name Error!")</f>
        <v>#NAME?</v>
      </c>
    </row>
    <row r="3447" spans="2:9" s="126" customFormat="1" ht="15" customHeight="1" x14ac:dyDescent="0.25">
      <c r="B3447" s="271" t="s">
        <v>267</v>
      </c>
      <c r="C3447" s="272" t="s">
        <v>268</v>
      </c>
      <c r="D3447" s="275" t="s">
        <v>216</v>
      </c>
      <c r="E3447" s="275">
        <v>41752.818229166667</v>
      </c>
      <c r="F3447" s="276">
        <v>1</v>
      </c>
      <c r="G3447" s="243">
        <f t="shared" si="54"/>
        <v>134</v>
      </c>
      <c r="H3447" s="244"/>
      <c r="I3447" s="71" t="e">
        <f>IF(COUNTIF((rName rData),H3447),"","Name Error!")</f>
        <v>#NAME?</v>
      </c>
    </row>
    <row r="3448" spans="2:9" s="126" customFormat="1" ht="15" customHeight="1" x14ac:dyDescent="0.25">
      <c r="B3448" s="271" t="s">
        <v>339</v>
      </c>
      <c r="C3448" s="272" t="s">
        <v>338</v>
      </c>
      <c r="D3448" s="275" t="s">
        <v>216</v>
      </c>
      <c r="E3448" s="275">
        <v>41753.027916666666</v>
      </c>
      <c r="F3448" s="276">
        <v>2</v>
      </c>
      <c r="G3448" s="243">
        <f t="shared" si="54"/>
        <v>134</v>
      </c>
      <c r="H3448" s="244"/>
      <c r="I3448" s="71" t="e">
        <f>IF(COUNTIF((rName rData),H3448),"","Name Error!")</f>
        <v>#NAME?</v>
      </c>
    </row>
    <row r="3449" spans="2:9" s="126" customFormat="1" ht="15" customHeight="1" x14ac:dyDescent="0.25">
      <c r="B3449" s="271" t="s">
        <v>356</v>
      </c>
      <c r="C3449" s="272" t="s">
        <v>355</v>
      </c>
      <c r="D3449" s="275" t="s">
        <v>216</v>
      </c>
      <c r="E3449" s="275">
        <v>41753.535891203705</v>
      </c>
      <c r="F3449" s="276">
        <v>1</v>
      </c>
      <c r="G3449" s="243">
        <f t="shared" si="54"/>
        <v>134</v>
      </c>
      <c r="H3449" s="244"/>
      <c r="I3449" s="71" t="e">
        <f>IF(COUNTIF((rName rData),H3449),"","Name Error!")</f>
        <v>#NAME?</v>
      </c>
    </row>
    <row r="3450" spans="2:9" s="126" customFormat="1" ht="15" customHeight="1" x14ac:dyDescent="0.25">
      <c r="B3450" s="271" t="s">
        <v>322</v>
      </c>
      <c r="C3450" s="272" t="s">
        <v>321</v>
      </c>
      <c r="D3450" s="275" t="s">
        <v>216</v>
      </c>
      <c r="E3450" s="275">
        <v>41754.658136574071</v>
      </c>
      <c r="F3450" s="276">
        <v>1</v>
      </c>
      <c r="G3450" s="243">
        <f t="shared" si="54"/>
        <v>134</v>
      </c>
      <c r="H3450" s="244"/>
      <c r="I3450" s="71" t="e">
        <f>IF(COUNTIF((rName rData),H3450),"","Name Error!")</f>
        <v>#NAME?</v>
      </c>
    </row>
    <row r="3451" spans="2:9" s="126" customFormat="1" ht="15" customHeight="1" x14ac:dyDescent="0.25">
      <c r="B3451" s="271" t="s">
        <v>331</v>
      </c>
      <c r="C3451" s="272" t="s">
        <v>330</v>
      </c>
      <c r="D3451" s="275" t="s">
        <v>216</v>
      </c>
      <c r="E3451" s="275">
        <v>41754.710162037038</v>
      </c>
      <c r="F3451" s="276">
        <v>1</v>
      </c>
      <c r="G3451" s="243">
        <f t="shared" si="54"/>
        <v>134</v>
      </c>
      <c r="H3451" s="244"/>
      <c r="I3451" s="71" t="e">
        <f>IF(COUNTIF((rName rData),H3451),"","Name Error!")</f>
        <v>#NAME?</v>
      </c>
    </row>
    <row r="3452" spans="2:9" s="126" customFormat="1" ht="15" customHeight="1" x14ac:dyDescent="0.25">
      <c r="B3452" s="271" t="s">
        <v>267</v>
      </c>
      <c r="C3452" s="272" t="s">
        <v>268</v>
      </c>
      <c r="D3452" s="275" t="s">
        <v>216</v>
      </c>
      <c r="E3452" s="275">
        <v>41754.765694444446</v>
      </c>
      <c r="F3452" s="276">
        <v>2</v>
      </c>
      <c r="G3452" s="243">
        <f t="shared" si="54"/>
        <v>134</v>
      </c>
      <c r="H3452" s="244"/>
      <c r="I3452" s="71" t="e">
        <f>IF(COUNTIF((rName rData),H3452),"","Name Error!")</f>
        <v>#NAME?</v>
      </c>
    </row>
    <row r="3453" spans="2:9" s="126" customFormat="1" ht="15" customHeight="1" x14ac:dyDescent="0.25">
      <c r="B3453" s="271" t="s">
        <v>341</v>
      </c>
      <c r="C3453" s="272" t="s">
        <v>340</v>
      </c>
      <c r="D3453" s="275" t="s">
        <v>216</v>
      </c>
      <c r="E3453" s="275">
        <v>41754.918657407405</v>
      </c>
      <c r="F3453" s="276">
        <v>1</v>
      </c>
      <c r="G3453" s="243">
        <f t="shared" si="54"/>
        <v>134</v>
      </c>
      <c r="H3453" s="244"/>
      <c r="I3453" s="71" t="e">
        <f>IF(COUNTIF((rName rData),H3453),"","Name Error!")</f>
        <v>#NAME?</v>
      </c>
    </row>
    <row r="3454" spans="2:9" s="126" customFormat="1" ht="15" customHeight="1" x14ac:dyDescent="0.25">
      <c r="B3454" s="271" t="s">
        <v>371</v>
      </c>
      <c r="C3454" s="272" t="s">
        <v>370</v>
      </c>
      <c r="D3454" s="275" t="s">
        <v>216</v>
      </c>
      <c r="E3454" s="275">
        <v>41755.421840277777</v>
      </c>
      <c r="F3454" s="276">
        <v>5</v>
      </c>
      <c r="G3454" s="243">
        <f t="shared" si="54"/>
        <v>135</v>
      </c>
      <c r="H3454" s="244"/>
      <c r="I3454" s="71" t="e">
        <f>IF(COUNTIF((rName rData),H3454),"","Name Error!")</f>
        <v>#NAME?</v>
      </c>
    </row>
    <row r="3455" spans="2:9" s="126" customFormat="1" ht="15" customHeight="1" x14ac:dyDescent="0.25">
      <c r="B3455" s="271" t="s">
        <v>352</v>
      </c>
      <c r="C3455" s="272" t="s">
        <v>351</v>
      </c>
      <c r="D3455" s="275" t="s">
        <v>216</v>
      </c>
      <c r="E3455" s="275">
        <v>41755.506041666667</v>
      </c>
      <c r="F3455" s="276">
        <v>1</v>
      </c>
      <c r="G3455" s="243">
        <f t="shared" si="54"/>
        <v>135</v>
      </c>
      <c r="H3455" s="244"/>
      <c r="I3455" s="71" t="e">
        <f>IF(COUNTIF((rName rData),H3455),"","Name Error!")</f>
        <v>#NAME?</v>
      </c>
    </row>
    <row r="3456" spans="2:9" s="126" customFormat="1" ht="15" customHeight="1" x14ac:dyDescent="0.25">
      <c r="B3456" s="271" t="s">
        <v>267</v>
      </c>
      <c r="C3456" s="272" t="s">
        <v>268</v>
      </c>
      <c r="D3456" s="275" t="s">
        <v>216</v>
      </c>
      <c r="E3456" s="275">
        <v>41755.552129629628</v>
      </c>
      <c r="F3456" s="276">
        <v>6</v>
      </c>
      <c r="G3456" s="243">
        <f t="shared" si="54"/>
        <v>135</v>
      </c>
      <c r="H3456" s="244"/>
      <c r="I3456" s="71" t="e">
        <f>IF(COUNTIF((rName rData),H3456),"","Name Error!")</f>
        <v>#NAME?</v>
      </c>
    </row>
    <row r="3457" spans="2:9" s="126" customFormat="1" ht="15" customHeight="1" x14ac:dyDescent="0.25">
      <c r="B3457" s="271" t="s">
        <v>358</v>
      </c>
      <c r="C3457" s="272" t="s">
        <v>357</v>
      </c>
      <c r="D3457" s="275" t="s">
        <v>216</v>
      </c>
      <c r="E3457" s="275">
        <v>41755.55667824074</v>
      </c>
      <c r="F3457" s="276">
        <v>2</v>
      </c>
      <c r="G3457" s="243">
        <f t="shared" si="54"/>
        <v>135</v>
      </c>
      <c r="H3457" s="244"/>
      <c r="I3457" s="71" t="e">
        <f>IF(COUNTIF((rName rData),H3457),"","Name Error!")</f>
        <v>#NAME?</v>
      </c>
    </row>
    <row r="3458" spans="2:9" s="126" customFormat="1" ht="15" customHeight="1" x14ac:dyDescent="0.25">
      <c r="B3458" s="271" t="s">
        <v>341</v>
      </c>
      <c r="C3458" s="272" t="s">
        <v>340</v>
      </c>
      <c r="D3458" s="275" t="s">
        <v>216</v>
      </c>
      <c r="E3458" s="275">
        <v>41755.570567129631</v>
      </c>
      <c r="F3458" s="276">
        <v>4</v>
      </c>
      <c r="G3458" s="243">
        <f t="shared" si="54"/>
        <v>135</v>
      </c>
      <c r="H3458" s="244"/>
      <c r="I3458" s="71" t="e">
        <f>IF(COUNTIF((rName rData),H3458),"","Name Error!")</f>
        <v>#NAME?</v>
      </c>
    </row>
    <row r="3459" spans="2:9" s="126" customFormat="1" ht="15" customHeight="1" x14ac:dyDescent="0.25">
      <c r="B3459" s="271" t="s">
        <v>324</v>
      </c>
      <c r="C3459" s="272" t="s">
        <v>323</v>
      </c>
      <c r="D3459" s="275" t="s">
        <v>216</v>
      </c>
      <c r="E3459" s="275">
        <v>41755.646643518521</v>
      </c>
      <c r="F3459" s="276">
        <v>1</v>
      </c>
      <c r="G3459" s="243">
        <f t="shared" si="54"/>
        <v>135</v>
      </c>
      <c r="H3459" s="244"/>
      <c r="I3459" s="71" t="e">
        <f>IF(COUNTIF((rName rData),H3459),"","Name Error!")</f>
        <v>#NAME?</v>
      </c>
    </row>
    <row r="3460" spans="2:9" s="126" customFormat="1" ht="15" customHeight="1" x14ac:dyDescent="0.25">
      <c r="B3460" s="271" t="s">
        <v>331</v>
      </c>
      <c r="C3460" s="272" t="s">
        <v>330</v>
      </c>
      <c r="D3460" s="275" t="s">
        <v>216</v>
      </c>
      <c r="E3460" s="275">
        <v>41755.75167824074</v>
      </c>
      <c r="F3460" s="276">
        <v>4</v>
      </c>
      <c r="G3460" s="243">
        <f t="shared" si="54"/>
        <v>135</v>
      </c>
      <c r="H3460" s="244"/>
      <c r="I3460" s="71" t="e">
        <f>IF(COUNTIF((rName rData),H3460),"","Name Error!")</f>
        <v>#NAME?</v>
      </c>
    </row>
    <row r="3461" spans="2:9" s="126" customFormat="1" ht="15" customHeight="1" x14ac:dyDescent="0.25">
      <c r="B3461" s="271" t="s">
        <v>320</v>
      </c>
      <c r="C3461" s="272" t="s">
        <v>319</v>
      </c>
      <c r="D3461" s="275" t="s">
        <v>216</v>
      </c>
      <c r="E3461" s="275">
        <v>41755.790752314817</v>
      </c>
      <c r="F3461" s="276">
        <v>1</v>
      </c>
      <c r="G3461" s="243">
        <f t="shared" si="54"/>
        <v>135</v>
      </c>
      <c r="H3461" s="244"/>
      <c r="I3461" s="71" t="e">
        <f>IF(COUNTIF((rName rData),H3461),"","Name Error!")</f>
        <v>#NAME?</v>
      </c>
    </row>
    <row r="3462" spans="2:9" s="126" customFormat="1" ht="15" customHeight="1" x14ac:dyDescent="0.25">
      <c r="B3462" s="271" t="s">
        <v>350</v>
      </c>
      <c r="C3462" s="272" t="s">
        <v>349</v>
      </c>
      <c r="D3462" s="275" t="s">
        <v>216</v>
      </c>
      <c r="E3462" s="275">
        <v>41755.800937499997</v>
      </c>
      <c r="F3462" s="276">
        <v>1</v>
      </c>
      <c r="G3462" s="243">
        <f t="shared" si="54"/>
        <v>135</v>
      </c>
      <c r="H3462" s="244"/>
      <c r="I3462" s="71" t="e">
        <f>IF(COUNTIF((rName rData),H3462),"","Name Error!")</f>
        <v>#NAME?</v>
      </c>
    </row>
    <row r="3463" spans="2:9" s="126" customFormat="1" ht="15" customHeight="1" x14ac:dyDescent="0.25">
      <c r="B3463" s="271" t="s">
        <v>341</v>
      </c>
      <c r="C3463" s="272" t="s">
        <v>340</v>
      </c>
      <c r="D3463" s="275" t="s">
        <v>216</v>
      </c>
      <c r="E3463" s="275">
        <v>41757.832141203704</v>
      </c>
      <c r="F3463" s="276">
        <v>2</v>
      </c>
      <c r="G3463" s="243">
        <f t="shared" si="54"/>
        <v>135</v>
      </c>
      <c r="H3463" s="244"/>
      <c r="I3463" s="71" t="e">
        <f>IF(COUNTIF((rName rData),H3463),"","Name Error!")</f>
        <v>#NAME?</v>
      </c>
    </row>
    <row r="3464" spans="2:9" s="126" customFormat="1" ht="15" customHeight="1" x14ac:dyDescent="0.25">
      <c r="B3464" s="271" t="s">
        <v>339</v>
      </c>
      <c r="C3464" s="272" t="s">
        <v>338</v>
      </c>
      <c r="D3464" s="275" t="s">
        <v>216</v>
      </c>
      <c r="E3464" s="275">
        <v>41757.855891203704</v>
      </c>
      <c r="F3464" s="276">
        <v>1</v>
      </c>
      <c r="G3464" s="243">
        <f t="shared" si="54"/>
        <v>135</v>
      </c>
      <c r="H3464" s="244"/>
      <c r="I3464" s="71" t="e">
        <f>IF(COUNTIF((rName rData),H3464),"","Name Error!")</f>
        <v>#NAME?</v>
      </c>
    </row>
    <row r="3465" spans="2:9" s="126" customFormat="1" ht="15" customHeight="1" x14ac:dyDescent="0.25">
      <c r="B3465" s="271" t="s">
        <v>337</v>
      </c>
      <c r="C3465" s="272" t="s">
        <v>336</v>
      </c>
      <c r="D3465" s="275" t="s">
        <v>216</v>
      </c>
      <c r="E3465" s="275">
        <v>41757.899351851855</v>
      </c>
      <c r="F3465" s="276">
        <v>1</v>
      </c>
      <c r="G3465" s="243">
        <f t="shared" si="54"/>
        <v>135</v>
      </c>
      <c r="H3465" s="244"/>
      <c r="I3465" s="71" t="e">
        <f>IF(COUNTIF((rName rData),H3465),"","Name Error!")</f>
        <v>#NAME?</v>
      </c>
    </row>
    <row r="3466" spans="2:9" s="126" customFormat="1" ht="15" customHeight="1" x14ac:dyDescent="0.25">
      <c r="B3466" s="271" t="s">
        <v>331</v>
      </c>
      <c r="C3466" s="272" t="s">
        <v>330</v>
      </c>
      <c r="D3466" s="275" t="s">
        <v>216</v>
      </c>
      <c r="E3466" s="275">
        <v>41757.940810185188</v>
      </c>
      <c r="F3466" s="276">
        <v>2</v>
      </c>
      <c r="G3466" s="243">
        <f t="shared" ref="G3466:G3529" si="55">TRUNC((E3466-start)/7)+1</f>
        <v>135</v>
      </c>
      <c r="H3466" s="244"/>
      <c r="I3466" s="71" t="e">
        <f>IF(COUNTIF((rName rData),H3466),"","Name Error!")</f>
        <v>#NAME?</v>
      </c>
    </row>
    <row r="3467" spans="2:9" s="126" customFormat="1" ht="15" customHeight="1" x14ac:dyDescent="0.25">
      <c r="B3467" s="271" t="s">
        <v>356</v>
      </c>
      <c r="C3467" s="272" t="s">
        <v>355</v>
      </c>
      <c r="D3467" s="275" t="s">
        <v>216</v>
      </c>
      <c r="E3467" s="275">
        <v>41758.41443287037</v>
      </c>
      <c r="F3467" s="276">
        <v>1</v>
      </c>
      <c r="G3467" s="243">
        <f t="shared" si="55"/>
        <v>135</v>
      </c>
      <c r="H3467" s="244"/>
      <c r="I3467" s="71" t="e">
        <f>IF(COUNTIF((rName rData),H3467),"","Name Error!")</f>
        <v>#NAME?</v>
      </c>
    </row>
    <row r="3468" spans="2:9" s="126" customFormat="1" ht="15" customHeight="1" x14ac:dyDescent="0.25">
      <c r="B3468" s="271" t="s">
        <v>350</v>
      </c>
      <c r="C3468" s="272" t="s">
        <v>349</v>
      </c>
      <c r="D3468" s="275" t="s">
        <v>216</v>
      </c>
      <c r="E3468" s="275">
        <v>41758.422789351855</v>
      </c>
      <c r="F3468" s="276">
        <v>1</v>
      </c>
      <c r="G3468" s="243">
        <f t="shared" si="55"/>
        <v>135</v>
      </c>
      <c r="H3468" s="244"/>
      <c r="I3468" s="71" t="e">
        <f>IF(COUNTIF((rName rData),H3468),"","Name Error!")</f>
        <v>#NAME?</v>
      </c>
    </row>
    <row r="3469" spans="2:9" s="126" customFormat="1" ht="15" customHeight="1" x14ac:dyDescent="0.25">
      <c r="B3469" s="271" t="s">
        <v>358</v>
      </c>
      <c r="C3469" s="272" t="s">
        <v>357</v>
      </c>
      <c r="D3469" s="275" t="s">
        <v>216</v>
      </c>
      <c r="E3469" s="275">
        <v>41758.433472222219</v>
      </c>
      <c r="F3469" s="276">
        <v>2</v>
      </c>
      <c r="G3469" s="243">
        <f t="shared" si="55"/>
        <v>135</v>
      </c>
      <c r="H3469" s="244"/>
      <c r="I3469" s="71" t="e">
        <f>IF(COUNTIF((rName rData),H3469),"","Name Error!")</f>
        <v>#NAME?</v>
      </c>
    </row>
    <row r="3470" spans="2:9" s="126" customFormat="1" ht="15" customHeight="1" x14ac:dyDescent="0.25">
      <c r="B3470" s="271" t="s">
        <v>267</v>
      </c>
      <c r="C3470" s="272" t="s">
        <v>268</v>
      </c>
      <c r="D3470" s="275" t="s">
        <v>216</v>
      </c>
      <c r="E3470" s="275">
        <v>41758.474027777775</v>
      </c>
      <c r="F3470" s="276">
        <v>2</v>
      </c>
      <c r="G3470" s="243">
        <f t="shared" si="55"/>
        <v>135</v>
      </c>
      <c r="H3470" s="244"/>
      <c r="I3470" s="71" t="e">
        <f>IF(COUNTIF((rName rData),H3470),"","Name Error!")</f>
        <v>#NAME?</v>
      </c>
    </row>
    <row r="3471" spans="2:9" s="126" customFormat="1" ht="15" customHeight="1" x14ac:dyDescent="0.25">
      <c r="B3471" s="271" t="s">
        <v>322</v>
      </c>
      <c r="C3471" s="272" t="s">
        <v>321</v>
      </c>
      <c r="D3471" s="275" t="s">
        <v>216</v>
      </c>
      <c r="E3471" s="275">
        <v>41758.526145833333</v>
      </c>
      <c r="F3471" s="276">
        <v>3</v>
      </c>
      <c r="G3471" s="243">
        <f t="shared" si="55"/>
        <v>135</v>
      </c>
      <c r="H3471" s="244"/>
      <c r="I3471" s="71" t="e">
        <f>IF(COUNTIF((rName rData),H3471),"","Name Error!")</f>
        <v>#NAME?</v>
      </c>
    </row>
    <row r="3472" spans="2:9" s="126" customFormat="1" ht="15" customHeight="1" x14ac:dyDescent="0.25">
      <c r="B3472" s="271" t="s">
        <v>341</v>
      </c>
      <c r="C3472" s="272" t="s">
        <v>340</v>
      </c>
      <c r="D3472" s="275" t="s">
        <v>216</v>
      </c>
      <c r="E3472" s="275">
        <v>41758.549016203702</v>
      </c>
      <c r="F3472" s="276">
        <v>2</v>
      </c>
      <c r="G3472" s="243">
        <f t="shared" si="55"/>
        <v>135</v>
      </c>
      <c r="H3472" s="244"/>
      <c r="I3472" s="71" t="e">
        <f>IF(COUNTIF((rName rData),H3472),"","Name Error!")</f>
        <v>#NAME?</v>
      </c>
    </row>
    <row r="3473" spans="2:9" s="126" customFormat="1" ht="15" customHeight="1" x14ac:dyDescent="0.25">
      <c r="B3473" s="271" t="s">
        <v>337</v>
      </c>
      <c r="C3473" s="272" t="s">
        <v>336</v>
      </c>
      <c r="D3473" s="275" t="s">
        <v>216</v>
      </c>
      <c r="E3473" s="275">
        <v>41758.679872685185</v>
      </c>
      <c r="F3473" s="276">
        <v>2</v>
      </c>
      <c r="G3473" s="243">
        <f t="shared" si="55"/>
        <v>135</v>
      </c>
      <c r="H3473" s="244"/>
      <c r="I3473" s="71" t="e">
        <f>IF(COUNTIF((rName rData),H3473),"","Name Error!")</f>
        <v>#NAME?</v>
      </c>
    </row>
    <row r="3474" spans="2:9" s="126" customFormat="1" ht="15" customHeight="1" x14ac:dyDescent="0.25">
      <c r="B3474" s="271" t="s">
        <v>331</v>
      </c>
      <c r="C3474" s="272" t="s">
        <v>330</v>
      </c>
      <c r="D3474" s="275" t="s">
        <v>216</v>
      </c>
      <c r="E3474" s="275">
        <v>41758.725023148145</v>
      </c>
      <c r="F3474" s="276">
        <v>1</v>
      </c>
      <c r="G3474" s="243">
        <f t="shared" si="55"/>
        <v>135</v>
      </c>
      <c r="H3474" s="244"/>
      <c r="I3474" s="71" t="e">
        <f>IF(COUNTIF((rName rData),H3474),"","Name Error!")</f>
        <v>#NAME?</v>
      </c>
    </row>
    <row r="3475" spans="2:9" s="126" customFormat="1" ht="15" customHeight="1" x14ac:dyDescent="0.25">
      <c r="B3475" s="271" t="s">
        <v>324</v>
      </c>
      <c r="C3475" s="272" t="s">
        <v>323</v>
      </c>
      <c r="D3475" s="275" t="s">
        <v>216</v>
      </c>
      <c r="E3475" s="275">
        <v>41758.978067129632</v>
      </c>
      <c r="F3475" s="276">
        <v>1</v>
      </c>
      <c r="G3475" s="243">
        <f t="shared" si="55"/>
        <v>135</v>
      </c>
      <c r="H3475" s="244"/>
      <c r="I3475" s="71" t="e">
        <f>IF(COUNTIF((rName rData),H3475),"","Name Error!")</f>
        <v>#NAME?</v>
      </c>
    </row>
    <row r="3476" spans="2:9" s="126" customFormat="1" ht="15" customHeight="1" x14ac:dyDescent="0.25">
      <c r="B3476" s="271" t="s">
        <v>320</v>
      </c>
      <c r="C3476" s="272" t="s">
        <v>319</v>
      </c>
      <c r="D3476" s="275" t="s">
        <v>216</v>
      </c>
      <c r="E3476" s="275">
        <v>41758.994016203702</v>
      </c>
      <c r="F3476" s="276">
        <v>1</v>
      </c>
      <c r="G3476" s="243">
        <f t="shared" si="55"/>
        <v>135</v>
      </c>
      <c r="H3476" s="244"/>
      <c r="I3476" s="71" t="e">
        <f>IF(COUNTIF((rName rData),H3476),"","Name Error!")</f>
        <v>#NAME?</v>
      </c>
    </row>
    <row r="3477" spans="2:9" s="126" customFormat="1" ht="15" customHeight="1" x14ac:dyDescent="0.25">
      <c r="B3477" s="271" t="s">
        <v>331</v>
      </c>
      <c r="C3477" s="272" t="s">
        <v>330</v>
      </c>
      <c r="D3477" s="275" t="s">
        <v>216</v>
      </c>
      <c r="E3477" s="275">
        <v>41759.07304398148</v>
      </c>
      <c r="F3477" s="276">
        <v>1</v>
      </c>
      <c r="G3477" s="243">
        <f t="shared" si="55"/>
        <v>135</v>
      </c>
      <c r="H3477" s="244"/>
      <c r="I3477" s="71" t="e">
        <f>IF(COUNTIF((rName rData),H3477),"","Name Error!")</f>
        <v>#NAME?</v>
      </c>
    </row>
    <row r="3478" spans="2:9" s="126" customFormat="1" ht="15" customHeight="1" x14ac:dyDescent="0.25">
      <c r="B3478" s="271" t="s">
        <v>358</v>
      </c>
      <c r="C3478" s="272" t="s">
        <v>357</v>
      </c>
      <c r="D3478" s="275" t="s">
        <v>216</v>
      </c>
      <c r="E3478" s="275">
        <v>41759.365891203706</v>
      </c>
      <c r="F3478" s="276">
        <v>4</v>
      </c>
      <c r="G3478" s="243">
        <f t="shared" si="55"/>
        <v>135</v>
      </c>
      <c r="H3478" s="244"/>
      <c r="I3478" s="71" t="e">
        <f>IF(COUNTIF((rName rData),H3478),"","Name Error!")</f>
        <v>#NAME?</v>
      </c>
    </row>
    <row r="3479" spans="2:9" s="126" customFormat="1" ht="15" customHeight="1" x14ac:dyDescent="0.25">
      <c r="B3479" s="271" t="s">
        <v>335</v>
      </c>
      <c r="C3479" s="272" t="s">
        <v>334</v>
      </c>
      <c r="D3479" s="275" t="s">
        <v>216</v>
      </c>
      <c r="E3479" s="275">
        <v>41759.412569444445</v>
      </c>
      <c r="F3479" s="276">
        <v>2</v>
      </c>
      <c r="G3479" s="243">
        <f t="shared" si="55"/>
        <v>135</v>
      </c>
      <c r="H3479" s="244"/>
      <c r="I3479" s="71" t="e">
        <f>IF(COUNTIF((rName rData),H3479),"","Name Error!")</f>
        <v>#NAME?</v>
      </c>
    </row>
    <row r="3480" spans="2:9" s="126" customFormat="1" ht="15" customHeight="1" x14ac:dyDescent="0.25">
      <c r="B3480" s="271" t="s">
        <v>267</v>
      </c>
      <c r="C3480" s="272" t="s">
        <v>268</v>
      </c>
      <c r="D3480" s="275" t="s">
        <v>216</v>
      </c>
      <c r="E3480" s="275">
        <v>41759.439247685186</v>
      </c>
      <c r="F3480" s="276">
        <v>5</v>
      </c>
      <c r="G3480" s="243">
        <f t="shared" si="55"/>
        <v>135</v>
      </c>
      <c r="H3480" s="244"/>
      <c r="I3480" s="71" t="e">
        <f>IF(COUNTIF((rName rData),H3480),"","Name Error!")</f>
        <v>#NAME?</v>
      </c>
    </row>
    <row r="3481" spans="2:9" s="126" customFormat="1" ht="15" customHeight="1" x14ac:dyDescent="0.25">
      <c r="B3481" s="271" t="s">
        <v>356</v>
      </c>
      <c r="C3481" s="272" t="s">
        <v>355</v>
      </c>
      <c r="D3481" s="275" t="s">
        <v>216</v>
      </c>
      <c r="E3481" s="275">
        <v>41759.446759259263</v>
      </c>
      <c r="F3481" s="276">
        <v>2</v>
      </c>
      <c r="G3481" s="243">
        <f t="shared" si="55"/>
        <v>135</v>
      </c>
      <c r="H3481" s="244"/>
      <c r="I3481" s="71" t="e">
        <f>IF(COUNTIF((rName rData),H3481),"","Name Error!")</f>
        <v>#NAME?</v>
      </c>
    </row>
    <row r="3482" spans="2:9" s="126" customFormat="1" ht="15" customHeight="1" x14ac:dyDescent="0.25">
      <c r="B3482" s="271" t="s">
        <v>362</v>
      </c>
      <c r="C3482" s="272" t="s">
        <v>361</v>
      </c>
      <c r="D3482" s="275" t="s">
        <v>216</v>
      </c>
      <c r="E3482" s="275">
        <v>41759.494166666664</v>
      </c>
      <c r="F3482" s="276">
        <v>2</v>
      </c>
      <c r="G3482" s="243">
        <f t="shared" si="55"/>
        <v>135</v>
      </c>
      <c r="H3482" s="244"/>
      <c r="I3482" s="71" t="e">
        <f>IF(COUNTIF((rName rData),H3482),"","Name Error!")</f>
        <v>#NAME?</v>
      </c>
    </row>
    <row r="3483" spans="2:9" s="126" customFormat="1" ht="15" customHeight="1" x14ac:dyDescent="0.25">
      <c r="B3483" s="271" t="s">
        <v>324</v>
      </c>
      <c r="C3483" s="272" t="s">
        <v>323</v>
      </c>
      <c r="D3483" s="275" t="s">
        <v>216</v>
      </c>
      <c r="E3483" s="275">
        <v>41759.505636574075</v>
      </c>
      <c r="F3483" s="276">
        <v>1</v>
      </c>
      <c r="G3483" s="243">
        <f t="shared" si="55"/>
        <v>135</v>
      </c>
      <c r="H3483" s="244"/>
      <c r="I3483" s="71" t="e">
        <f>IF(COUNTIF((rName rData),H3483),"","Name Error!")</f>
        <v>#NAME?</v>
      </c>
    </row>
    <row r="3484" spans="2:9" s="126" customFormat="1" ht="15" customHeight="1" x14ac:dyDescent="0.25">
      <c r="B3484" s="271" t="s">
        <v>339</v>
      </c>
      <c r="C3484" s="272" t="s">
        <v>338</v>
      </c>
      <c r="D3484" s="275" t="s">
        <v>216</v>
      </c>
      <c r="E3484" s="275">
        <v>41760.013252314813</v>
      </c>
      <c r="F3484" s="276">
        <v>1</v>
      </c>
      <c r="G3484" s="243">
        <f t="shared" si="55"/>
        <v>135</v>
      </c>
      <c r="H3484" s="244"/>
      <c r="I3484" s="71" t="e">
        <f>IF(COUNTIF((rName rData),H3484),"","Name Error!")</f>
        <v>#NAME?</v>
      </c>
    </row>
    <row r="3485" spans="2:9" s="126" customFormat="1" ht="15" customHeight="1" x14ac:dyDescent="0.25">
      <c r="B3485" s="271" t="s">
        <v>333</v>
      </c>
      <c r="C3485" s="272" t="s">
        <v>332</v>
      </c>
      <c r="D3485" s="275" t="s">
        <v>216</v>
      </c>
      <c r="E3485" s="275">
        <v>41760.036296296297</v>
      </c>
      <c r="F3485" s="276">
        <v>1</v>
      </c>
      <c r="G3485" s="243">
        <f t="shared" si="55"/>
        <v>135</v>
      </c>
      <c r="H3485" s="244"/>
      <c r="I3485" s="71" t="e">
        <f>IF(COUNTIF((rName rData),H3485),"","Name Error!")</f>
        <v>#NAME?</v>
      </c>
    </row>
    <row r="3486" spans="2:9" s="126" customFormat="1" ht="15" customHeight="1" x14ac:dyDescent="0.25">
      <c r="B3486" s="271" t="s">
        <v>352</v>
      </c>
      <c r="C3486" s="272" t="s">
        <v>351</v>
      </c>
      <c r="D3486" s="275" t="s">
        <v>216</v>
      </c>
      <c r="E3486" s="275">
        <v>41760.628009259257</v>
      </c>
      <c r="F3486" s="276">
        <v>1</v>
      </c>
      <c r="G3486" s="243">
        <f t="shared" si="55"/>
        <v>135</v>
      </c>
      <c r="H3486" s="244"/>
      <c r="I3486" s="71" t="e">
        <f>IF(COUNTIF((rName rData),H3486),"","Name Error!")</f>
        <v>#NAME?</v>
      </c>
    </row>
    <row r="3487" spans="2:9" s="126" customFormat="1" ht="15" customHeight="1" x14ac:dyDescent="0.25">
      <c r="B3487" s="271" t="s">
        <v>341</v>
      </c>
      <c r="C3487" s="272" t="s">
        <v>340</v>
      </c>
      <c r="D3487" s="275" t="s">
        <v>216</v>
      </c>
      <c r="E3487" s="275">
        <v>41761.360127314816</v>
      </c>
      <c r="F3487" s="276">
        <v>1</v>
      </c>
      <c r="G3487" s="243">
        <f t="shared" si="55"/>
        <v>135</v>
      </c>
      <c r="H3487" s="244"/>
      <c r="I3487" s="71" t="e">
        <f>IF(COUNTIF((rName rData),H3487),"","Name Error!")</f>
        <v>#NAME?</v>
      </c>
    </row>
    <row r="3488" spans="2:9" s="126" customFormat="1" ht="15" customHeight="1" x14ac:dyDescent="0.25">
      <c r="B3488" s="271" t="s">
        <v>267</v>
      </c>
      <c r="C3488" s="272" t="s">
        <v>268</v>
      </c>
      <c r="D3488" s="275" t="s">
        <v>216</v>
      </c>
      <c r="E3488" s="275">
        <v>41761.511435185188</v>
      </c>
      <c r="F3488" s="276">
        <v>4</v>
      </c>
      <c r="G3488" s="243">
        <f t="shared" si="55"/>
        <v>135</v>
      </c>
      <c r="H3488" s="244"/>
      <c r="I3488" s="71" t="e">
        <f>IF(COUNTIF((rName rData),H3488),"","Name Error!")</f>
        <v>#NAME?</v>
      </c>
    </row>
    <row r="3489" spans="2:9" s="126" customFormat="1" ht="15" customHeight="1" x14ac:dyDescent="0.25">
      <c r="B3489" s="271" t="s">
        <v>324</v>
      </c>
      <c r="C3489" s="272" t="s">
        <v>323</v>
      </c>
      <c r="D3489" s="275" t="s">
        <v>216</v>
      </c>
      <c r="E3489" s="275">
        <v>41761.523206018515</v>
      </c>
      <c r="F3489" s="276">
        <v>1</v>
      </c>
      <c r="G3489" s="243">
        <f t="shared" si="55"/>
        <v>135</v>
      </c>
      <c r="H3489" s="244"/>
      <c r="I3489" s="71" t="e">
        <f>IF(COUNTIF((rName rData),H3489),"","Name Error!")</f>
        <v>#NAME?</v>
      </c>
    </row>
    <row r="3490" spans="2:9" s="126" customFormat="1" ht="15" customHeight="1" x14ac:dyDescent="0.25">
      <c r="B3490" s="271" t="s">
        <v>341</v>
      </c>
      <c r="C3490" s="272" t="s">
        <v>340</v>
      </c>
      <c r="D3490" s="275" t="s">
        <v>216</v>
      </c>
      <c r="E3490" s="275">
        <v>41762.371122685188</v>
      </c>
      <c r="F3490" s="276">
        <v>5</v>
      </c>
      <c r="G3490" s="243">
        <f t="shared" si="55"/>
        <v>136</v>
      </c>
      <c r="H3490" s="244"/>
      <c r="I3490" s="71" t="e">
        <f>IF(COUNTIF((rName rData),H3490),"","Name Error!")</f>
        <v>#NAME?</v>
      </c>
    </row>
    <row r="3491" spans="2:9" s="126" customFormat="1" ht="15" customHeight="1" x14ac:dyDescent="0.25">
      <c r="B3491" s="271" t="s">
        <v>267</v>
      </c>
      <c r="C3491" s="272" t="s">
        <v>268</v>
      </c>
      <c r="D3491" s="275" t="s">
        <v>216</v>
      </c>
      <c r="E3491" s="275">
        <v>41762.501608796294</v>
      </c>
      <c r="F3491" s="276">
        <v>7</v>
      </c>
      <c r="G3491" s="243">
        <f t="shared" si="55"/>
        <v>136</v>
      </c>
      <c r="H3491" s="244"/>
      <c r="I3491" s="71" t="e">
        <f>IF(COUNTIF((rName rData),H3491),"","Name Error!")</f>
        <v>#NAME?</v>
      </c>
    </row>
    <row r="3492" spans="2:9" s="126" customFormat="1" ht="15" customHeight="1" x14ac:dyDescent="0.25">
      <c r="B3492" s="271" t="s">
        <v>358</v>
      </c>
      <c r="C3492" s="272" t="s">
        <v>357</v>
      </c>
      <c r="D3492" s="275" t="s">
        <v>216</v>
      </c>
      <c r="E3492" s="275">
        <v>41762.529687499999</v>
      </c>
      <c r="F3492" s="276">
        <v>4</v>
      </c>
      <c r="G3492" s="243">
        <f t="shared" si="55"/>
        <v>136</v>
      </c>
      <c r="H3492" s="244"/>
      <c r="I3492" s="71" t="e">
        <f>IF(COUNTIF((rName rData),H3492),"","Name Error!")</f>
        <v>#NAME?</v>
      </c>
    </row>
    <row r="3493" spans="2:9" s="126" customFormat="1" ht="15" customHeight="1" x14ac:dyDescent="0.25">
      <c r="B3493" s="271" t="s">
        <v>352</v>
      </c>
      <c r="C3493" s="272" t="s">
        <v>351</v>
      </c>
      <c r="D3493" s="275" t="s">
        <v>216</v>
      </c>
      <c r="E3493" s="275">
        <v>41762.652430555558</v>
      </c>
      <c r="F3493" s="276">
        <v>2</v>
      </c>
      <c r="G3493" s="243">
        <f t="shared" si="55"/>
        <v>136</v>
      </c>
      <c r="H3493" s="244"/>
      <c r="I3493" s="71" t="e">
        <f>IF(COUNTIF((rName rData),H3493),"","Name Error!")</f>
        <v>#NAME?</v>
      </c>
    </row>
    <row r="3494" spans="2:9" s="126" customFormat="1" ht="15" customHeight="1" x14ac:dyDescent="0.25">
      <c r="B3494" s="271" t="s">
        <v>335</v>
      </c>
      <c r="C3494" s="272" t="s">
        <v>334</v>
      </c>
      <c r="D3494" s="275" t="s">
        <v>216</v>
      </c>
      <c r="E3494" s="275">
        <v>41762.679293981484</v>
      </c>
      <c r="F3494" s="276">
        <v>1</v>
      </c>
      <c r="G3494" s="243">
        <f t="shared" si="55"/>
        <v>136</v>
      </c>
      <c r="H3494" s="244"/>
      <c r="I3494" s="71" t="e">
        <f>IF(COUNTIF((rName rData),H3494),"","Name Error!")</f>
        <v>#NAME?</v>
      </c>
    </row>
    <row r="3495" spans="2:9" s="126" customFormat="1" ht="15" customHeight="1" x14ac:dyDescent="0.25">
      <c r="B3495" s="271" t="s">
        <v>331</v>
      </c>
      <c r="C3495" s="272" t="s">
        <v>330</v>
      </c>
      <c r="D3495" s="275" t="s">
        <v>216</v>
      </c>
      <c r="E3495" s="275">
        <v>41762.696620370371</v>
      </c>
      <c r="F3495" s="276">
        <v>1</v>
      </c>
      <c r="G3495" s="243">
        <f t="shared" si="55"/>
        <v>136</v>
      </c>
      <c r="H3495" s="244"/>
      <c r="I3495" s="71" t="e">
        <f>IF(COUNTIF((rName rData),H3495),"","Name Error!")</f>
        <v>#NAME?</v>
      </c>
    </row>
    <row r="3496" spans="2:9" s="126" customFormat="1" ht="15" customHeight="1" x14ac:dyDescent="0.25">
      <c r="B3496" s="271" t="s">
        <v>339</v>
      </c>
      <c r="C3496" s="272" t="s">
        <v>338</v>
      </c>
      <c r="D3496" s="275" t="s">
        <v>216</v>
      </c>
      <c r="E3496" s="275">
        <v>41762.732986111114</v>
      </c>
      <c r="F3496" s="276">
        <v>4</v>
      </c>
      <c r="G3496" s="243">
        <f t="shared" si="55"/>
        <v>136</v>
      </c>
      <c r="H3496" s="244"/>
      <c r="I3496" s="71" t="e">
        <f>IF(COUNTIF((rName rData),H3496),"","Name Error!")</f>
        <v>#NAME?</v>
      </c>
    </row>
    <row r="3497" spans="2:9" s="126" customFormat="1" ht="15" customHeight="1" x14ac:dyDescent="0.25">
      <c r="B3497" s="271" t="s">
        <v>333</v>
      </c>
      <c r="C3497" s="272" t="s">
        <v>332</v>
      </c>
      <c r="D3497" s="275" t="s">
        <v>216</v>
      </c>
      <c r="E3497" s="275">
        <v>41762.7499537037</v>
      </c>
      <c r="F3497" s="276">
        <v>2</v>
      </c>
      <c r="G3497" s="243">
        <f t="shared" si="55"/>
        <v>136</v>
      </c>
      <c r="H3497" s="244"/>
      <c r="I3497" s="71" t="e">
        <f>IF(COUNTIF((rName rData),H3497),"","Name Error!")</f>
        <v>#NAME?</v>
      </c>
    </row>
    <row r="3498" spans="2:9" s="126" customFormat="1" ht="15" customHeight="1" x14ac:dyDescent="0.25">
      <c r="B3498" s="271" t="s">
        <v>324</v>
      </c>
      <c r="C3498" s="272" t="s">
        <v>323</v>
      </c>
      <c r="D3498" s="275" t="s">
        <v>216</v>
      </c>
      <c r="E3498" s="275">
        <v>41762.806157407409</v>
      </c>
      <c r="F3498" s="276">
        <v>2</v>
      </c>
      <c r="G3498" s="243">
        <f t="shared" si="55"/>
        <v>136</v>
      </c>
      <c r="H3498" s="244"/>
      <c r="I3498" s="71" t="e">
        <f>IF(COUNTIF((rName rData),H3498),"","Name Error!")</f>
        <v>#NAME?</v>
      </c>
    </row>
    <row r="3499" spans="2:9" s="126" customFormat="1" ht="15" customHeight="1" x14ac:dyDescent="0.25">
      <c r="B3499" s="271" t="s">
        <v>371</v>
      </c>
      <c r="C3499" s="272" t="s">
        <v>370</v>
      </c>
      <c r="D3499" s="275" t="s">
        <v>216</v>
      </c>
      <c r="E3499" s="275">
        <v>41762.83388888889</v>
      </c>
      <c r="F3499" s="276">
        <v>1</v>
      </c>
      <c r="G3499" s="243">
        <f t="shared" si="55"/>
        <v>136</v>
      </c>
      <c r="H3499" s="244"/>
      <c r="I3499" s="71" t="e">
        <f>IF(COUNTIF((rName rData),H3499),"","Name Error!")</f>
        <v>#NAME?</v>
      </c>
    </row>
    <row r="3500" spans="2:9" s="126" customFormat="1" ht="15" customHeight="1" x14ac:dyDescent="0.25">
      <c r="B3500" s="271" t="s">
        <v>320</v>
      </c>
      <c r="C3500" s="272" t="s">
        <v>319</v>
      </c>
      <c r="D3500" s="275" t="s">
        <v>216</v>
      </c>
      <c r="E3500" s="275">
        <v>41762.864247685182</v>
      </c>
      <c r="F3500" s="276">
        <v>1</v>
      </c>
      <c r="G3500" s="243">
        <f t="shared" si="55"/>
        <v>136</v>
      </c>
      <c r="H3500" s="244"/>
      <c r="I3500" s="71" t="e">
        <f>IF(COUNTIF((rName rData),H3500),"","Name Error!")</f>
        <v>#NAME?</v>
      </c>
    </row>
    <row r="3501" spans="2:9" s="126" customFormat="1" ht="15" customHeight="1" x14ac:dyDescent="0.25">
      <c r="B3501" s="271" t="s">
        <v>324</v>
      </c>
      <c r="C3501" s="272" t="s">
        <v>323</v>
      </c>
      <c r="D3501" s="275" t="s">
        <v>216</v>
      </c>
      <c r="E3501" s="275">
        <v>41763.009062500001</v>
      </c>
      <c r="F3501" s="276">
        <v>5</v>
      </c>
      <c r="G3501" s="243">
        <f t="shared" si="55"/>
        <v>136</v>
      </c>
      <c r="H3501" s="244"/>
      <c r="I3501" s="71" t="e">
        <f>IF(COUNTIF((rName rData),H3501),"","Name Error!")</f>
        <v>#NAME?</v>
      </c>
    </row>
    <row r="3502" spans="2:9" s="126" customFormat="1" ht="15" customHeight="1" x14ac:dyDescent="0.25">
      <c r="B3502" s="271" t="s">
        <v>339</v>
      </c>
      <c r="C3502" s="272" t="s">
        <v>338</v>
      </c>
      <c r="D3502" s="275" t="s">
        <v>216</v>
      </c>
      <c r="E3502" s="275">
        <v>41763.223506944443</v>
      </c>
      <c r="F3502" s="276">
        <v>2</v>
      </c>
      <c r="G3502" s="243">
        <f t="shared" si="55"/>
        <v>136</v>
      </c>
      <c r="H3502" s="244"/>
      <c r="I3502" s="71" t="e">
        <f>IF(COUNTIF((rName rData),H3502),"","Name Error!")</f>
        <v>#NAME?</v>
      </c>
    </row>
    <row r="3503" spans="2:9" s="126" customFormat="1" ht="15" customHeight="1" x14ac:dyDescent="0.25">
      <c r="B3503" s="271" t="s">
        <v>358</v>
      </c>
      <c r="C3503" s="272" t="s">
        <v>357</v>
      </c>
      <c r="D3503" s="275" t="s">
        <v>216</v>
      </c>
      <c r="E3503" s="275">
        <v>41763.339062500003</v>
      </c>
      <c r="F3503" s="276">
        <v>2</v>
      </c>
      <c r="G3503" s="243">
        <f t="shared" si="55"/>
        <v>136</v>
      </c>
      <c r="H3503" s="244"/>
      <c r="I3503" s="71" t="e">
        <f>IF(COUNTIF((rName rData),H3503),"","Name Error!")</f>
        <v>#NAME?</v>
      </c>
    </row>
    <row r="3504" spans="2:9" s="126" customFormat="1" ht="15" customHeight="1" x14ac:dyDescent="0.25">
      <c r="B3504" s="271" t="s">
        <v>341</v>
      </c>
      <c r="C3504" s="272" t="s">
        <v>340</v>
      </c>
      <c r="D3504" s="275" t="s">
        <v>216</v>
      </c>
      <c r="E3504" s="275">
        <v>41763.350023148145</v>
      </c>
      <c r="F3504" s="276">
        <v>2</v>
      </c>
      <c r="G3504" s="243">
        <f t="shared" si="55"/>
        <v>136</v>
      </c>
      <c r="H3504" s="244"/>
      <c r="I3504" s="71" t="e">
        <f>IF(COUNTIF((rName rData),H3504),"","Name Error!")</f>
        <v>#NAME?</v>
      </c>
    </row>
    <row r="3505" spans="2:9" s="126" customFormat="1" ht="15" customHeight="1" x14ac:dyDescent="0.25">
      <c r="B3505" s="271" t="s">
        <v>371</v>
      </c>
      <c r="C3505" s="272" t="s">
        <v>370</v>
      </c>
      <c r="D3505" s="275" t="s">
        <v>216</v>
      </c>
      <c r="E3505" s="275">
        <v>41763.459398148145</v>
      </c>
      <c r="F3505" s="276">
        <v>1</v>
      </c>
      <c r="G3505" s="243">
        <f t="shared" si="55"/>
        <v>136</v>
      </c>
      <c r="H3505" s="244"/>
      <c r="I3505" s="71" t="e">
        <f>IF(COUNTIF((rName rData),H3505),"","Name Error!")</f>
        <v>#NAME?</v>
      </c>
    </row>
    <row r="3506" spans="2:9" s="126" customFormat="1" ht="15" customHeight="1" x14ac:dyDescent="0.25">
      <c r="B3506" s="271" t="s">
        <v>352</v>
      </c>
      <c r="C3506" s="272" t="s">
        <v>351</v>
      </c>
      <c r="D3506" s="275" t="s">
        <v>216</v>
      </c>
      <c r="E3506" s="275">
        <v>41763.507870370369</v>
      </c>
      <c r="F3506" s="276">
        <v>3</v>
      </c>
      <c r="G3506" s="243">
        <f t="shared" si="55"/>
        <v>136</v>
      </c>
      <c r="H3506" s="244"/>
      <c r="I3506" s="71" t="e">
        <f>IF(COUNTIF((rName rData),H3506),"","Name Error!")</f>
        <v>#NAME?</v>
      </c>
    </row>
    <row r="3507" spans="2:9" s="126" customFormat="1" ht="15" customHeight="1" x14ac:dyDescent="0.25">
      <c r="B3507" s="271" t="s">
        <v>267</v>
      </c>
      <c r="C3507" s="272" t="s">
        <v>268</v>
      </c>
      <c r="D3507" s="275" t="s">
        <v>216</v>
      </c>
      <c r="E3507" s="275">
        <v>41763.51021990741</v>
      </c>
      <c r="F3507" s="276">
        <v>6</v>
      </c>
      <c r="G3507" s="243">
        <f t="shared" si="55"/>
        <v>136</v>
      </c>
      <c r="H3507" s="244"/>
      <c r="I3507" s="71" t="e">
        <f>IF(COUNTIF((rName rData),H3507),"","Name Error!")</f>
        <v>#NAME?</v>
      </c>
    </row>
    <row r="3508" spans="2:9" s="126" customFormat="1" ht="15" customHeight="1" x14ac:dyDescent="0.25">
      <c r="B3508" s="271" t="s">
        <v>333</v>
      </c>
      <c r="C3508" s="272" t="s">
        <v>332</v>
      </c>
      <c r="D3508" s="275" t="s">
        <v>216</v>
      </c>
      <c r="E3508" s="275">
        <v>41763.557592592595</v>
      </c>
      <c r="F3508" s="276">
        <v>2</v>
      </c>
      <c r="G3508" s="243">
        <f t="shared" si="55"/>
        <v>136</v>
      </c>
      <c r="H3508" s="244"/>
      <c r="I3508" s="71" t="e">
        <f>IF(COUNTIF((rName rData),H3508),"","Name Error!")</f>
        <v>#NAME?</v>
      </c>
    </row>
    <row r="3509" spans="2:9" s="126" customFormat="1" ht="15" customHeight="1" x14ac:dyDescent="0.25">
      <c r="B3509" s="271" t="s">
        <v>337</v>
      </c>
      <c r="C3509" s="272" t="s">
        <v>336</v>
      </c>
      <c r="D3509" s="275" t="s">
        <v>216</v>
      </c>
      <c r="E3509" s="275">
        <v>41763.576736111114</v>
      </c>
      <c r="F3509" s="276">
        <v>2</v>
      </c>
      <c r="G3509" s="243">
        <f t="shared" si="55"/>
        <v>136</v>
      </c>
      <c r="H3509" s="244"/>
      <c r="I3509" s="71" t="e">
        <f>IF(COUNTIF((rName rData),H3509),"","Name Error!")</f>
        <v>#NAME?</v>
      </c>
    </row>
    <row r="3510" spans="2:9" s="126" customFormat="1" ht="15" customHeight="1" x14ac:dyDescent="0.25">
      <c r="B3510" s="271" t="s">
        <v>350</v>
      </c>
      <c r="C3510" s="272" t="s">
        <v>349</v>
      </c>
      <c r="D3510" s="275" t="s">
        <v>216</v>
      </c>
      <c r="E3510" s="275">
        <v>41763.583506944444</v>
      </c>
      <c r="F3510" s="276">
        <v>1</v>
      </c>
      <c r="G3510" s="243">
        <f t="shared" si="55"/>
        <v>136</v>
      </c>
      <c r="H3510" s="244"/>
      <c r="I3510" s="71" t="e">
        <f>IF(COUNTIF((rName rData),H3510),"","Name Error!")</f>
        <v>#NAME?</v>
      </c>
    </row>
    <row r="3511" spans="2:9" s="126" customFormat="1" ht="15" customHeight="1" x14ac:dyDescent="0.25">
      <c r="B3511" s="271" t="s">
        <v>331</v>
      </c>
      <c r="C3511" s="272" t="s">
        <v>330</v>
      </c>
      <c r="D3511" s="275" t="s">
        <v>216</v>
      </c>
      <c r="E3511" s="275">
        <v>41763.610127314816</v>
      </c>
      <c r="F3511" s="276">
        <v>4</v>
      </c>
      <c r="G3511" s="243">
        <f t="shared" si="55"/>
        <v>136</v>
      </c>
      <c r="H3511" s="244"/>
      <c r="I3511" s="71" t="e">
        <f>IF(COUNTIF((rName rData),H3511),"","Name Error!")</f>
        <v>#NAME?</v>
      </c>
    </row>
    <row r="3512" spans="2:9" s="126" customFormat="1" ht="15" customHeight="1" x14ac:dyDescent="0.25">
      <c r="B3512" s="271" t="s">
        <v>354</v>
      </c>
      <c r="C3512" s="272" t="s">
        <v>353</v>
      </c>
      <c r="D3512" s="275" t="s">
        <v>216</v>
      </c>
      <c r="E3512" s="275">
        <v>41763.624016203707</v>
      </c>
      <c r="F3512" s="276">
        <v>3</v>
      </c>
      <c r="G3512" s="243">
        <f t="shared" si="55"/>
        <v>136</v>
      </c>
      <c r="H3512" s="244"/>
      <c r="I3512" s="71" t="e">
        <f>IF(COUNTIF((rName rData),H3512),"","Name Error!")</f>
        <v>#NAME?</v>
      </c>
    </row>
    <row r="3513" spans="2:9" s="126" customFormat="1" ht="15" customHeight="1" x14ac:dyDescent="0.25">
      <c r="B3513" s="271" t="s">
        <v>362</v>
      </c>
      <c r="C3513" s="272" t="s">
        <v>361</v>
      </c>
      <c r="D3513" s="275" t="s">
        <v>216</v>
      </c>
      <c r="E3513" s="275">
        <v>41763.629710648151</v>
      </c>
      <c r="F3513" s="276">
        <v>5</v>
      </c>
      <c r="G3513" s="243">
        <f t="shared" si="55"/>
        <v>136</v>
      </c>
      <c r="H3513" s="244"/>
      <c r="I3513" s="71" t="e">
        <f>IF(COUNTIF((rName rData),H3513),"","Name Error!")</f>
        <v>#NAME?</v>
      </c>
    </row>
    <row r="3514" spans="2:9" s="126" customFormat="1" ht="15" customHeight="1" x14ac:dyDescent="0.25">
      <c r="B3514" s="271" t="s">
        <v>356</v>
      </c>
      <c r="C3514" s="272" t="s">
        <v>355</v>
      </c>
      <c r="D3514" s="275" t="s">
        <v>216</v>
      </c>
      <c r="E3514" s="275">
        <v>41763.642384259256</v>
      </c>
      <c r="F3514" s="276">
        <v>3</v>
      </c>
      <c r="G3514" s="243">
        <f t="shared" si="55"/>
        <v>136</v>
      </c>
      <c r="H3514" s="244"/>
      <c r="I3514" s="71" t="e">
        <f>IF(COUNTIF((rName rData),H3514),"","Name Error!")</f>
        <v>#NAME?</v>
      </c>
    </row>
    <row r="3515" spans="2:9" s="126" customFormat="1" ht="15" customHeight="1" x14ac:dyDescent="0.25">
      <c r="B3515" s="271" t="s">
        <v>345</v>
      </c>
      <c r="C3515" s="272" t="s">
        <v>344</v>
      </c>
      <c r="D3515" s="275" t="s">
        <v>216</v>
      </c>
      <c r="E3515" s="275">
        <v>41763.743796296294</v>
      </c>
      <c r="F3515" s="276">
        <v>2</v>
      </c>
      <c r="G3515" s="243">
        <f t="shared" si="55"/>
        <v>136</v>
      </c>
      <c r="H3515" s="244"/>
      <c r="I3515" s="71" t="e">
        <f>IF(COUNTIF((rName rData),H3515),"","Name Error!")</f>
        <v>#NAME?</v>
      </c>
    </row>
    <row r="3516" spans="2:9" s="126" customFormat="1" ht="15" customHeight="1" x14ac:dyDescent="0.25">
      <c r="B3516" s="271" t="s">
        <v>322</v>
      </c>
      <c r="C3516" s="272" t="s">
        <v>321</v>
      </c>
      <c r="D3516" s="275" t="s">
        <v>216</v>
      </c>
      <c r="E3516" s="275">
        <v>41763.773229166669</v>
      </c>
      <c r="F3516" s="276">
        <v>2</v>
      </c>
      <c r="G3516" s="243">
        <f t="shared" si="55"/>
        <v>136</v>
      </c>
      <c r="H3516" s="244"/>
      <c r="I3516" s="71" t="e">
        <f>IF(COUNTIF((rName rData),H3516),"","Name Error!")</f>
        <v>#NAME?</v>
      </c>
    </row>
    <row r="3517" spans="2:9" s="126" customFormat="1" ht="15" customHeight="1" x14ac:dyDescent="0.25">
      <c r="B3517" s="271" t="s">
        <v>320</v>
      </c>
      <c r="C3517" s="272" t="s">
        <v>319</v>
      </c>
      <c r="D3517" s="275" t="s">
        <v>216</v>
      </c>
      <c r="E3517" s="275">
        <v>41763.864479166667</v>
      </c>
      <c r="F3517" s="276">
        <v>1</v>
      </c>
      <c r="G3517" s="243">
        <f t="shared" si="55"/>
        <v>136</v>
      </c>
      <c r="H3517" s="244"/>
      <c r="I3517" s="71" t="e">
        <f>IF(COUNTIF((rName rData),H3517),"","Name Error!")</f>
        <v>#NAME?</v>
      </c>
    </row>
    <row r="3518" spans="2:9" s="126" customFormat="1" ht="15" customHeight="1" x14ac:dyDescent="0.25">
      <c r="B3518" s="271" t="s">
        <v>335</v>
      </c>
      <c r="C3518" s="272" t="s">
        <v>334</v>
      </c>
      <c r="D3518" s="275" t="s">
        <v>216</v>
      </c>
      <c r="E3518" s="275">
        <v>41763.865335648145</v>
      </c>
      <c r="F3518" s="276">
        <v>1</v>
      </c>
      <c r="G3518" s="243">
        <f t="shared" si="55"/>
        <v>136</v>
      </c>
      <c r="H3518" s="244"/>
      <c r="I3518" s="71" t="e">
        <f>IF(COUNTIF((rName rData),H3518),"","Name Error!")</f>
        <v>#NAME?</v>
      </c>
    </row>
    <row r="3519" spans="2:9" s="126" customFormat="1" ht="15" customHeight="1" x14ac:dyDescent="0.25">
      <c r="B3519" s="271" t="s">
        <v>365</v>
      </c>
      <c r="C3519" s="272" t="s">
        <v>364</v>
      </c>
      <c r="D3519" s="275" t="s">
        <v>216</v>
      </c>
      <c r="E3519" s="275">
        <v>41763.886979166666</v>
      </c>
      <c r="F3519" s="276">
        <v>2</v>
      </c>
      <c r="G3519" s="243">
        <f t="shared" si="55"/>
        <v>136</v>
      </c>
      <c r="H3519" s="244"/>
      <c r="I3519" s="71" t="e">
        <f>IF(COUNTIF((rName rData),H3519),"","Name Error!")</f>
        <v>#NAME?</v>
      </c>
    </row>
    <row r="3520" spans="2:9" s="126" customFormat="1" ht="15" customHeight="1" x14ac:dyDescent="0.25">
      <c r="B3520" s="271" t="s">
        <v>333</v>
      </c>
      <c r="C3520" s="272" t="s">
        <v>332</v>
      </c>
      <c r="D3520" s="275" t="s">
        <v>216</v>
      </c>
      <c r="E3520" s="275">
        <v>41764.007847222223</v>
      </c>
      <c r="F3520" s="276">
        <v>1</v>
      </c>
      <c r="G3520" s="243">
        <f t="shared" si="55"/>
        <v>136</v>
      </c>
      <c r="H3520" s="244"/>
      <c r="I3520" s="71" t="e">
        <f>IF(COUNTIF((rName rData),H3520),"","Name Error!")</f>
        <v>#NAME?</v>
      </c>
    </row>
    <row r="3521" spans="2:9" s="126" customFormat="1" ht="15" customHeight="1" x14ac:dyDescent="0.25">
      <c r="B3521" s="271" t="s">
        <v>356</v>
      </c>
      <c r="C3521" s="272" t="s">
        <v>355</v>
      </c>
      <c r="D3521" s="275" t="s">
        <v>216</v>
      </c>
      <c r="E3521" s="275">
        <v>41764.335914351854</v>
      </c>
      <c r="F3521" s="276">
        <v>2</v>
      </c>
      <c r="G3521" s="243">
        <f t="shared" si="55"/>
        <v>136</v>
      </c>
      <c r="H3521" s="244"/>
      <c r="I3521" s="71" t="e">
        <f>IF(COUNTIF((rName rData),H3521),"","Name Error!")</f>
        <v>#NAME?</v>
      </c>
    </row>
    <row r="3522" spans="2:9" s="126" customFormat="1" ht="15" customHeight="1" x14ac:dyDescent="0.25">
      <c r="B3522" s="271" t="s">
        <v>335</v>
      </c>
      <c r="C3522" s="272" t="s">
        <v>334</v>
      </c>
      <c r="D3522" s="275" t="s">
        <v>216</v>
      </c>
      <c r="E3522" s="275">
        <v>41764.371469907404</v>
      </c>
      <c r="F3522" s="276">
        <v>1</v>
      </c>
      <c r="G3522" s="243">
        <f t="shared" si="55"/>
        <v>136</v>
      </c>
      <c r="H3522" s="244"/>
      <c r="I3522" s="71" t="e">
        <f>IF(COUNTIF((rName rData),H3522),"","Name Error!")</f>
        <v>#NAME?</v>
      </c>
    </row>
    <row r="3523" spans="2:9" s="126" customFormat="1" ht="15" customHeight="1" x14ac:dyDescent="0.25">
      <c r="B3523" s="271" t="s">
        <v>345</v>
      </c>
      <c r="C3523" s="272" t="s">
        <v>344</v>
      </c>
      <c r="D3523" s="275" t="s">
        <v>216</v>
      </c>
      <c r="E3523" s="275">
        <v>41764.378692129627</v>
      </c>
      <c r="F3523" s="276">
        <v>1</v>
      </c>
      <c r="G3523" s="243">
        <f t="shared" si="55"/>
        <v>136</v>
      </c>
      <c r="H3523" s="244"/>
      <c r="I3523" s="71" t="e">
        <f>IF(COUNTIF((rName rData),H3523),"","Name Error!")</f>
        <v>#NAME?</v>
      </c>
    </row>
    <row r="3524" spans="2:9" s="126" customFormat="1" ht="15" customHeight="1" x14ac:dyDescent="0.25">
      <c r="B3524" s="271" t="s">
        <v>341</v>
      </c>
      <c r="C3524" s="272" t="s">
        <v>340</v>
      </c>
      <c r="D3524" s="275" t="s">
        <v>216</v>
      </c>
      <c r="E3524" s="275">
        <v>41764.469641203701</v>
      </c>
      <c r="F3524" s="276">
        <v>2</v>
      </c>
      <c r="G3524" s="243">
        <f t="shared" si="55"/>
        <v>136</v>
      </c>
      <c r="H3524" s="244"/>
      <c r="I3524" s="71" t="e">
        <f>IF(COUNTIF((rName rData),H3524),"","Name Error!")</f>
        <v>#NAME?</v>
      </c>
    </row>
    <row r="3525" spans="2:9" s="126" customFormat="1" ht="15" customHeight="1" x14ac:dyDescent="0.25">
      <c r="B3525" s="271" t="s">
        <v>358</v>
      </c>
      <c r="C3525" s="272" t="s">
        <v>357</v>
      </c>
      <c r="D3525" s="275" t="s">
        <v>216</v>
      </c>
      <c r="E3525" s="275">
        <v>41764.491724537038</v>
      </c>
      <c r="F3525" s="276">
        <v>5</v>
      </c>
      <c r="G3525" s="243">
        <f t="shared" si="55"/>
        <v>136</v>
      </c>
      <c r="H3525" s="244"/>
      <c r="I3525" s="71" t="e">
        <f>IF(COUNTIF((rName rData),H3525),"","Name Error!")</f>
        <v>#NAME?</v>
      </c>
    </row>
    <row r="3526" spans="2:9" s="126" customFormat="1" ht="15" customHeight="1" x14ac:dyDescent="0.25">
      <c r="B3526" s="271" t="s">
        <v>331</v>
      </c>
      <c r="C3526" s="272" t="s">
        <v>330</v>
      </c>
      <c r="D3526" s="275" t="s">
        <v>216</v>
      </c>
      <c r="E3526" s="275">
        <v>41764.499490740738</v>
      </c>
      <c r="F3526" s="276">
        <v>1</v>
      </c>
      <c r="G3526" s="243">
        <f t="shared" si="55"/>
        <v>136</v>
      </c>
      <c r="H3526" s="244"/>
      <c r="I3526" s="71" t="e">
        <f>IF(COUNTIF((rName rData),H3526),"","Name Error!")</f>
        <v>#NAME?</v>
      </c>
    </row>
    <row r="3527" spans="2:9" s="126" customFormat="1" ht="15" customHeight="1" x14ac:dyDescent="0.25">
      <c r="B3527" s="271" t="s">
        <v>322</v>
      </c>
      <c r="C3527" s="272" t="s">
        <v>321</v>
      </c>
      <c r="D3527" s="275" t="s">
        <v>216</v>
      </c>
      <c r="E3527" s="275">
        <v>41764.649895833332</v>
      </c>
      <c r="F3527" s="276">
        <v>4</v>
      </c>
      <c r="G3527" s="243">
        <f t="shared" si="55"/>
        <v>136</v>
      </c>
      <c r="H3527" s="244"/>
      <c r="I3527" s="71" t="e">
        <f>IF(COUNTIF((rName rData),H3527),"","Name Error!")</f>
        <v>#NAME?</v>
      </c>
    </row>
    <row r="3528" spans="2:9" s="126" customFormat="1" ht="15" customHeight="1" x14ac:dyDescent="0.25">
      <c r="B3528" s="271" t="s">
        <v>337</v>
      </c>
      <c r="C3528" s="272" t="s">
        <v>336</v>
      </c>
      <c r="D3528" s="275" t="s">
        <v>216</v>
      </c>
      <c r="E3528" s="275">
        <v>41764.657916666663</v>
      </c>
      <c r="F3528" s="276">
        <v>1</v>
      </c>
      <c r="G3528" s="243">
        <f t="shared" si="55"/>
        <v>136</v>
      </c>
      <c r="H3528" s="244"/>
      <c r="I3528" s="71" t="e">
        <f>IF(COUNTIF((rName rData),H3528),"","Name Error!")</f>
        <v>#NAME?</v>
      </c>
    </row>
    <row r="3529" spans="2:9" s="126" customFormat="1" ht="15" customHeight="1" x14ac:dyDescent="0.25">
      <c r="B3529" s="271" t="s">
        <v>352</v>
      </c>
      <c r="C3529" s="272" t="s">
        <v>351</v>
      </c>
      <c r="D3529" s="275" t="s">
        <v>216</v>
      </c>
      <c r="E3529" s="275">
        <v>41764.730405092596</v>
      </c>
      <c r="F3529" s="276">
        <v>1</v>
      </c>
      <c r="G3529" s="243">
        <f t="shared" si="55"/>
        <v>136</v>
      </c>
      <c r="H3529" s="244"/>
      <c r="I3529" s="71" t="e">
        <f>IF(COUNTIF((rName rData),H3529),"","Name Error!")</f>
        <v>#NAME?</v>
      </c>
    </row>
    <row r="3530" spans="2:9" s="126" customFormat="1" ht="15" customHeight="1" x14ac:dyDescent="0.25">
      <c r="B3530" s="271" t="s">
        <v>371</v>
      </c>
      <c r="C3530" s="272" t="s">
        <v>370</v>
      </c>
      <c r="D3530" s="275" t="s">
        <v>216</v>
      </c>
      <c r="E3530" s="275">
        <v>41764.862245370372</v>
      </c>
      <c r="F3530" s="276">
        <v>1</v>
      </c>
      <c r="G3530" s="243">
        <f t="shared" ref="G3530:G3593" si="56">TRUNC((E3530-start)/7)+1</f>
        <v>136</v>
      </c>
      <c r="H3530" s="244"/>
      <c r="I3530" s="71" t="e">
        <f>IF(COUNTIF((rName rData),H3530),"","Name Error!")</f>
        <v>#NAME?</v>
      </c>
    </row>
    <row r="3531" spans="2:9" s="126" customFormat="1" ht="15" customHeight="1" x14ac:dyDescent="0.25">
      <c r="B3531" s="271" t="s">
        <v>320</v>
      </c>
      <c r="C3531" s="272" t="s">
        <v>319</v>
      </c>
      <c r="D3531" s="275" t="s">
        <v>216</v>
      </c>
      <c r="E3531" s="275">
        <v>41764.882280092592</v>
      </c>
      <c r="F3531" s="276">
        <v>1</v>
      </c>
      <c r="G3531" s="243">
        <f t="shared" si="56"/>
        <v>136</v>
      </c>
      <c r="H3531" s="244"/>
      <c r="I3531" s="71" t="e">
        <f>IF(COUNTIF((rName rData),H3531),"","Name Error!")</f>
        <v>#NAME?</v>
      </c>
    </row>
    <row r="3532" spans="2:9" s="126" customFormat="1" ht="15" customHeight="1" x14ac:dyDescent="0.25">
      <c r="B3532" s="271" t="s">
        <v>339</v>
      </c>
      <c r="C3532" s="272" t="s">
        <v>338</v>
      </c>
      <c r="D3532" s="275" t="s">
        <v>216</v>
      </c>
      <c r="E3532" s="275">
        <v>41764.925810185188</v>
      </c>
      <c r="F3532" s="276">
        <v>2</v>
      </c>
      <c r="G3532" s="243">
        <f t="shared" si="56"/>
        <v>136</v>
      </c>
      <c r="H3532" s="244"/>
      <c r="I3532" s="71" t="e">
        <f>IF(COUNTIF((rName rData),H3532),"","Name Error!")</f>
        <v>#NAME?</v>
      </c>
    </row>
    <row r="3533" spans="2:9" s="126" customFormat="1" ht="15" customHeight="1" x14ac:dyDescent="0.25">
      <c r="B3533" s="271" t="s">
        <v>322</v>
      </c>
      <c r="C3533" s="272" t="s">
        <v>321</v>
      </c>
      <c r="D3533" s="275" t="s">
        <v>216</v>
      </c>
      <c r="E3533" s="275">
        <v>41765.437256944446</v>
      </c>
      <c r="F3533" s="276">
        <v>3</v>
      </c>
      <c r="G3533" s="243">
        <f t="shared" si="56"/>
        <v>136</v>
      </c>
      <c r="H3533" s="244"/>
      <c r="I3533" s="71" t="e">
        <f>IF(COUNTIF((rName rData),H3533),"","Name Error!")</f>
        <v>#NAME?</v>
      </c>
    </row>
    <row r="3534" spans="2:9" s="126" customFormat="1" ht="15" customHeight="1" x14ac:dyDescent="0.25">
      <c r="B3534" s="271" t="s">
        <v>356</v>
      </c>
      <c r="C3534" s="272" t="s">
        <v>355</v>
      </c>
      <c r="D3534" s="275" t="s">
        <v>216</v>
      </c>
      <c r="E3534" s="275">
        <v>41765.449733796297</v>
      </c>
      <c r="F3534" s="276">
        <v>1</v>
      </c>
      <c r="G3534" s="243">
        <f t="shared" si="56"/>
        <v>136</v>
      </c>
      <c r="H3534" s="244"/>
      <c r="I3534" s="71" t="e">
        <f>IF(COUNTIF((rName rData),H3534),"","Name Error!")</f>
        <v>#NAME?</v>
      </c>
    </row>
    <row r="3535" spans="2:9" s="126" customFormat="1" ht="15" customHeight="1" x14ac:dyDescent="0.25">
      <c r="B3535" s="271" t="s">
        <v>341</v>
      </c>
      <c r="C3535" s="272" t="s">
        <v>340</v>
      </c>
      <c r="D3535" s="275" t="s">
        <v>216</v>
      </c>
      <c r="E3535" s="275">
        <v>41765.453310185185</v>
      </c>
      <c r="F3535" s="276">
        <v>4</v>
      </c>
      <c r="G3535" s="243">
        <f t="shared" si="56"/>
        <v>136</v>
      </c>
      <c r="H3535" s="244"/>
      <c r="I3535" s="71" t="e">
        <f>IF(COUNTIF((rName rData),H3535),"","Name Error!")</f>
        <v>#NAME?</v>
      </c>
    </row>
    <row r="3536" spans="2:9" s="126" customFormat="1" ht="15" customHeight="1" x14ac:dyDescent="0.25">
      <c r="B3536" s="271" t="s">
        <v>352</v>
      </c>
      <c r="C3536" s="272" t="s">
        <v>351</v>
      </c>
      <c r="D3536" s="275" t="s">
        <v>216</v>
      </c>
      <c r="E3536" s="275">
        <v>41765.505868055552</v>
      </c>
      <c r="F3536" s="276">
        <v>2</v>
      </c>
      <c r="G3536" s="243">
        <f t="shared" si="56"/>
        <v>136</v>
      </c>
      <c r="H3536" s="244"/>
      <c r="I3536" s="71" t="e">
        <f>IF(COUNTIF((rName rData),H3536),"","Name Error!")</f>
        <v>#NAME?</v>
      </c>
    </row>
    <row r="3537" spans="2:9" s="126" customFormat="1" ht="15" customHeight="1" x14ac:dyDescent="0.25">
      <c r="B3537" s="271" t="s">
        <v>333</v>
      </c>
      <c r="C3537" s="272" t="s">
        <v>332</v>
      </c>
      <c r="D3537" s="275" t="s">
        <v>216</v>
      </c>
      <c r="E3537" s="275">
        <v>41765.760162037041</v>
      </c>
      <c r="F3537" s="276">
        <v>2</v>
      </c>
      <c r="G3537" s="243">
        <f t="shared" si="56"/>
        <v>136</v>
      </c>
      <c r="H3537" s="244"/>
      <c r="I3537" s="71" t="e">
        <f>IF(COUNTIF((rName rData),H3537),"","Name Error!")</f>
        <v>#NAME?</v>
      </c>
    </row>
    <row r="3538" spans="2:9" s="126" customFormat="1" ht="15" customHeight="1" x14ac:dyDescent="0.25">
      <c r="B3538" s="271" t="s">
        <v>358</v>
      </c>
      <c r="C3538" s="272" t="s">
        <v>357</v>
      </c>
      <c r="D3538" s="275" t="s">
        <v>216</v>
      </c>
      <c r="E3538" s="275">
        <v>41765.767337962963</v>
      </c>
      <c r="F3538" s="276">
        <v>1</v>
      </c>
      <c r="G3538" s="243">
        <f t="shared" si="56"/>
        <v>136</v>
      </c>
      <c r="H3538" s="244"/>
      <c r="I3538" s="71" t="e">
        <f>IF(COUNTIF((rName rData),H3538),"","Name Error!")</f>
        <v>#NAME?</v>
      </c>
    </row>
    <row r="3539" spans="2:9" s="126" customFormat="1" ht="15" customHeight="1" x14ac:dyDescent="0.25">
      <c r="B3539" s="271" t="s">
        <v>354</v>
      </c>
      <c r="C3539" s="272" t="s">
        <v>353</v>
      </c>
      <c r="D3539" s="275" t="s">
        <v>216</v>
      </c>
      <c r="E3539" s="275">
        <v>41765.81181712963</v>
      </c>
      <c r="F3539" s="276">
        <v>1</v>
      </c>
      <c r="G3539" s="243">
        <f t="shared" si="56"/>
        <v>136</v>
      </c>
      <c r="H3539" s="244"/>
      <c r="I3539" s="71" t="e">
        <f>IF(COUNTIF((rName rData),H3539),"","Name Error!")</f>
        <v>#NAME?</v>
      </c>
    </row>
    <row r="3540" spans="2:9" s="126" customFormat="1" ht="15" customHeight="1" x14ac:dyDescent="0.25">
      <c r="B3540" s="271" t="s">
        <v>331</v>
      </c>
      <c r="C3540" s="272" t="s">
        <v>330</v>
      </c>
      <c r="D3540" s="275" t="s">
        <v>216</v>
      </c>
      <c r="E3540" s="275">
        <v>41765.823229166665</v>
      </c>
      <c r="F3540" s="276">
        <v>1</v>
      </c>
      <c r="G3540" s="243">
        <f t="shared" si="56"/>
        <v>136</v>
      </c>
      <c r="H3540" s="244"/>
      <c r="I3540" s="71" t="e">
        <f>IF(COUNTIF((rName rData),H3540),"","Name Error!")</f>
        <v>#NAME?</v>
      </c>
    </row>
    <row r="3541" spans="2:9" s="126" customFormat="1" ht="15" customHeight="1" x14ac:dyDescent="0.25">
      <c r="B3541" s="271" t="s">
        <v>345</v>
      </c>
      <c r="C3541" s="272" t="s">
        <v>344</v>
      </c>
      <c r="D3541" s="275" t="s">
        <v>216</v>
      </c>
      <c r="E3541" s="275">
        <v>41765.842280092591</v>
      </c>
      <c r="F3541" s="276">
        <v>1</v>
      </c>
      <c r="G3541" s="243">
        <f t="shared" si="56"/>
        <v>136</v>
      </c>
      <c r="H3541" s="244"/>
      <c r="I3541" s="71" t="e">
        <f>IF(COUNTIF((rName rData),H3541),"","Name Error!")</f>
        <v>#NAME?</v>
      </c>
    </row>
    <row r="3542" spans="2:9" s="126" customFormat="1" ht="15" customHeight="1" x14ac:dyDescent="0.25">
      <c r="B3542" s="271" t="s">
        <v>320</v>
      </c>
      <c r="C3542" s="272" t="s">
        <v>319</v>
      </c>
      <c r="D3542" s="275" t="s">
        <v>216</v>
      </c>
      <c r="E3542" s="275">
        <v>41765.856759259259</v>
      </c>
      <c r="F3542" s="276">
        <v>2</v>
      </c>
      <c r="G3542" s="243">
        <f t="shared" si="56"/>
        <v>136</v>
      </c>
      <c r="H3542" s="244"/>
      <c r="I3542" s="71" t="e">
        <f>IF(COUNTIF((rName rData),H3542),"","Name Error!")</f>
        <v>#NAME?</v>
      </c>
    </row>
    <row r="3543" spans="2:9" s="126" customFormat="1" ht="15" customHeight="1" x14ac:dyDescent="0.25">
      <c r="B3543" s="271" t="s">
        <v>365</v>
      </c>
      <c r="C3543" s="272" t="s">
        <v>364</v>
      </c>
      <c r="D3543" s="275" t="s">
        <v>216</v>
      </c>
      <c r="E3543" s="275">
        <v>41765.866990740738</v>
      </c>
      <c r="F3543" s="276">
        <v>1</v>
      </c>
      <c r="G3543" s="243">
        <f t="shared" si="56"/>
        <v>136</v>
      </c>
      <c r="H3543" s="244"/>
      <c r="I3543" s="71" t="e">
        <f>IF(COUNTIF((rName rData),H3543),"","Name Error!")</f>
        <v>#NAME?</v>
      </c>
    </row>
    <row r="3544" spans="2:9" s="126" customFormat="1" ht="15" customHeight="1" x14ac:dyDescent="0.25">
      <c r="B3544" s="271" t="s">
        <v>371</v>
      </c>
      <c r="C3544" s="272" t="s">
        <v>370</v>
      </c>
      <c r="D3544" s="275" t="s">
        <v>216</v>
      </c>
      <c r="E3544" s="275">
        <v>41765.882245370369</v>
      </c>
      <c r="F3544" s="276">
        <v>1</v>
      </c>
      <c r="G3544" s="243">
        <f t="shared" si="56"/>
        <v>136</v>
      </c>
      <c r="H3544" s="244"/>
      <c r="I3544" s="71" t="e">
        <f>IF(COUNTIF((rName rData),H3544),"","Name Error!")</f>
        <v>#NAME?</v>
      </c>
    </row>
    <row r="3545" spans="2:9" s="126" customFormat="1" ht="15" customHeight="1" x14ac:dyDescent="0.25">
      <c r="B3545" s="271" t="s">
        <v>324</v>
      </c>
      <c r="C3545" s="272" t="s">
        <v>323</v>
      </c>
      <c r="D3545" s="275" t="s">
        <v>216</v>
      </c>
      <c r="E3545" s="275">
        <v>41765.906967592593</v>
      </c>
      <c r="F3545" s="276">
        <v>1</v>
      </c>
      <c r="G3545" s="243">
        <f t="shared" si="56"/>
        <v>136</v>
      </c>
      <c r="H3545" s="244"/>
      <c r="I3545" s="71" t="e">
        <f>IF(COUNTIF((rName rData),H3545),"","Name Error!")</f>
        <v>#NAME?</v>
      </c>
    </row>
    <row r="3546" spans="2:9" s="126" customFormat="1" ht="15" customHeight="1" x14ac:dyDescent="0.25">
      <c r="B3546" s="271" t="s">
        <v>333</v>
      </c>
      <c r="C3546" s="272" t="s">
        <v>332</v>
      </c>
      <c r="D3546" s="275" t="s">
        <v>216</v>
      </c>
      <c r="E3546" s="275">
        <v>41766.009687500002</v>
      </c>
      <c r="F3546" s="276">
        <v>1</v>
      </c>
      <c r="G3546" s="243">
        <f t="shared" si="56"/>
        <v>136</v>
      </c>
      <c r="H3546" s="244"/>
      <c r="I3546" s="71" t="e">
        <f>IF(COUNTIF((rName rData),H3546),"","Name Error!")</f>
        <v>#NAME?</v>
      </c>
    </row>
    <row r="3547" spans="2:9" s="126" customFormat="1" ht="15" customHeight="1" x14ac:dyDescent="0.25">
      <c r="B3547" s="271" t="s">
        <v>339</v>
      </c>
      <c r="C3547" s="272" t="s">
        <v>338</v>
      </c>
      <c r="D3547" s="275" t="s">
        <v>216</v>
      </c>
      <c r="E3547" s="275">
        <v>41766.126747685186</v>
      </c>
      <c r="F3547" s="276">
        <v>3</v>
      </c>
      <c r="G3547" s="243">
        <f t="shared" si="56"/>
        <v>136</v>
      </c>
      <c r="H3547" s="244"/>
      <c r="I3547" s="71" t="e">
        <f>IF(COUNTIF((rName rData),H3547),"","Name Error!")</f>
        <v>#NAME?</v>
      </c>
    </row>
    <row r="3548" spans="2:9" s="126" customFormat="1" ht="15" customHeight="1" x14ac:dyDescent="0.25">
      <c r="B3548" s="271" t="s">
        <v>358</v>
      </c>
      <c r="C3548" s="272" t="s">
        <v>357</v>
      </c>
      <c r="D3548" s="275" t="s">
        <v>216</v>
      </c>
      <c r="E3548" s="275">
        <v>41766.374594907407</v>
      </c>
      <c r="F3548" s="276">
        <v>8</v>
      </c>
      <c r="G3548" s="243">
        <f t="shared" si="56"/>
        <v>136</v>
      </c>
      <c r="H3548" s="244"/>
      <c r="I3548" s="71" t="e">
        <f>IF(COUNTIF((rName rData),H3548),"","Name Error!")</f>
        <v>#NAME?</v>
      </c>
    </row>
    <row r="3549" spans="2:9" s="126" customFormat="1" ht="15" customHeight="1" x14ac:dyDescent="0.25">
      <c r="B3549" s="271" t="s">
        <v>341</v>
      </c>
      <c r="C3549" s="272" t="s">
        <v>340</v>
      </c>
      <c r="D3549" s="275" t="s">
        <v>216</v>
      </c>
      <c r="E3549" s="275">
        <v>41766.422060185185</v>
      </c>
      <c r="F3549" s="276">
        <v>1</v>
      </c>
      <c r="G3549" s="243">
        <f t="shared" si="56"/>
        <v>136</v>
      </c>
      <c r="H3549" s="244"/>
      <c r="I3549" s="71" t="e">
        <f>IF(COUNTIF((rName rData),H3549),"","Name Error!")</f>
        <v>#NAME?</v>
      </c>
    </row>
    <row r="3550" spans="2:9" s="126" customFormat="1" ht="15" customHeight="1" x14ac:dyDescent="0.25">
      <c r="B3550" s="271" t="s">
        <v>324</v>
      </c>
      <c r="C3550" s="272" t="s">
        <v>323</v>
      </c>
      <c r="D3550" s="275" t="s">
        <v>216</v>
      </c>
      <c r="E3550" s="275">
        <v>41766.527754629627</v>
      </c>
      <c r="F3550" s="276">
        <v>1</v>
      </c>
      <c r="G3550" s="243">
        <f t="shared" si="56"/>
        <v>136</v>
      </c>
      <c r="H3550" s="244"/>
      <c r="I3550" s="71" t="e">
        <f>IF(COUNTIF((rName rData),H3550),"","Name Error!")</f>
        <v>#NAME?</v>
      </c>
    </row>
    <row r="3551" spans="2:9" s="126" customFormat="1" ht="15" customHeight="1" x14ac:dyDescent="0.25">
      <c r="B3551" s="271" t="s">
        <v>267</v>
      </c>
      <c r="C3551" s="272" t="s">
        <v>268</v>
      </c>
      <c r="D3551" s="275" t="s">
        <v>216</v>
      </c>
      <c r="E3551" s="275">
        <v>41766.590949074074</v>
      </c>
      <c r="F3551" s="276">
        <v>3</v>
      </c>
      <c r="G3551" s="243">
        <f t="shared" si="56"/>
        <v>136</v>
      </c>
      <c r="H3551" s="244"/>
      <c r="I3551" s="71" t="e">
        <f>IF(COUNTIF((rName rData),H3551),"","Name Error!")</f>
        <v>#NAME?</v>
      </c>
    </row>
    <row r="3552" spans="2:9" s="126" customFormat="1" ht="15" customHeight="1" x14ac:dyDescent="0.25">
      <c r="B3552" s="271" t="s">
        <v>352</v>
      </c>
      <c r="C3552" s="272" t="s">
        <v>351</v>
      </c>
      <c r="D3552" s="275" t="s">
        <v>216</v>
      </c>
      <c r="E3552" s="275">
        <v>41766.714571759258</v>
      </c>
      <c r="F3552" s="276">
        <v>1</v>
      </c>
      <c r="G3552" s="243">
        <f t="shared" si="56"/>
        <v>136</v>
      </c>
      <c r="H3552" s="244"/>
      <c r="I3552" s="71" t="e">
        <f>IF(COUNTIF((rName rData),H3552),"","Name Error!")</f>
        <v>#NAME?</v>
      </c>
    </row>
    <row r="3553" spans="2:9" s="126" customFormat="1" ht="15" customHeight="1" x14ac:dyDescent="0.25">
      <c r="B3553" s="271" t="s">
        <v>350</v>
      </c>
      <c r="C3553" s="272" t="s">
        <v>349</v>
      </c>
      <c r="D3553" s="275" t="s">
        <v>216</v>
      </c>
      <c r="E3553" s="275">
        <v>41766.795729166668</v>
      </c>
      <c r="F3553" s="276">
        <v>1</v>
      </c>
      <c r="G3553" s="243">
        <f t="shared" si="56"/>
        <v>136</v>
      </c>
      <c r="H3553" s="244"/>
      <c r="I3553" s="71" t="e">
        <f>IF(COUNTIF((rName rData),H3553),"","Name Error!")</f>
        <v>#NAME?</v>
      </c>
    </row>
    <row r="3554" spans="2:9" s="126" customFormat="1" ht="15" customHeight="1" x14ac:dyDescent="0.25">
      <c r="B3554" s="271" t="s">
        <v>322</v>
      </c>
      <c r="C3554" s="272" t="s">
        <v>321</v>
      </c>
      <c r="D3554" s="275" t="s">
        <v>216</v>
      </c>
      <c r="E3554" s="275">
        <v>41766.843148148146</v>
      </c>
      <c r="F3554" s="276">
        <v>3</v>
      </c>
      <c r="G3554" s="243">
        <f t="shared" si="56"/>
        <v>136</v>
      </c>
      <c r="H3554" s="244"/>
      <c r="I3554" s="71" t="e">
        <f>IF(COUNTIF((rName rData),H3554),"","Name Error!")</f>
        <v>#NAME?</v>
      </c>
    </row>
    <row r="3555" spans="2:9" s="126" customFormat="1" ht="15" customHeight="1" x14ac:dyDescent="0.25">
      <c r="B3555" s="271" t="s">
        <v>371</v>
      </c>
      <c r="C3555" s="272" t="s">
        <v>370</v>
      </c>
      <c r="D3555" s="275" t="s">
        <v>216</v>
      </c>
      <c r="E3555" s="275">
        <v>41766.879363425927</v>
      </c>
      <c r="F3555" s="276">
        <v>1</v>
      </c>
      <c r="G3555" s="243">
        <f t="shared" si="56"/>
        <v>136</v>
      </c>
      <c r="H3555" s="244"/>
      <c r="I3555" s="71" t="e">
        <f>IF(COUNTIF((rName rData),H3555),"","Name Error!")</f>
        <v>#NAME?</v>
      </c>
    </row>
    <row r="3556" spans="2:9" s="126" customFormat="1" ht="15" customHeight="1" x14ac:dyDescent="0.25">
      <c r="B3556" s="271" t="s">
        <v>320</v>
      </c>
      <c r="C3556" s="272" t="s">
        <v>319</v>
      </c>
      <c r="D3556" s="275" t="s">
        <v>216</v>
      </c>
      <c r="E3556" s="275">
        <v>41766.891805555555</v>
      </c>
      <c r="F3556" s="276">
        <v>1</v>
      </c>
      <c r="G3556" s="243">
        <f t="shared" si="56"/>
        <v>136</v>
      </c>
      <c r="H3556" s="244"/>
      <c r="I3556" s="71" t="e">
        <f>IF(COUNTIF((rName rData),H3556),"","Name Error!")</f>
        <v>#NAME?</v>
      </c>
    </row>
    <row r="3557" spans="2:9" s="126" customFormat="1" ht="15" customHeight="1" x14ac:dyDescent="0.25">
      <c r="B3557" s="271" t="s">
        <v>322</v>
      </c>
      <c r="C3557" s="272" t="s">
        <v>321</v>
      </c>
      <c r="D3557" s="275" t="s">
        <v>216</v>
      </c>
      <c r="E3557" s="275">
        <v>41767.022939814815</v>
      </c>
      <c r="F3557" s="276">
        <v>10</v>
      </c>
      <c r="G3557" s="243">
        <f t="shared" si="56"/>
        <v>136</v>
      </c>
      <c r="H3557" s="244"/>
      <c r="I3557" s="71" t="e">
        <f>IF(COUNTIF((rName rData),H3557),"","Name Error!")</f>
        <v>#NAME?</v>
      </c>
    </row>
    <row r="3558" spans="2:9" s="126" customFormat="1" ht="15" customHeight="1" x14ac:dyDescent="0.25">
      <c r="B3558" s="271" t="s">
        <v>324</v>
      </c>
      <c r="C3558" s="272" t="s">
        <v>323</v>
      </c>
      <c r="D3558" s="275" t="s">
        <v>216</v>
      </c>
      <c r="E3558" s="275">
        <v>41767.034641203703</v>
      </c>
      <c r="F3558" s="276">
        <v>1</v>
      </c>
      <c r="G3558" s="243">
        <f t="shared" si="56"/>
        <v>136</v>
      </c>
      <c r="H3558" s="244"/>
      <c r="I3558" s="71" t="e">
        <f>IF(COUNTIF((rName rData),H3558),"","Name Error!")</f>
        <v>#NAME?</v>
      </c>
    </row>
    <row r="3559" spans="2:9" s="126" customFormat="1" ht="15" customHeight="1" x14ac:dyDescent="0.25">
      <c r="B3559" s="271" t="s">
        <v>333</v>
      </c>
      <c r="C3559" s="272" t="s">
        <v>332</v>
      </c>
      <c r="D3559" s="275" t="s">
        <v>216</v>
      </c>
      <c r="E3559" s="275">
        <v>41767.080266203702</v>
      </c>
      <c r="F3559" s="276">
        <v>2</v>
      </c>
      <c r="G3559" s="243">
        <f t="shared" si="56"/>
        <v>136</v>
      </c>
      <c r="H3559" s="244"/>
      <c r="I3559" s="71" t="e">
        <f>IF(COUNTIF((rName rData),H3559),"","Name Error!")</f>
        <v>#NAME?</v>
      </c>
    </row>
    <row r="3560" spans="2:9" s="126" customFormat="1" ht="15" customHeight="1" x14ac:dyDescent="0.25">
      <c r="B3560" s="271" t="s">
        <v>371</v>
      </c>
      <c r="C3560" s="272" t="s">
        <v>370</v>
      </c>
      <c r="D3560" s="275" t="s">
        <v>216</v>
      </c>
      <c r="E3560" s="275">
        <v>41767.27747685185</v>
      </c>
      <c r="F3560" s="276">
        <v>3</v>
      </c>
      <c r="G3560" s="243">
        <f t="shared" si="56"/>
        <v>136</v>
      </c>
      <c r="H3560" s="244"/>
      <c r="I3560" s="71" t="e">
        <f>IF(COUNTIF((rName rData),H3560),"","Name Error!")</f>
        <v>#NAME?</v>
      </c>
    </row>
    <row r="3561" spans="2:9" s="126" customFormat="1" ht="15" customHeight="1" x14ac:dyDescent="0.25">
      <c r="B3561" s="271" t="s">
        <v>356</v>
      </c>
      <c r="C3561" s="272" t="s">
        <v>355</v>
      </c>
      <c r="D3561" s="275" t="s">
        <v>216</v>
      </c>
      <c r="E3561" s="275">
        <v>41767.429710648146</v>
      </c>
      <c r="F3561" s="276">
        <v>3</v>
      </c>
      <c r="G3561" s="243">
        <f t="shared" si="56"/>
        <v>136</v>
      </c>
      <c r="H3561" s="244"/>
      <c r="I3561" s="71" t="e">
        <f>IF(COUNTIF((rName rData),H3561),"","Name Error!")</f>
        <v>#NAME?</v>
      </c>
    </row>
    <row r="3562" spans="2:9" s="126" customFormat="1" ht="15" customHeight="1" x14ac:dyDescent="0.25">
      <c r="B3562" s="271" t="s">
        <v>341</v>
      </c>
      <c r="C3562" s="272" t="s">
        <v>340</v>
      </c>
      <c r="D3562" s="275" t="s">
        <v>216</v>
      </c>
      <c r="E3562" s="275">
        <v>41767.434745370374</v>
      </c>
      <c r="F3562" s="276">
        <v>2</v>
      </c>
      <c r="G3562" s="243">
        <f t="shared" si="56"/>
        <v>136</v>
      </c>
      <c r="H3562" s="244"/>
      <c r="I3562" s="71" t="e">
        <f>IF(COUNTIF((rName rData),H3562),"","Name Error!")</f>
        <v>#NAME?</v>
      </c>
    </row>
    <row r="3563" spans="2:9" s="126" customFormat="1" ht="15" customHeight="1" x14ac:dyDescent="0.25">
      <c r="B3563" s="271" t="s">
        <v>358</v>
      </c>
      <c r="C3563" s="272" t="s">
        <v>357</v>
      </c>
      <c r="D3563" s="275" t="s">
        <v>216</v>
      </c>
      <c r="E3563" s="275">
        <v>41767.453680555554</v>
      </c>
      <c r="F3563" s="276">
        <v>4</v>
      </c>
      <c r="G3563" s="243">
        <f t="shared" si="56"/>
        <v>136</v>
      </c>
      <c r="H3563" s="244"/>
      <c r="I3563" s="71" t="e">
        <f>IF(COUNTIF((rName rData),H3563),"","Name Error!")</f>
        <v>#NAME?</v>
      </c>
    </row>
    <row r="3564" spans="2:9" s="126" customFormat="1" ht="15" customHeight="1" x14ac:dyDescent="0.25">
      <c r="B3564" s="271" t="s">
        <v>267</v>
      </c>
      <c r="C3564" s="272" t="s">
        <v>268</v>
      </c>
      <c r="D3564" s="275" t="s">
        <v>216</v>
      </c>
      <c r="E3564" s="275">
        <v>41767.573298611111</v>
      </c>
      <c r="F3564" s="276">
        <v>5</v>
      </c>
      <c r="G3564" s="243">
        <f t="shared" si="56"/>
        <v>136</v>
      </c>
      <c r="H3564" s="244"/>
      <c r="I3564" s="71" t="e">
        <f>IF(COUNTIF((rName rData),H3564),"","Name Error!")</f>
        <v>#NAME?</v>
      </c>
    </row>
    <row r="3565" spans="2:9" s="126" customFormat="1" ht="15" customHeight="1" x14ac:dyDescent="0.25">
      <c r="B3565" s="271" t="s">
        <v>337</v>
      </c>
      <c r="C3565" s="272" t="s">
        <v>336</v>
      </c>
      <c r="D3565" s="275" t="s">
        <v>216</v>
      </c>
      <c r="E3565" s="275">
        <v>41767.637604166666</v>
      </c>
      <c r="F3565" s="276">
        <v>1</v>
      </c>
      <c r="G3565" s="243">
        <f t="shared" si="56"/>
        <v>136</v>
      </c>
      <c r="H3565" s="244"/>
      <c r="I3565" s="71" t="e">
        <f>IF(COUNTIF((rName rData),H3565),"","Name Error!")</f>
        <v>#NAME?</v>
      </c>
    </row>
    <row r="3566" spans="2:9" s="126" customFormat="1" ht="15" customHeight="1" x14ac:dyDescent="0.25">
      <c r="B3566" s="271" t="s">
        <v>345</v>
      </c>
      <c r="C3566" s="272" t="s">
        <v>344</v>
      </c>
      <c r="D3566" s="275" t="s">
        <v>216</v>
      </c>
      <c r="E3566" s="275">
        <v>41767.786782407406</v>
      </c>
      <c r="F3566" s="276">
        <v>2</v>
      </c>
      <c r="G3566" s="243">
        <f t="shared" si="56"/>
        <v>136</v>
      </c>
      <c r="H3566" s="244"/>
      <c r="I3566" s="71" t="e">
        <f>IF(COUNTIF((rName rData),H3566),"","Name Error!")</f>
        <v>#NAME?</v>
      </c>
    </row>
    <row r="3567" spans="2:9" s="126" customFormat="1" ht="15" customHeight="1" x14ac:dyDescent="0.25">
      <c r="B3567" s="271" t="s">
        <v>350</v>
      </c>
      <c r="C3567" s="272" t="s">
        <v>349</v>
      </c>
      <c r="D3567" s="275" t="s">
        <v>216</v>
      </c>
      <c r="E3567" s="275">
        <v>41767.81486111111</v>
      </c>
      <c r="F3567" s="276">
        <v>2</v>
      </c>
      <c r="G3567" s="243">
        <f t="shared" si="56"/>
        <v>136</v>
      </c>
      <c r="H3567" s="244"/>
      <c r="I3567" s="71" t="e">
        <f>IF(COUNTIF((rName rData),H3567),"","Name Error!")</f>
        <v>#NAME?</v>
      </c>
    </row>
    <row r="3568" spans="2:9" s="126" customFormat="1" ht="15" customHeight="1" x14ac:dyDescent="0.25">
      <c r="B3568" s="271" t="s">
        <v>354</v>
      </c>
      <c r="C3568" s="272" t="s">
        <v>353</v>
      </c>
      <c r="D3568" s="275" t="s">
        <v>216</v>
      </c>
      <c r="E3568" s="275">
        <v>41767.867754629631</v>
      </c>
      <c r="F3568" s="276">
        <v>1</v>
      </c>
      <c r="G3568" s="243">
        <f t="shared" si="56"/>
        <v>136</v>
      </c>
      <c r="H3568" s="244"/>
      <c r="I3568" s="71" t="e">
        <f>IF(COUNTIF((rName rData),H3568),"","Name Error!")</f>
        <v>#NAME?</v>
      </c>
    </row>
    <row r="3569" spans="2:9" s="126" customFormat="1" ht="15" customHeight="1" x14ac:dyDescent="0.25">
      <c r="B3569" s="271" t="s">
        <v>320</v>
      </c>
      <c r="C3569" s="272" t="s">
        <v>319</v>
      </c>
      <c r="D3569" s="275" t="s">
        <v>216</v>
      </c>
      <c r="E3569" s="275">
        <v>41767.873541666668</v>
      </c>
      <c r="F3569" s="276">
        <v>2</v>
      </c>
      <c r="G3569" s="243">
        <f t="shared" si="56"/>
        <v>136</v>
      </c>
      <c r="H3569" s="244"/>
      <c r="I3569" s="71" t="e">
        <f>IF(COUNTIF((rName rData),H3569),"","Name Error!")</f>
        <v>#NAME?</v>
      </c>
    </row>
    <row r="3570" spans="2:9" s="126" customFormat="1" ht="15" customHeight="1" x14ac:dyDescent="0.25">
      <c r="B3570" s="271" t="s">
        <v>352</v>
      </c>
      <c r="C3570" s="272" t="s">
        <v>351</v>
      </c>
      <c r="D3570" s="275" t="s">
        <v>216</v>
      </c>
      <c r="E3570" s="275">
        <v>41767.874305555553</v>
      </c>
      <c r="F3570" s="276">
        <v>1</v>
      </c>
      <c r="G3570" s="243">
        <f t="shared" si="56"/>
        <v>136</v>
      </c>
      <c r="H3570" s="244"/>
      <c r="I3570" s="71" t="e">
        <f>IF(COUNTIF((rName rData),H3570),"","Name Error!")</f>
        <v>#NAME?</v>
      </c>
    </row>
    <row r="3571" spans="2:9" s="126" customFormat="1" ht="15" customHeight="1" x14ac:dyDescent="0.25">
      <c r="B3571" s="271" t="s">
        <v>331</v>
      </c>
      <c r="C3571" s="272" t="s">
        <v>330</v>
      </c>
      <c r="D3571" s="275" t="s">
        <v>216</v>
      </c>
      <c r="E3571" s="275">
        <v>41767.8983912037</v>
      </c>
      <c r="F3571" s="276">
        <v>1</v>
      </c>
      <c r="G3571" s="243">
        <f t="shared" si="56"/>
        <v>136</v>
      </c>
      <c r="H3571" s="244"/>
      <c r="I3571" s="71" t="e">
        <f>IF(COUNTIF((rName rData),H3571),"","Name Error!")</f>
        <v>#NAME?</v>
      </c>
    </row>
    <row r="3572" spans="2:9" s="126" customFormat="1" ht="15" customHeight="1" x14ac:dyDescent="0.25">
      <c r="B3572" s="271" t="s">
        <v>324</v>
      </c>
      <c r="C3572" s="272" t="s">
        <v>323</v>
      </c>
      <c r="D3572" s="275" t="s">
        <v>216</v>
      </c>
      <c r="E3572" s="275">
        <v>41768.012164351851</v>
      </c>
      <c r="F3572" s="276">
        <v>2</v>
      </c>
      <c r="G3572" s="243">
        <f t="shared" si="56"/>
        <v>136</v>
      </c>
      <c r="H3572" s="244"/>
      <c r="I3572" s="71" t="e">
        <f>IF(COUNTIF((rName rData),H3572),"","Name Error!")</f>
        <v>#NAME?</v>
      </c>
    </row>
    <row r="3573" spans="2:9" s="126" customFormat="1" ht="15" customHeight="1" x14ac:dyDescent="0.25">
      <c r="B3573" s="271" t="s">
        <v>320</v>
      </c>
      <c r="C3573" s="272" t="s">
        <v>319</v>
      </c>
      <c r="D3573" s="275" t="s">
        <v>216</v>
      </c>
      <c r="E3573" s="275">
        <v>41768.037581018521</v>
      </c>
      <c r="F3573" s="276">
        <v>6</v>
      </c>
      <c r="G3573" s="243">
        <f t="shared" si="56"/>
        <v>136</v>
      </c>
      <c r="H3573" s="244"/>
      <c r="I3573" s="71" t="e">
        <f>IF(COUNTIF((rName rData),H3573),"","Name Error!")</f>
        <v>#NAME?</v>
      </c>
    </row>
    <row r="3574" spans="2:9" s="126" customFormat="1" ht="15" customHeight="1" x14ac:dyDescent="0.25">
      <c r="B3574" s="271" t="s">
        <v>331</v>
      </c>
      <c r="C3574" s="272" t="s">
        <v>330</v>
      </c>
      <c r="D3574" s="275" t="s">
        <v>216</v>
      </c>
      <c r="E3574" s="275">
        <v>41768.045590277776</v>
      </c>
      <c r="F3574" s="276">
        <v>4</v>
      </c>
      <c r="G3574" s="243">
        <f t="shared" si="56"/>
        <v>136</v>
      </c>
      <c r="H3574" s="244"/>
      <c r="I3574" s="71" t="e">
        <f>IF(COUNTIF((rName rData),H3574),"","Name Error!")</f>
        <v>#NAME?</v>
      </c>
    </row>
    <row r="3575" spans="2:9" s="126" customFormat="1" ht="15" customHeight="1" x14ac:dyDescent="0.25">
      <c r="B3575" s="271" t="s">
        <v>339</v>
      </c>
      <c r="C3575" s="272" t="s">
        <v>338</v>
      </c>
      <c r="D3575" s="275" t="s">
        <v>216</v>
      </c>
      <c r="E3575" s="275">
        <v>41768.094722222224</v>
      </c>
      <c r="F3575" s="276">
        <v>2</v>
      </c>
      <c r="G3575" s="243">
        <f t="shared" si="56"/>
        <v>136</v>
      </c>
      <c r="H3575" s="244"/>
      <c r="I3575" s="71" t="e">
        <f>IF(COUNTIF((rName rData),H3575),"","Name Error!")</f>
        <v>#NAME?</v>
      </c>
    </row>
    <row r="3576" spans="2:9" s="126" customFormat="1" ht="15" customHeight="1" x14ac:dyDescent="0.25">
      <c r="B3576" s="271" t="s">
        <v>371</v>
      </c>
      <c r="C3576" s="272" t="s">
        <v>370</v>
      </c>
      <c r="D3576" s="275" t="s">
        <v>216</v>
      </c>
      <c r="E3576" s="275">
        <v>41768.186759259261</v>
      </c>
      <c r="F3576" s="276">
        <v>2</v>
      </c>
      <c r="G3576" s="243">
        <f t="shared" si="56"/>
        <v>136</v>
      </c>
      <c r="H3576" s="244"/>
      <c r="I3576" s="71" t="e">
        <f>IF(COUNTIF((rName rData),H3576),"","Name Error!")</f>
        <v>#NAME?</v>
      </c>
    </row>
    <row r="3577" spans="2:9" s="126" customFormat="1" ht="15" customHeight="1" x14ac:dyDescent="0.25">
      <c r="B3577" s="271" t="s">
        <v>358</v>
      </c>
      <c r="C3577" s="272" t="s">
        <v>357</v>
      </c>
      <c r="D3577" s="275" t="s">
        <v>216</v>
      </c>
      <c r="E3577" s="275">
        <v>41768.313969907409</v>
      </c>
      <c r="F3577" s="276">
        <v>4</v>
      </c>
      <c r="G3577" s="243">
        <f t="shared" si="56"/>
        <v>136</v>
      </c>
      <c r="H3577" s="244"/>
      <c r="I3577" s="71" t="e">
        <f>IF(COUNTIF((rName rData),H3577),"","Name Error!")</f>
        <v>#NAME?</v>
      </c>
    </row>
    <row r="3578" spans="2:9" s="126" customFormat="1" ht="15" customHeight="1" x14ac:dyDescent="0.25">
      <c r="B3578" s="271" t="s">
        <v>356</v>
      </c>
      <c r="C3578" s="272" t="s">
        <v>355</v>
      </c>
      <c r="D3578" s="275" t="s">
        <v>216</v>
      </c>
      <c r="E3578" s="275">
        <v>41768.347546296296</v>
      </c>
      <c r="F3578" s="276">
        <v>2</v>
      </c>
      <c r="G3578" s="243">
        <f t="shared" si="56"/>
        <v>136</v>
      </c>
      <c r="H3578" s="244"/>
      <c r="I3578" s="71" t="e">
        <f>IF(COUNTIF((rName rData),H3578),"","Name Error!")</f>
        <v>#NAME?</v>
      </c>
    </row>
    <row r="3579" spans="2:9" s="126" customFormat="1" ht="15" customHeight="1" x14ac:dyDescent="0.25">
      <c r="B3579" s="271" t="s">
        <v>350</v>
      </c>
      <c r="C3579" s="272" t="s">
        <v>349</v>
      </c>
      <c r="D3579" s="275" t="s">
        <v>216</v>
      </c>
      <c r="E3579" s="275">
        <v>41768.468599537038</v>
      </c>
      <c r="F3579" s="276">
        <v>2</v>
      </c>
      <c r="G3579" s="243">
        <f t="shared" si="56"/>
        <v>136</v>
      </c>
      <c r="H3579" s="244"/>
      <c r="I3579" s="71" t="e">
        <f>IF(COUNTIF((rName rData),H3579),"","Name Error!")</f>
        <v>#NAME?</v>
      </c>
    </row>
    <row r="3580" spans="2:9" s="126" customFormat="1" ht="15" customHeight="1" x14ac:dyDescent="0.25">
      <c r="B3580" s="271" t="s">
        <v>345</v>
      </c>
      <c r="C3580" s="272" t="s">
        <v>344</v>
      </c>
      <c r="D3580" s="275" t="s">
        <v>216</v>
      </c>
      <c r="E3580" s="275">
        <v>41768.474907407406</v>
      </c>
      <c r="F3580" s="276">
        <v>2</v>
      </c>
      <c r="G3580" s="243">
        <f t="shared" si="56"/>
        <v>136</v>
      </c>
      <c r="H3580" s="244"/>
      <c r="I3580" s="71" t="e">
        <f>IF(COUNTIF((rName rData),H3580),"","Name Error!")</f>
        <v>#NAME?</v>
      </c>
    </row>
    <row r="3581" spans="2:9" s="126" customFormat="1" ht="15" customHeight="1" x14ac:dyDescent="0.25">
      <c r="B3581" s="271" t="s">
        <v>267</v>
      </c>
      <c r="C3581" s="272" t="s">
        <v>268</v>
      </c>
      <c r="D3581" s="275" t="s">
        <v>216</v>
      </c>
      <c r="E3581" s="275">
        <v>41768.496921296297</v>
      </c>
      <c r="F3581" s="276">
        <v>2</v>
      </c>
      <c r="G3581" s="243">
        <f t="shared" si="56"/>
        <v>136</v>
      </c>
      <c r="H3581" s="244"/>
      <c r="I3581" s="71" t="e">
        <f>IF(COUNTIF((rName rData),H3581),"","Name Error!")</f>
        <v>#NAME?</v>
      </c>
    </row>
    <row r="3582" spans="2:9" s="126" customFormat="1" ht="15" customHeight="1" x14ac:dyDescent="0.25">
      <c r="B3582" s="271" t="s">
        <v>341</v>
      </c>
      <c r="C3582" s="272" t="s">
        <v>340</v>
      </c>
      <c r="D3582" s="275" t="s">
        <v>216</v>
      </c>
      <c r="E3582" s="275">
        <v>41768.620023148149</v>
      </c>
      <c r="F3582" s="276">
        <v>1</v>
      </c>
      <c r="G3582" s="243">
        <f t="shared" si="56"/>
        <v>136</v>
      </c>
      <c r="H3582" s="244"/>
      <c r="I3582" s="71" t="e">
        <f>IF(COUNTIF((rName rData),H3582),"","Name Error!")</f>
        <v>#NAME?</v>
      </c>
    </row>
    <row r="3583" spans="2:9" s="126" customFormat="1" ht="15" customHeight="1" x14ac:dyDescent="0.25">
      <c r="B3583" s="271" t="s">
        <v>352</v>
      </c>
      <c r="C3583" s="272" t="s">
        <v>351</v>
      </c>
      <c r="D3583" s="275" t="s">
        <v>216</v>
      </c>
      <c r="E3583" s="275">
        <v>41768.637812499997</v>
      </c>
      <c r="F3583" s="276">
        <v>1</v>
      </c>
      <c r="G3583" s="243">
        <f t="shared" si="56"/>
        <v>136</v>
      </c>
      <c r="H3583" s="244"/>
      <c r="I3583" s="71" t="e">
        <f>IF(COUNTIF((rName rData),H3583),"","Name Error!")</f>
        <v>#NAME?</v>
      </c>
    </row>
    <row r="3584" spans="2:9" s="126" customFormat="1" ht="15" customHeight="1" x14ac:dyDescent="0.25">
      <c r="B3584" s="271" t="s">
        <v>322</v>
      </c>
      <c r="C3584" s="272" t="s">
        <v>321</v>
      </c>
      <c r="D3584" s="275" t="s">
        <v>216</v>
      </c>
      <c r="E3584" s="275">
        <v>41768.868298611109</v>
      </c>
      <c r="F3584" s="276">
        <v>2</v>
      </c>
      <c r="G3584" s="243">
        <f t="shared" si="56"/>
        <v>136</v>
      </c>
      <c r="H3584" s="244"/>
      <c r="I3584" s="71" t="e">
        <f>IF(COUNTIF((rName rData),H3584),"","Name Error!")</f>
        <v>#NAME?</v>
      </c>
    </row>
    <row r="3585" spans="2:9" s="126" customFormat="1" ht="15" customHeight="1" x14ac:dyDescent="0.25">
      <c r="B3585" s="271" t="s">
        <v>335</v>
      </c>
      <c r="C3585" s="272" t="s">
        <v>334</v>
      </c>
      <c r="D3585" s="275" t="s">
        <v>216</v>
      </c>
      <c r="E3585" s="275">
        <v>41768.873194444444</v>
      </c>
      <c r="F3585" s="276">
        <v>1</v>
      </c>
      <c r="G3585" s="243">
        <f t="shared" si="56"/>
        <v>136</v>
      </c>
      <c r="H3585" s="244"/>
      <c r="I3585" s="71" t="e">
        <f>IF(COUNTIF((rName rData),H3585),"","Name Error!")</f>
        <v>#NAME?</v>
      </c>
    </row>
    <row r="3586" spans="2:9" s="126" customFormat="1" ht="15" customHeight="1" x14ac:dyDescent="0.25">
      <c r="B3586" s="271" t="s">
        <v>354</v>
      </c>
      <c r="C3586" s="272" t="s">
        <v>353</v>
      </c>
      <c r="D3586" s="275" t="s">
        <v>216</v>
      </c>
      <c r="E3586" s="275">
        <v>41768.92</v>
      </c>
      <c r="F3586" s="276">
        <v>1</v>
      </c>
      <c r="G3586" s="243">
        <f t="shared" si="56"/>
        <v>136</v>
      </c>
      <c r="H3586" s="244"/>
      <c r="I3586" s="71" t="e">
        <f>IF(COUNTIF((rName rData),H3586),"","Name Error!")</f>
        <v>#NAME?</v>
      </c>
    </row>
    <row r="3587" spans="2:9" s="126" customFormat="1" ht="15" customHeight="1" x14ac:dyDescent="0.25">
      <c r="B3587" s="271" t="s">
        <v>365</v>
      </c>
      <c r="C3587" s="272" t="s">
        <v>364</v>
      </c>
      <c r="D3587" s="275" t="s">
        <v>216</v>
      </c>
      <c r="E3587" s="275">
        <v>41768.923506944448</v>
      </c>
      <c r="F3587" s="276">
        <v>1</v>
      </c>
      <c r="G3587" s="243">
        <f t="shared" si="56"/>
        <v>136</v>
      </c>
      <c r="H3587" s="244"/>
      <c r="I3587" s="71" t="e">
        <f>IF(COUNTIF((rName rData),H3587),"","Name Error!")</f>
        <v>#NAME?</v>
      </c>
    </row>
    <row r="3588" spans="2:9" s="126" customFormat="1" ht="15" customHeight="1" x14ac:dyDescent="0.25">
      <c r="B3588" s="271" t="s">
        <v>337</v>
      </c>
      <c r="C3588" s="272" t="s">
        <v>336</v>
      </c>
      <c r="D3588" s="275" t="s">
        <v>216</v>
      </c>
      <c r="E3588" s="275">
        <v>41768.93849537037</v>
      </c>
      <c r="F3588" s="276">
        <v>1</v>
      </c>
      <c r="G3588" s="243">
        <f t="shared" si="56"/>
        <v>136</v>
      </c>
      <c r="H3588" s="244"/>
      <c r="I3588" s="71" t="e">
        <f>IF(COUNTIF((rName rData),H3588),"","Name Error!")</f>
        <v>#NAME?</v>
      </c>
    </row>
    <row r="3589" spans="2:9" s="126" customFormat="1" ht="15" customHeight="1" x14ac:dyDescent="0.25">
      <c r="B3589" s="271" t="s">
        <v>333</v>
      </c>
      <c r="C3589" s="272" t="s">
        <v>332</v>
      </c>
      <c r="D3589" s="275" t="s">
        <v>216</v>
      </c>
      <c r="E3589" s="275">
        <v>41768.945833333331</v>
      </c>
      <c r="F3589" s="276">
        <v>1</v>
      </c>
      <c r="G3589" s="243">
        <f t="shared" si="56"/>
        <v>136</v>
      </c>
      <c r="H3589" s="244"/>
      <c r="I3589" s="71" t="e">
        <f>IF(COUNTIF((rName rData),H3589),"","Name Error!")</f>
        <v>#NAME?</v>
      </c>
    </row>
    <row r="3590" spans="2:9" s="126" customFormat="1" ht="15" customHeight="1" x14ac:dyDescent="0.25">
      <c r="B3590" s="271" t="s">
        <v>267</v>
      </c>
      <c r="C3590" s="272" t="s">
        <v>268</v>
      </c>
      <c r="D3590" s="275" t="s">
        <v>216</v>
      </c>
      <c r="E3590" s="275">
        <v>41769.007719907408</v>
      </c>
      <c r="F3590" s="276">
        <v>7</v>
      </c>
      <c r="G3590" s="243">
        <f t="shared" si="56"/>
        <v>137</v>
      </c>
      <c r="H3590" s="244"/>
      <c r="I3590" s="71" t="e">
        <f>IF(COUNTIF((rName rData),H3590),"","Name Error!")</f>
        <v>#NAME?</v>
      </c>
    </row>
    <row r="3591" spans="2:9" s="126" customFormat="1" ht="15" customHeight="1" x14ac:dyDescent="0.25">
      <c r="B3591" s="271" t="s">
        <v>371</v>
      </c>
      <c r="C3591" s="272" t="s">
        <v>370</v>
      </c>
      <c r="D3591" s="275" t="s">
        <v>216</v>
      </c>
      <c r="E3591" s="275">
        <v>41769.016643518517</v>
      </c>
      <c r="F3591" s="276">
        <v>3</v>
      </c>
      <c r="G3591" s="243">
        <f t="shared" si="56"/>
        <v>137</v>
      </c>
      <c r="H3591" s="244"/>
      <c r="I3591" s="71" t="e">
        <f>IF(COUNTIF((rName rData),H3591),"","Name Error!")</f>
        <v>#NAME?</v>
      </c>
    </row>
    <row r="3592" spans="2:9" s="126" customFormat="1" ht="15" customHeight="1" x14ac:dyDescent="0.25">
      <c r="B3592" s="271" t="s">
        <v>331</v>
      </c>
      <c r="C3592" s="272" t="s">
        <v>330</v>
      </c>
      <c r="D3592" s="275" t="s">
        <v>216</v>
      </c>
      <c r="E3592" s="275">
        <v>41769.031828703701</v>
      </c>
      <c r="F3592" s="276">
        <v>1</v>
      </c>
      <c r="G3592" s="243">
        <f t="shared" si="56"/>
        <v>137</v>
      </c>
      <c r="H3592" s="244"/>
      <c r="I3592" s="71" t="e">
        <f>IF(COUNTIF((rName rData),H3592),"","Name Error!")</f>
        <v>#NAME?</v>
      </c>
    </row>
    <row r="3593" spans="2:9" s="126" customFormat="1" ht="15" customHeight="1" x14ac:dyDescent="0.25">
      <c r="B3593" s="271" t="s">
        <v>324</v>
      </c>
      <c r="C3593" s="272" t="s">
        <v>323</v>
      </c>
      <c r="D3593" s="275" t="s">
        <v>216</v>
      </c>
      <c r="E3593" s="275">
        <v>41769.136331018519</v>
      </c>
      <c r="F3593" s="276">
        <v>2</v>
      </c>
      <c r="G3593" s="243">
        <f t="shared" si="56"/>
        <v>137</v>
      </c>
      <c r="H3593" s="244"/>
      <c r="I3593" s="71" t="e">
        <f>IF(COUNTIF((rName rData),H3593),"","Name Error!")</f>
        <v>#NAME?</v>
      </c>
    </row>
    <row r="3594" spans="2:9" s="126" customFormat="1" ht="15" customHeight="1" x14ac:dyDescent="0.25">
      <c r="B3594" s="271" t="s">
        <v>333</v>
      </c>
      <c r="C3594" s="272" t="s">
        <v>332</v>
      </c>
      <c r="D3594" s="275" t="s">
        <v>216</v>
      </c>
      <c r="E3594" s="275">
        <v>41769.154074074075</v>
      </c>
      <c r="F3594" s="276">
        <v>1</v>
      </c>
      <c r="G3594" s="243">
        <f t="shared" ref="G3594:G3657" si="57">TRUNC((E3594-start)/7)+1</f>
        <v>137</v>
      </c>
      <c r="H3594" s="244"/>
      <c r="I3594" s="71" t="e">
        <f>IF(COUNTIF((rName rData),H3594),"","Name Error!")</f>
        <v>#NAME?</v>
      </c>
    </row>
    <row r="3595" spans="2:9" s="126" customFormat="1" ht="15" customHeight="1" x14ac:dyDescent="0.25">
      <c r="B3595" s="271" t="s">
        <v>358</v>
      </c>
      <c r="C3595" s="272" t="s">
        <v>357</v>
      </c>
      <c r="D3595" s="275" t="s">
        <v>216</v>
      </c>
      <c r="E3595" s="275">
        <v>41769.204583333332</v>
      </c>
      <c r="F3595" s="276">
        <v>1</v>
      </c>
      <c r="G3595" s="243">
        <f t="shared" si="57"/>
        <v>137</v>
      </c>
      <c r="H3595" s="244"/>
      <c r="I3595" s="71" t="e">
        <f>IF(COUNTIF((rName rData),H3595),"","Name Error!")</f>
        <v>#NAME?</v>
      </c>
    </row>
    <row r="3596" spans="2:9" s="126" customFormat="1" ht="15" customHeight="1" x14ac:dyDescent="0.25">
      <c r="B3596" s="271" t="s">
        <v>352</v>
      </c>
      <c r="C3596" s="272" t="s">
        <v>351</v>
      </c>
      <c r="D3596" s="275" t="s">
        <v>216</v>
      </c>
      <c r="E3596" s="275">
        <v>41769.254548611112</v>
      </c>
      <c r="F3596" s="276">
        <v>2</v>
      </c>
      <c r="G3596" s="243">
        <f t="shared" si="57"/>
        <v>137</v>
      </c>
      <c r="H3596" s="244"/>
      <c r="I3596" s="71" t="e">
        <f>IF(COUNTIF((rName rData),H3596),"","Name Error!")</f>
        <v>#NAME?</v>
      </c>
    </row>
    <row r="3597" spans="2:9" s="126" customFormat="1" ht="15" customHeight="1" x14ac:dyDescent="0.25">
      <c r="B3597" s="271" t="s">
        <v>354</v>
      </c>
      <c r="C3597" s="272" t="s">
        <v>353</v>
      </c>
      <c r="D3597" s="275" t="s">
        <v>216</v>
      </c>
      <c r="E3597" s="275">
        <v>41769.258402777778</v>
      </c>
      <c r="F3597" s="276">
        <v>1</v>
      </c>
      <c r="G3597" s="243">
        <f t="shared" si="57"/>
        <v>137</v>
      </c>
      <c r="H3597" s="244"/>
      <c r="I3597" s="71" t="e">
        <f>IF(COUNTIF((rName rData),H3597),"","Name Error!")</f>
        <v>#NAME?</v>
      </c>
    </row>
    <row r="3598" spans="2:9" s="126" customFormat="1" ht="15" customHeight="1" x14ac:dyDescent="0.25">
      <c r="B3598" s="271" t="s">
        <v>322</v>
      </c>
      <c r="C3598" s="272" t="s">
        <v>321</v>
      </c>
      <c r="D3598" s="275" t="s">
        <v>216</v>
      </c>
      <c r="E3598" s="275">
        <v>41769.305868055555</v>
      </c>
      <c r="F3598" s="276">
        <v>2</v>
      </c>
      <c r="G3598" s="243">
        <f t="shared" si="57"/>
        <v>137</v>
      </c>
      <c r="H3598" s="244"/>
      <c r="I3598" s="71" t="e">
        <f>IF(COUNTIF((rName rData),H3598),"","Name Error!")</f>
        <v>#NAME?</v>
      </c>
    </row>
    <row r="3599" spans="2:9" s="126" customFormat="1" ht="15" customHeight="1" x14ac:dyDescent="0.25">
      <c r="B3599" s="271" t="s">
        <v>337</v>
      </c>
      <c r="C3599" s="272" t="s">
        <v>336</v>
      </c>
      <c r="D3599" s="275" t="s">
        <v>216</v>
      </c>
      <c r="E3599" s="275">
        <v>41769.34584490741</v>
      </c>
      <c r="F3599" s="276">
        <v>2</v>
      </c>
      <c r="G3599" s="243">
        <f t="shared" si="57"/>
        <v>137</v>
      </c>
      <c r="H3599" s="244"/>
      <c r="I3599" s="71" t="e">
        <f>IF(COUNTIF((rName rData),H3599),"","Name Error!")</f>
        <v>#NAME?</v>
      </c>
    </row>
    <row r="3600" spans="2:9" s="126" customFormat="1" ht="15" customHeight="1" x14ac:dyDescent="0.25">
      <c r="B3600" s="271" t="s">
        <v>350</v>
      </c>
      <c r="C3600" s="272" t="s">
        <v>349</v>
      </c>
      <c r="D3600" s="275" t="s">
        <v>216</v>
      </c>
      <c r="E3600" s="275">
        <v>41769.375486111108</v>
      </c>
      <c r="F3600" s="276">
        <v>1</v>
      </c>
      <c r="G3600" s="243">
        <f t="shared" si="57"/>
        <v>137</v>
      </c>
      <c r="H3600" s="244"/>
      <c r="I3600" s="71" t="e">
        <f>IF(COUNTIF((rName rData),H3600),"","Name Error!")</f>
        <v>#NAME?</v>
      </c>
    </row>
    <row r="3601" spans="2:9" s="126" customFormat="1" ht="15" customHeight="1" x14ac:dyDescent="0.25">
      <c r="B3601" s="271" t="s">
        <v>345</v>
      </c>
      <c r="C3601" s="272" t="s">
        <v>344</v>
      </c>
      <c r="D3601" s="275" t="s">
        <v>216</v>
      </c>
      <c r="E3601" s="275">
        <v>41769.37871527778</v>
      </c>
      <c r="F3601" s="276">
        <v>1</v>
      </c>
      <c r="G3601" s="243">
        <f t="shared" si="57"/>
        <v>137</v>
      </c>
      <c r="H3601" s="244"/>
      <c r="I3601" s="71" t="e">
        <f>IF(COUNTIF((rName rData),H3601),"","Name Error!")</f>
        <v>#NAME?</v>
      </c>
    </row>
    <row r="3602" spans="2:9" s="126" customFormat="1" ht="15" customHeight="1" x14ac:dyDescent="0.25">
      <c r="B3602" s="271" t="s">
        <v>362</v>
      </c>
      <c r="C3602" s="272" t="s">
        <v>361</v>
      </c>
      <c r="D3602" s="275" t="s">
        <v>216</v>
      </c>
      <c r="E3602" s="275">
        <v>41769.382743055554</v>
      </c>
      <c r="F3602" s="276">
        <v>3</v>
      </c>
      <c r="G3602" s="243">
        <f t="shared" si="57"/>
        <v>137</v>
      </c>
      <c r="H3602" s="244"/>
      <c r="I3602" s="71" t="e">
        <f>IF(COUNTIF((rName rData),H3602),"","Name Error!")</f>
        <v>#NAME?</v>
      </c>
    </row>
    <row r="3603" spans="2:9" s="126" customFormat="1" ht="15" customHeight="1" x14ac:dyDescent="0.25">
      <c r="B3603" s="271" t="s">
        <v>365</v>
      </c>
      <c r="C3603" s="272" t="s">
        <v>364</v>
      </c>
      <c r="D3603" s="275" t="s">
        <v>216</v>
      </c>
      <c r="E3603" s="275">
        <v>41769.410381944443</v>
      </c>
      <c r="F3603" s="276">
        <v>1</v>
      </c>
      <c r="G3603" s="243">
        <f t="shared" si="57"/>
        <v>137</v>
      </c>
      <c r="H3603" s="244"/>
      <c r="I3603" s="71" t="e">
        <f>IF(COUNTIF((rName rData),H3603),"","Name Error!")</f>
        <v>#NAME?</v>
      </c>
    </row>
    <row r="3604" spans="2:9" s="126" customFormat="1" ht="15" customHeight="1" x14ac:dyDescent="0.25">
      <c r="B3604" s="271" t="s">
        <v>267</v>
      </c>
      <c r="C3604" s="272" t="s">
        <v>268</v>
      </c>
      <c r="D3604" s="275" t="s">
        <v>216</v>
      </c>
      <c r="E3604" s="275">
        <v>41770.03634259259</v>
      </c>
      <c r="F3604" s="276">
        <v>1</v>
      </c>
      <c r="G3604" s="243">
        <f t="shared" si="57"/>
        <v>137</v>
      </c>
      <c r="H3604" s="244"/>
      <c r="I3604" s="71" t="e">
        <f>IF(COUNTIF((rName rData),H3604),"","Name Error!")</f>
        <v>#NAME?</v>
      </c>
    </row>
    <row r="3605" spans="2:9" s="126" customFormat="1" ht="15" customHeight="1" x14ac:dyDescent="0.25">
      <c r="B3605" s="271" t="s">
        <v>350</v>
      </c>
      <c r="C3605" s="272" t="s">
        <v>349</v>
      </c>
      <c r="D3605" s="275" t="s">
        <v>216</v>
      </c>
      <c r="E3605" s="275">
        <v>41770.436006944445</v>
      </c>
      <c r="F3605" s="276">
        <v>2</v>
      </c>
      <c r="G3605" s="243">
        <f t="shared" si="57"/>
        <v>137</v>
      </c>
      <c r="H3605" s="244"/>
      <c r="I3605" s="71" t="e">
        <f>IF(COUNTIF((rName rData),H3605),"","Name Error!")</f>
        <v>#NAME?</v>
      </c>
    </row>
    <row r="3606" spans="2:9" s="126" customFormat="1" ht="15" customHeight="1" x14ac:dyDescent="0.25">
      <c r="B3606" s="271" t="s">
        <v>358</v>
      </c>
      <c r="C3606" s="272" t="s">
        <v>357</v>
      </c>
      <c r="D3606" s="275" t="s">
        <v>216</v>
      </c>
      <c r="E3606" s="275">
        <v>41770.633379629631</v>
      </c>
      <c r="F3606" s="276">
        <v>4</v>
      </c>
      <c r="G3606" s="243">
        <f t="shared" si="57"/>
        <v>137</v>
      </c>
      <c r="H3606" s="244"/>
      <c r="I3606" s="71" t="e">
        <f>IF(COUNTIF((rName rData),H3606),"","Name Error!")</f>
        <v>#NAME?</v>
      </c>
    </row>
    <row r="3607" spans="2:9" s="126" customFormat="1" ht="15" customHeight="1" x14ac:dyDescent="0.25">
      <c r="B3607" s="271" t="s">
        <v>371</v>
      </c>
      <c r="C3607" s="272" t="s">
        <v>370</v>
      </c>
      <c r="D3607" s="275" t="s">
        <v>216</v>
      </c>
      <c r="E3607" s="275">
        <v>41770.91615740741</v>
      </c>
      <c r="F3607" s="276">
        <v>1</v>
      </c>
      <c r="G3607" s="243">
        <f t="shared" si="57"/>
        <v>137</v>
      </c>
      <c r="H3607" s="244"/>
      <c r="I3607" s="71" t="e">
        <f>IF(COUNTIF((rName rData),H3607),"","Name Error!")</f>
        <v>#NAME?</v>
      </c>
    </row>
    <row r="3608" spans="2:9" s="126" customFormat="1" ht="15" customHeight="1" x14ac:dyDescent="0.25">
      <c r="B3608" s="271" t="s">
        <v>335</v>
      </c>
      <c r="C3608" s="272" t="s">
        <v>334</v>
      </c>
      <c r="D3608" s="275" t="s">
        <v>216</v>
      </c>
      <c r="E3608" s="275">
        <v>41771.297476851854</v>
      </c>
      <c r="F3608" s="276">
        <v>1</v>
      </c>
      <c r="G3608" s="243">
        <f t="shared" si="57"/>
        <v>137</v>
      </c>
      <c r="H3608" s="244"/>
      <c r="I3608" s="71" t="e">
        <f>IF(COUNTIF((rName rData),H3608),"","Name Error!")</f>
        <v>#NAME?</v>
      </c>
    </row>
    <row r="3609" spans="2:9" s="126" customFormat="1" ht="15" customHeight="1" x14ac:dyDescent="0.25">
      <c r="B3609" s="271" t="s">
        <v>341</v>
      </c>
      <c r="C3609" s="272" t="s">
        <v>340</v>
      </c>
      <c r="D3609" s="275" t="s">
        <v>216</v>
      </c>
      <c r="E3609" s="275">
        <v>41771.322488425925</v>
      </c>
      <c r="F3609" s="276">
        <v>1</v>
      </c>
      <c r="G3609" s="243">
        <f t="shared" si="57"/>
        <v>137</v>
      </c>
      <c r="H3609" s="244"/>
      <c r="I3609" s="71" t="e">
        <f>IF(COUNTIF((rName rData),H3609),"","Name Error!")</f>
        <v>#NAME?</v>
      </c>
    </row>
    <row r="3610" spans="2:9" s="126" customFormat="1" ht="15" customHeight="1" x14ac:dyDescent="0.25">
      <c r="B3610" s="271" t="s">
        <v>331</v>
      </c>
      <c r="C3610" s="272" t="s">
        <v>330</v>
      </c>
      <c r="D3610" s="275" t="s">
        <v>216</v>
      </c>
      <c r="E3610" s="275">
        <v>41771.570162037038</v>
      </c>
      <c r="F3610" s="276">
        <v>2</v>
      </c>
      <c r="G3610" s="243">
        <f t="shared" si="57"/>
        <v>137</v>
      </c>
      <c r="H3610" s="244"/>
      <c r="I3610" s="71" t="e">
        <f>IF(COUNTIF((rName rData),H3610),"","Name Error!")</f>
        <v>#NAME?</v>
      </c>
    </row>
    <row r="3611" spans="2:9" s="126" customFormat="1" ht="15" customHeight="1" x14ac:dyDescent="0.25">
      <c r="B3611" s="271" t="s">
        <v>337</v>
      </c>
      <c r="C3611" s="272" t="s">
        <v>336</v>
      </c>
      <c r="D3611" s="275" t="s">
        <v>216</v>
      </c>
      <c r="E3611" s="275">
        <v>41771.762592592589</v>
      </c>
      <c r="F3611" s="276">
        <v>1</v>
      </c>
      <c r="G3611" s="243">
        <f t="shared" si="57"/>
        <v>137</v>
      </c>
      <c r="H3611" s="244"/>
      <c r="I3611" s="71" t="e">
        <f>IF(COUNTIF((rName rData),H3611),"","Name Error!")</f>
        <v>#NAME?</v>
      </c>
    </row>
    <row r="3612" spans="2:9" s="126" customFormat="1" ht="15" customHeight="1" x14ac:dyDescent="0.25">
      <c r="B3612" s="271" t="s">
        <v>320</v>
      </c>
      <c r="C3612" s="272" t="s">
        <v>319</v>
      </c>
      <c r="D3612" s="275" t="s">
        <v>216</v>
      </c>
      <c r="E3612" s="275">
        <v>41771.777106481481</v>
      </c>
      <c r="F3612" s="276">
        <v>1</v>
      </c>
      <c r="G3612" s="243">
        <f t="shared" si="57"/>
        <v>137</v>
      </c>
      <c r="H3612" s="244"/>
      <c r="I3612" s="71" t="e">
        <f>IF(COUNTIF((rName rData),H3612),"","Name Error!")</f>
        <v>#NAME?</v>
      </c>
    </row>
    <row r="3613" spans="2:9" s="126" customFormat="1" ht="15" customHeight="1" x14ac:dyDescent="0.25">
      <c r="B3613" s="271" t="s">
        <v>358</v>
      </c>
      <c r="C3613" s="272" t="s">
        <v>357</v>
      </c>
      <c r="D3613" s="275" t="s">
        <v>216</v>
      </c>
      <c r="E3613" s="275">
        <v>41772.390520833331</v>
      </c>
      <c r="F3613" s="276">
        <v>2</v>
      </c>
      <c r="G3613" s="243">
        <f t="shared" si="57"/>
        <v>137</v>
      </c>
      <c r="H3613" s="244"/>
      <c r="I3613" s="71" t="e">
        <f>IF(COUNTIF((rName rData),H3613),"","Name Error!")</f>
        <v>#NAME?</v>
      </c>
    </row>
    <row r="3614" spans="2:9" s="126" customFormat="1" ht="15" customHeight="1" x14ac:dyDescent="0.25">
      <c r="B3614" s="271" t="s">
        <v>324</v>
      </c>
      <c r="C3614" s="272" t="s">
        <v>323</v>
      </c>
      <c r="D3614" s="275" t="s">
        <v>216</v>
      </c>
      <c r="E3614" s="275">
        <v>41772.519884259258</v>
      </c>
      <c r="F3614" s="276">
        <v>1</v>
      </c>
      <c r="G3614" s="243">
        <f t="shared" si="57"/>
        <v>137</v>
      </c>
      <c r="H3614" s="244"/>
      <c r="I3614" s="71" t="e">
        <f>IF(COUNTIF((rName rData),H3614),"","Name Error!")</f>
        <v>#NAME?</v>
      </c>
    </row>
    <row r="3615" spans="2:9" s="126" customFormat="1" ht="15" customHeight="1" x14ac:dyDescent="0.25">
      <c r="B3615" s="271" t="s">
        <v>345</v>
      </c>
      <c r="C3615" s="272" t="s">
        <v>344</v>
      </c>
      <c r="D3615" s="275" t="s">
        <v>216</v>
      </c>
      <c r="E3615" s="275">
        <v>41772.546203703707</v>
      </c>
      <c r="F3615" s="276">
        <v>1</v>
      </c>
      <c r="G3615" s="243">
        <f t="shared" si="57"/>
        <v>137</v>
      </c>
      <c r="H3615" s="244"/>
      <c r="I3615" s="71" t="e">
        <f>IF(COUNTIF((rName rData),H3615),"","Name Error!")</f>
        <v>#NAME?</v>
      </c>
    </row>
    <row r="3616" spans="2:9" s="126" customFormat="1" ht="15" customHeight="1" x14ac:dyDescent="0.25">
      <c r="B3616" s="271" t="s">
        <v>354</v>
      </c>
      <c r="C3616" s="272" t="s">
        <v>353</v>
      </c>
      <c r="D3616" s="275" t="s">
        <v>216</v>
      </c>
      <c r="E3616" s="275">
        <v>41772.687581018516</v>
      </c>
      <c r="F3616" s="276">
        <v>1</v>
      </c>
      <c r="G3616" s="243">
        <f t="shared" si="57"/>
        <v>137</v>
      </c>
      <c r="H3616" s="244"/>
      <c r="I3616" s="71" t="e">
        <f>IF(COUNTIF((rName rData),H3616),"","Name Error!")</f>
        <v>#NAME?</v>
      </c>
    </row>
    <row r="3617" spans="2:9" s="126" customFormat="1" ht="15" customHeight="1" x14ac:dyDescent="0.25">
      <c r="B3617" s="271" t="s">
        <v>365</v>
      </c>
      <c r="C3617" s="272" t="s">
        <v>364</v>
      </c>
      <c r="D3617" s="275" t="s">
        <v>216</v>
      </c>
      <c r="E3617" s="275">
        <v>41772.90116898148</v>
      </c>
      <c r="F3617" s="276">
        <v>1</v>
      </c>
      <c r="G3617" s="243">
        <f t="shared" si="57"/>
        <v>137</v>
      </c>
      <c r="H3617" s="244"/>
      <c r="I3617" s="71" t="e">
        <f>IF(COUNTIF((rName rData),H3617),"","Name Error!")</f>
        <v>#NAME?</v>
      </c>
    </row>
    <row r="3618" spans="2:9" s="126" customFormat="1" ht="15" customHeight="1" x14ac:dyDescent="0.25">
      <c r="B3618" s="271" t="s">
        <v>324</v>
      </c>
      <c r="C3618" s="272" t="s">
        <v>323</v>
      </c>
      <c r="D3618" s="275" t="s">
        <v>216</v>
      </c>
      <c r="E3618" s="275">
        <v>41773.518958333334</v>
      </c>
      <c r="F3618" s="276">
        <v>1</v>
      </c>
      <c r="G3618" s="243">
        <f t="shared" si="57"/>
        <v>137</v>
      </c>
      <c r="H3618" s="244"/>
      <c r="I3618" s="71" t="e">
        <f>IF(COUNTIF((rName rData),H3618),"","Name Error!")</f>
        <v>#NAME?</v>
      </c>
    </row>
    <row r="3619" spans="2:9" s="126" customFormat="1" ht="15" customHeight="1" x14ac:dyDescent="0.25">
      <c r="B3619" s="271" t="s">
        <v>341</v>
      </c>
      <c r="C3619" s="272" t="s">
        <v>340</v>
      </c>
      <c r="D3619" s="275" t="s">
        <v>216</v>
      </c>
      <c r="E3619" s="275">
        <v>41773.551412037035</v>
      </c>
      <c r="F3619" s="276">
        <v>1</v>
      </c>
      <c r="G3619" s="243">
        <f t="shared" si="57"/>
        <v>137</v>
      </c>
      <c r="H3619" s="244"/>
      <c r="I3619" s="71" t="e">
        <f>IF(COUNTIF((rName rData),H3619),"","Name Error!")</f>
        <v>#NAME?</v>
      </c>
    </row>
    <row r="3620" spans="2:9" s="126" customFormat="1" ht="15" customHeight="1" x14ac:dyDescent="0.25">
      <c r="B3620" s="271" t="s">
        <v>267</v>
      </c>
      <c r="C3620" s="272" t="s">
        <v>268</v>
      </c>
      <c r="D3620" s="275" t="s">
        <v>216</v>
      </c>
      <c r="E3620" s="275">
        <v>41773.561331018522</v>
      </c>
      <c r="F3620" s="276">
        <v>1</v>
      </c>
      <c r="G3620" s="243">
        <f t="shared" si="57"/>
        <v>137</v>
      </c>
      <c r="H3620" s="244"/>
      <c r="I3620" s="71" t="e">
        <f>IF(COUNTIF((rName rData),H3620),"","Name Error!")</f>
        <v>#NAME?</v>
      </c>
    </row>
    <row r="3621" spans="2:9" s="126" customFormat="1" ht="15" customHeight="1" x14ac:dyDescent="0.25">
      <c r="B3621" s="271" t="s">
        <v>371</v>
      </c>
      <c r="C3621" s="272" t="s">
        <v>370</v>
      </c>
      <c r="D3621" s="275" t="s">
        <v>216</v>
      </c>
      <c r="E3621" s="275">
        <v>41774.334224537037</v>
      </c>
      <c r="F3621" s="276">
        <v>1</v>
      </c>
      <c r="G3621" s="243">
        <f t="shared" si="57"/>
        <v>137</v>
      </c>
      <c r="H3621" s="244"/>
      <c r="I3621" s="71" t="e">
        <f>IF(COUNTIF((rName rData),H3621),"","Name Error!")</f>
        <v>#NAME?</v>
      </c>
    </row>
    <row r="3622" spans="2:9" s="126" customFormat="1" ht="15" customHeight="1" x14ac:dyDescent="0.25">
      <c r="B3622" s="271" t="s">
        <v>267</v>
      </c>
      <c r="C3622" s="272" t="s">
        <v>268</v>
      </c>
      <c r="D3622" s="275" t="s">
        <v>216</v>
      </c>
      <c r="E3622" s="275">
        <v>41774.519884259258</v>
      </c>
      <c r="F3622" s="276">
        <v>1</v>
      </c>
      <c r="G3622" s="243">
        <f t="shared" si="57"/>
        <v>137</v>
      </c>
      <c r="H3622" s="244"/>
      <c r="I3622" s="71" t="e">
        <f>IF(COUNTIF((rName rData),H3622),"","Name Error!")</f>
        <v>#NAME?</v>
      </c>
    </row>
    <row r="3623" spans="2:9" s="126" customFormat="1" ht="15" customHeight="1" x14ac:dyDescent="0.25">
      <c r="B3623" s="271" t="s">
        <v>324</v>
      </c>
      <c r="C3623" s="272" t="s">
        <v>323</v>
      </c>
      <c r="D3623" s="275" t="s">
        <v>216</v>
      </c>
      <c r="E3623" s="275">
        <v>41774.539502314816</v>
      </c>
      <c r="F3623" s="276">
        <v>1</v>
      </c>
      <c r="G3623" s="243">
        <f t="shared" si="57"/>
        <v>137</v>
      </c>
      <c r="H3623" s="244"/>
      <c r="I3623" s="71" t="e">
        <f>IF(COUNTIF((rName rData),H3623),"","Name Error!")</f>
        <v>#NAME?</v>
      </c>
    </row>
    <row r="3624" spans="2:9" s="126" customFormat="1" ht="15" customHeight="1" x14ac:dyDescent="0.25">
      <c r="B3624" s="271" t="s">
        <v>337</v>
      </c>
      <c r="C3624" s="272" t="s">
        <v>336</v>
      </c>
      <c r="D3624" s="275" t="s">
        <v>216</v>
      </c>
      <c r="E3624" s="275">
        <v>41774.666203703702</v>
      </c>
      <c r="F3624" s="276">
        <v>1</v>
      </c>
      <c r="G3624" s="243">
        <f t="shared" si="57"/>
        <v>137</v>
      </c>
      <c r="H3624" s="244"/>
      <c r="I3624" s="71" t="e">
        <f>IF(COUNTIF((rName rData),H3624),"","Name Error!")</f>
        <v>#NAME?</v>
      </c>
    </row>
    <row r="3625" spans="2:9" s="126" customFormat="1" ht="15" customHeight="1" x14ac:dyDescent="0.25">
      <c r="B3625" s="271" t="s">
        <v>341</v>
      </c>
      <c r="C3625" s="272" t="s">
        <v>340</v>
      </c>
      <c r="D3625" s="275" t="s">
        <v>216</v>
      </c>
      <c r="E3625" s="275">
        <v>41774.832986111112</v>
      </c>
      <c r="F3625" s="276">
        <v>1</v>
      </c>
      <c r="G3625" s="243">
        <f t="shared" si="57"/>
        <v>137</v>
      </c>
      <c r="H3625" s="244"/>
      <c r="I3625" s="71" t="e">
        <f>IF(COUNTIF((rName rData),H3625),"","Name Error!")</f>
        <v>#NAME?</v>
      </c>
    </row>
    <row r="3626" spans="2:9" s="126" customFormat="1" ht="15" customHeight="1" x14ac:dyDescent="0.25">
      <c r="B3626" s="271" t="s">
        <v>331</v>
      </c>
      <c r="C3626" s="272" t="s">
        <v>330</v>
      </c>
      <c r="D3626" s="275" t="s">
        <v>216</v>
      </c>
      <c r="E3626" s="275">
        <v>41774.888321759259</v>
      </c>
      <c r="F3626" s="276">
        <v>1</v>
      </c>
      <c r="G3626" s="243">
        <f t="shared" si="57"/>
        <v>137</v>
      </c>
      <c r="H3626" s="244"/>
      <c r="I3626" s="71" t="e">
        <f>IF(COUNTIF((rName rData),H3626),"","Name Error!")</f>
        <v>#NAME?</v>
      </c>
    </row>
    <row r="3627" spans="2:9" s="126" customFormat="1" ht="15" customHeight="1" x14ac:dyDescent="0.25">
      <c r="B3627" s="271" t="s">
        <v>267</v>
      </c>
      <c r="C3627" s="272" t="s">
        <v>268</v>
      </c>
      <c r="D3627" s="275" t="s">
        <v>216</v>
      </c>
      <c r="E3627" s="275">
        <v>41775.469965277778</v>
      </c>
      <c r="F3627" s="276">
        <v>1</v>
      </c>
      <c r="G3627" s="243">
        <f t="shared" si="57"/>
        <v>137</v>
      </c>
      <c r="H3627" s="244"/>
      <c r="I3627" s="71" t="e">
        <f>IF(COUNTIF((rName rData),H3627),"","Name Error!")</f>
        <v>#NAME?</v>
      </c>
    </row>
    <row r="3628" spans="2:9" s="126" customFormat="1" ht="15" customHeight="1" x14ac:dyDescent="0.25">
      <c r="B3628" s="271" t="s">
        <v>331</v>
      </c>
      <c r="C3628" s="272" t="s">
        <v>330</v>
      </c>
      <c r="D3628" s="275" t="s">
        <v>216</v>
      </c>
      <c r="E3628" s="275">
        <v>41775.850949074076</v>
      </c>
      <c r="F3628" s="276">
        <v>1</v>
      </c>
      <c r="G3628" s="243">
        <f t="shared" si="57"/>
        <v>137</v>
      </c>
      <c r="H3628" s="244"/>
      <c r="I3628" s="71" t="e">
        <f>IF(COUNTIF((rName rData),H3628),"","Name Error!")</f>
        <v>#NAME?</v>
      </c>
    </row>
    <row r="3629" spans="2:9" s="126" customFormat="1" ht="15" customHeight="1" x14ac:dyDescent="0.25">
      <c r="B3629" s="271" t="s">
        <v>352</v>
      </c>
      <c r="C3629" s="272" t="s">
        <v>351</v>
      </c>
      <c r="D3629" s="275" t="s">
        <v>216</v>
      </c>
      <c r="E3629" s="275">
        <v>41776.394699074073</v>
      </c>
      <c r="F3629" s="276">
        <v>1</v>
      </c>
      <c r="G3629" s="243">
        <f t="shared" si="57"/>
        <v>138</v>
      </c>
      <c r="H3629" s="244"/>
      <c r="I3629" s="71" t="e">
        <f>IF(COUNTIF((rName rData),H3629),"","Name Error!")</f>
        <v>#NAME?</v>
      </c>
    </row>
    <row r="3630" spans="2:9" s="126" customFormat="1" ht="15" customHeight="1" x14ac:dyDescent="0.25">
      <c r="B3630" s="271" t="s">
        <v>322</v>
      </c>
      <c r="C3630" s="272" t="s">
        <v>321</v>
      </c>
      <c r="D3630" s="275" t="s">
        <v>216</v>
      </c>
      <c r="E3630" s="275">
        <v>41776.54519675926</v>
      </c>
      <c r="F3630" s="276">
        <v>4</v>
      </c>
      <c r="G3630" s="243">
        <f t="shared" si="57"/>
        <v>138</v>
      </c>
      <c r="H3630" s="244"/>
      <c r="I3630" s="71" t="e">
        <f>IF(COUNTIF((rName rData),H3630),"","Name Error!")</f>
        <v>#NAME?</v>
      </c>
    </row>
    <row r="3631" spans="2:9" s="126" customFormat="1" ht="15" customHeight="1" x14ac:dyDescent="0.25">
      <c r="B3631" s="271" t="s">
        <v>331</v>
      </c>
      <c r="C3631" s="272" t="s">
        <v>330</v>
      </c>
      <c r="D3631" s="275" t="s">
        <v>216</v>
      </c>
      <c r="E3631" s="275">
        <v>41776.60087962963</v>
      </c>
      <c r="F3631" s="276">
        <v>1</v>
      </c>
      <c r="G3631" s="243">
        <f t="shared" si="57"/>
        <v>138</v>
      </c>
      <c r="H3631" s="244"/>
      <c r="I3631" s="71" t="e">
        <f>IF(COUNTIF((rName rData),H3631),"","Name Error!")</f>
        <v>#NAME?</v>
      </c>
    </row>
    <row r="3632" spans="2:9" s="126" customFormat="1" ht="15" customHeight="1" x14ac:dyDescent="0.25">
      <c r="B3632" s="271" t="s">
        <v>339</v>
      </c>
      <c r="C3632" s="272" t="s">
        <v>338</v>
      </c>
      <c r="D3632" s="275" t="s">
        <v>216</v>
      </c>
      <c r="E3632" s="275">
        <v>41776.624444444446</v>
      </c>
      <c r="F3632" s="276">
        <v>1</v>
      </c>
      <c r="G3632" s="243">
        <f t="shared" si="57"/>
        <v>138</v>
      </c>
      <c r="H3632" s="244"/>
      <c r="I3632" s="71" t="e">
        <f>IF(COUNTIF((rName rData),H3632),"","Name Error!")</f>
        <v>#NAME?</v>
      </c>
    </row>
    <row r="3633" spans="2:9" s="126" customFormat="1" ht="15" customHeight="1" x14ac:dyDescent="0.25">
      <c r="B3633" s="271" t="s">
        <v>350</v>
      </c>
      <c r="C3633" s="272" t="s">
        <v>349</v>
      </c>
      <c r="D3633" s="275" t="s">
        <v>216</v>
      </c>
      <c r="E3633" s="275">
        <v>41776.715960648151</v>
      </c>
      <c r="F3633" s="276">
        <v>1</v>
      </c>
      <c r="G3633" s="243">
        <f t="shared" si="57"/>
        <v>138</v>
      </c>
      <c r="H3633" s="244"/>
      <c r="I3633" s="71" t="e">
        <f>IF(COUNTIF((rName rData),H3633),"","Name Error!")</f>
        <v>#NAME?</v>
      </c>
    </row>
    <row r="3634" spans="2:9" s="126" customFormat="1" ht="15" customHeight="1" x14ac:dyDescent="0.25">
      <c r="B3634" s="271" t="s">
        <v>267</v>
      </c>
      <c r="C3634" s="272" t="s">
        <v>268</v>
      </c>
      <c r="D3634" s="275" t="s">
        <v>216</v>
      </c>
      <c r="E3634" s="275">
        <v>41776.907048611109</v>
      </c>
      <c r="F3634" s="276">
        <v>1</v>
      </c>
      <c r="G3634" s="243">
        <f t="shared" si="57"/>
        <v>138</v>
      </c>
      <c r="H3634" s="244"/>
      <c r="I3634" s="71" t="e">
        <f>IF(COUNTIF((rName rData),H3634),"","Name Error!")</f>
        <v>#NAME?</v>
      </c>
    </row>
    <row r="3635" spans="2:9" s="126" customFormat="1" ht="15" customHeight="1" x14ac:dyDescent="0.25">
      <c r="B3635" s="271" t="s">
        <v>345</v>
      </c>
      <c r="C3635" s="272" t="s">
        <v>344</v>
      </c>
      <c r="D3635" s="275" t="s">
        <v>216</v>
      </c>
      <c r="E3635" s="275">
        <v>41776.980034722219</v>
      </c>
      <c r="F3635" s="276">
        <v>1</v>
      </c>
      <c r="G3635" s="243">
        <f t="shared" si="57"/>
        <v>138</v>
      </c>
      <c r="H3635" s="244"/>
      <c r="I3635" s="71" t="e">
        <f>IF(COUNTIF((rName rData),H3635),"","Name Error!")</f>
        <v>#NAME?</v>
      </c>
    </row>
    <row r="3636" spans="2:9" s="126" customFormat="1" ht="15" customHeight="1" x14ac:dyDescent="0.25">
      <c r="B3636" s="271" t="s">
        <v>331</v>
      </c>
      <c r="C3636" s="272" t="s">
        <v>330</v>
      </c>
      <c r="D3636" s="275" t="s">
        <v>216</v>
      </c>
      <c r="E3636" s="275">
        <v>41777.026712962965</v>
      </c>
      <c r="F3636" s="276">
        <v>2</v>
      </c>
      <c r="G3636" s="243">
        <f t="shared" si="57"/>
        <v>138</v>
      </c>
      <c r="H3636" s="244"/>
      <c r="I3636" s="71" t="e">
        <f>IF(COUNTIF((rName rData),H3636),"","Name Error!")</f>
        <v>#NAME?</v>
      </c>
    </row>
    <row r="3637" spans="2:9" s="126" customFormat="1" ht="15" customHeight="1" x14ac:dyDescent="0.25">
      <c r="B3637" s="271" t="s">
        <v>352</v>
      </c>
      <c r="C3637" s="272" t="s">
        <v>351</v>
      </c>
      <c r="D3637" s="275" t="s">
        <v>216</v>
      </c>
      <c r="E3637" s="275">
        <v>41777.405370370368</v>
      </c>
      <c r="F3637" s="276">
        <v>3</v>
      </c>
      <c r="G3637" s="243">
        <f t="shared" si="57"/>
        <v>138</v>
      </c>
      <c r="H3637" s="244"/>
      <c r="I3637" s="71" t="e">
        <f>IF(COUNTIF((rName rData),H3637),"","Name Error!")</f>
        <v>#NAME?</v>
      </c>
    </row>
    <row r="3638" spans="2:9" s="126" customFormat="1" ht="15" customHeight="1" x14ac:dyDescent="0.25">
      <c r="B3638" s="271" t="s">
        <v>322</v>
      </c>
      <c r="C3638" s="272" t="s">
        <v>321</v>
      </c>
      <c r="D3638" s="275" t="s">
        <v>216</v>
      </c>
      <c r="E3638" s="275">
        <v>41777.494571759256</v>
      </c>
      <c r="F3638" s="276">
        <v>9</v>
      </c>
      <c r="G3638" s="243">
        <f t="shared" si="57"/>
        <v>138</v>
      </c>
      <c r="H3638" s="244"/>
      <c r="I3638" s="71" t="e">
        <f>IF(COUNTIF((rName rData),H3638),"","Name Error!")</f>
        <v>#NAME?</v>
      </c>
    </row>
    <row r="3639" spans="2:9" s="126" customFormat="1" ht="15" customHeight="1" x14ac:dyDescent="0.25">
      <c r="B3639" s="271" t="s">
        <v>362</v>
      </c>
      <c r="C3639" s="272" t="s">
        <v>361</v>
      </c>
      <c r="D3639" s="275" t="s">
        <v>216</v>
      </c>
      <c r="E3639" s="275">
        <v>41777.611157407409</v>
      </c>
      <c r="F3639" s="276">
        <v>2</v>
      </c>
      <c r="G3639" s="243">
        <f t="shared" si="57"/>
        <v>138</v>
      </c>
      <c r="H3639" s="244"/>
      <c r="I3639" s="71" t="e">
        <f>IF(COUNTIF((rName rData),H3639),"","Name Error!")</f>
        <v>#NAME?</v>
      </c>
    </row>
    <row r="3640" spans="2:9" s="126" customFormat="1" ht="15" customHeight="1" x14ac:dyDescent="0.25">
      <c r="B3640" s="271" t="s">
        <v>337</v>
      </c>
      <c r="C3640" s="272" t="s">
        <v>336</v>
      </c>
      <c r="D3640" s="275" t="s">
        <v>216</v>
      </c>
      <c r="E3640" s="275">
        <v>41777.614999999998</v>
      </c>
      <c r="F3640" s="276">
        <v>1</v>
      </c>
      <c r="G3640" s="243">
        <f t="shared" si="57"/>
        <v>138</v>
      </c>
      <c r="H3640" s="244"/>
      <c r="I3640" s="71" t="e">
        <f>IF(COUNTIF((rName rData),H3640),"","Name Error!")</f>
        <v>#NAME?</v>
      </c>
    </row>
    <row r="3641" spans="2:9" s="126" customFormat="1" ht="15" customHeight="1" x14ac:dyDescent="0.25">
      <c r="B3641" s="271" t="s">
        <v>320</v>
      </c>
      <c r="C3641" s="272" t="s">
        <v>319</v>
      </c>
      <c r="D3641" s="275" t="s">
        <v>216</v>
      </c>
      <c r="E3641" s="275">
        <v>41777.670011574075</v>
      </c>
      <c r="F3641" s="276">
        <v>1</v>
      </c>
      <c r="G3641" s="243">
        <f t="shared" si="57"/>
        <v>138</v>
      </c>
      <c r="H3641" s="244"/>
      <c r="I3641" s="71" t="e">
        <f>IF(COUNTIF((rName rData),H3641),"","Name Error!")</f>
        <v>#NAME?</v>
      </c>
    </row>
    <row r="3642" spans="2:9" s="126" customFormat="1" ht="15" customHeight="1" x14ac:dyDescent="0.25">
      <c r="B3642" s="271" t="s">
        <v>324</v>
      </c>
      <c r="C3642" s="272" t="s">
        <v>323</v>
      </c>
      <c r="D3642" s="275" t="s">
        <v>216</v>
      </c>
      <c r="E3642" s="275">
        <v>41777.795740740738</v>
      </c>
      <c r="F3642" s="276">
        <v>1</v>
      </c>
      <c r="G3642" s="243">
        <f t="shared" si="57"/>
        <v>138</v>
      </c>
      <c r="H3642" s="244"/>
      <c r="I3642" s="71" t="e">
        <f>IF(COUNTIF((rName rData),H3642),"","Name Error!")</f>
        <v>#NAME?</v>
      </c>
    </row>
    <row r="3643" spans="2:9" s="126" customFormat="1" ht="15" customHeight="1" x14ac:dyDescent="0.25">
      <c r="B3643" s="271" t="s">
        <v>341</v>
      </c>
      <c r="C3643" s="272" t="s">
        <v>340</v>
      </c>
      <c r="D3643" s="275" t="s">
        <v>216</v>
      </c>
      <c r="E3643" s="275">
        <v>41777.841284722221</v>
      </c>
      <c r="F3643" s="276">
        <v>1</v>
      </c>
      <c r="G3643" s="243">
        <f t="shared" si="57"/>
        <v>138</v>
      </c>
      <c r="H3643" s="244"/>
      <c r="I3643" s="71" t="e">
        <f>IF(COUNTIF((rName rData),H3643),"","Name Error!")</f>
        <v>#NAME?</v>
      </c>
    </row>
    <row r="3644" spans="2:9" s="126" customFormat="1" ht="15" customHeight="1" x14ac:dyDescent="0.25">
      <c r="B3644" s="271" t="s">
        <v>354</v>
      </c>
      <c r="C3644" s="272" t="s">
        <v>353</v>
      </c>
      <c r="D3644" s="275" t="s">
        <v>216</v>
      </c>
      <c r="E3644" s="275">
        <v>41777.913055555553</v>
      </c>
      <c r="F3644" s="276">
        <v>1</v>
      </c>
      <c r="G3644" s="243">
        <f t="shared" si="57"/>
        <v>138</v>
      </c>
      <c r="H3644" s="244"/>
      <c r="I3644" s="71" t="e">
        <f>IF(COUNTIF((rName rData),H3644),"","Name Error!")</f>
        <v>#NAME?</v>
      </c>
    </row>
    <row r="3645" spans="2:9" s="126" customFormat="1" ht="15" customHeight="1" x14ac:dyDescent="0.25">
      <c r="B3645" s="271" t="s">
        <v>335</v>
      </c>
      <c r="C3645" s="272" t="s">
        <v>334</v>
      </c>
      <c r="D3645" s="275" t="s">
        <v>216</v>
      </c>
      <c r="E3645" s="275">
        <v>41777.913784722223</v>
      </c>
      <c r="F3645" s="276">
        <v>1</v>
      </c>
      <c r="G3645" s="243">
        <f t="shared" si="57"/>
        <v>138</v>
      </c>
      <c r="H3645" s="244"/>
      <c r="I3645" s="71" t="e">
        <f>IF(COUNTIF((rName rData),H3645),"","Name Error!")</f>
        <v>#NAME?</v>
      </c>
    </row>
    <row r="3646" spans="2:9" s="126" customFormat="1" ht="15" customHeight="1" x14ac:dyDescent="0.25">
      <c r="B3646" s="271" t="s">
        <v>356</v>
      </c>
      <c r="C3646" s="272" t="s">
        <v>355</v>
      </c>
      <c r="D3646" s="275" t="s">
        <v>216</v>
      </c>
      <c r="E3646" s="275">
        <v>41777.95045138889</v>
      </c>
      <c r="F3646" s="276">
        <v>1</v>
      </c>
      <c r="G3646" s="243">
        <f t="shared" si="57"/>
        <v>138</v>
      </c>
      <c r="H3646" s="244"/>
      <c r="I3646" s="71" t="e">
        <f>IF(COUNTIF((rName rData),H3646),"","Name Error!")</f>
        <v>#NAME?</v>
      </c>
    </row>
    <row r="3647" spans="2:9" s="126" customFormat="1" ht="15" customHeight="1" x14ac:dyDescent="0.25">
      <c r="B3647" s="271" t="s">
        <v>345</v>
      </c>
      <c r="C3647" s="272" t="s">
        <v>344</v>
      </c>
      <c r="D3647" s="275" t="s">
        <v>216</v>
      </c>
      <c r="E3647" s="275">
        <v>41777.967465277776</v>
      </c>
      <c r="F3647" s="276">
        <v>1</v>
      </c>
      <c r="G3647" s="243">
        <f t="shared" si="57"/>
        <v>138</v>
      </c>
      <c r="H3647" s="244"/>
      <c r="I3647" s="71" t="e">
        <f>IF(COUNTIF((rName rData),H3647),"","Name Error!")</f>
        <v>#NAME?</v>
      </c>
    </row>
    <row r="3648" spans="2:9" s="126" customFormat="1" ht="15" customHeight="1" x14ac:dyDescent="0.25">
      <c r="B3648" s="271" t="s">
        <v>365</v>
      </c>
      <c r="C3648" s="272" t="s">
        <v>364</v>
      </c>
      <c r="D3648" s="275" t="s">
        <v>216</v>
      </c>
      <c r="E3648" s="275">
        <v>41777.971828703703</v>
      </c>
      <c r="F3648" s="276">
        <v>1</v>
      </c>
      <c r="G3648" s="243">
        <f t="shared" si="57"/>
        <v>138</v>
      </c>
      <c r="H3648" s="244"/>
      <c r="I3648" s="71" t="e">
        <f>IF(COUNTIF((rName rData),H3648),"","Name Error!")</f>
        <v>#NAME?</v>
      </c>
    </row>
    <row r="3649" spans="2:9" s="126" customFormat="1" ht="15" customHeight="1" x14ac:dyDescent="0.25">
      <c r="B3649" s="271" t="s">
        <v>322</v>
      </c>
      <c r="C3649" s="272" t="s">
        <v>321</v>
      </c>
      <c r="D3649" s="275" t="s">
        <v>216</v>
      </c>
      <c r="E3649" s="275">
        <v>41778.404814814814</v>
      </c>
      <c r="F3649" s="276">
        <v>1</v>
      </c>
      <c r="G3649" s="243">
        <f t="shared" si="57"/>
        <v>138</v>
      </c>
      <c r="H3649" s="244"/>
      <c r="I3649" s="71" t="e">
        <f>IF(COUNTIF((rName rData),H3649),"","Name Error!")</f>
        <v>#NAME?</v>
      </c>
    </row>
    <row r="3650" spans="2:9" s="126" customFormat="1" ht="15" customHeight="1" x14ac:dyDescent="0.25">
      <c r="B3650" s="271" t="s">
        <v>331</v>
      </c>
      <c r="C3650" s="272" t="s">
        <v>330</v>
      </c>
      <c r="D3650" s="275" t="s">
        <v>216</v>
      </c>
      <c r="E3650" s="275">
        <v>41778.497199074074</v>
      </c>
      <c r="F3650" s="276">
        <v>2</v>
      </c>
      <c r="G3650" s="243">
        <f t="shared" si="57"/>
        <v>138</v>
      </c>
      <c r="H3650" s="244"/>
      <c r="I3650" s="71" t="e">
        <f>IF(COUNTIF((rName rData),H3650),"","Name Error!")</f>
        <v>#NAME?</v>
      </c>
    </row>
    <row r="3651" spans="2:9" s="126" customFormat="1" ht="15" customHeight="1" x14ac:dyDescent="0.25">
      <c r="B3651" s="271" t="s">
        <v>337</v>
      </c>
      <c r="C3651" s="272" t="s">
        <v>336</v>
      </c>
      <c r="D3651" s="275" t="s">
        <v>216</v>
      </c>
      <c r="E3651" s="275">
        <v>41778.591620370367</v>
      </c>
      <c r="F3651" s="276">
        <v>1</v>
      </c>
      <c r="G3651" s="243">
        <f t="shared" si="57"/>
        <v>138</v>
      </c>
      <c r="H3651" s="244"/>
      <c r="I3651" s="71" t="e">
        <f>IF(COUNTIF((rName rData),H3651),"","Name Error!")</f>
        <v>#NAME?</v>
      </c>
    </row>
    <row r="3652" spans="2:9" s="126" customFormat="1" ht="15" customHeight="1" x14ac:dyDescent="0.25">
      <c r="B3652" s="271" t="s">
        <v>362</v>
      </c>
      <c r="C3652" s="272" t="s">
        <v>361</v>
      </c>
      <c r="D3652" s="275" t="s">
        <v>216</v>
      </c>
      <c r="E3652" s="275">
        <v>41778.649421296293</v>
      </c>
      <c r="F3652" s="276">
        <v>1</v>
      </c>
      <c r="G3652" s="243">
        <f t="shared" si="57"/>
        <v>138</v>
      </c>
      <c r="H3652" s="244"/>
      <c r="I3652" s="71" t="e">
        <f>IF(COUNTIF((rName rData),H3652),"","Name Error!")</f>
        <v>#NAME?</v>
      </c>
    </row>
    <row r="3653" spans="2:9" s="126" customFormat="1" ht="15" customHeight="1" x14ac:dyDescent="0.25">
      <c r="B3653" s="271" t="s">
        <v>267</v>
      </c>
      <c r="C3653" s="272" t="s">
        <v>268</v>
      </c>
      <c r="D3653" s="275" t="s">
        <v>216</v>
      </c>
      <c r="E3653" s="275">
        <v>41778.703287037039</v>
      </c>
      <c r="F3653" s="276">
        <v>1</v>
      </c>
      <c r="G3653" s="243">
        <f t="shared" si="57"/>
        <v>138</v>
      </c>
      <c r="H3653" s="244"/>
      <c r="I3653" s="71" t="e">
        <f>IF(COUNTIF((rName rData),H3653),"","Name Error!")</f>
        <v>#NAME?</v>
      </c>
    </row>
    <row r="3654" spans="2:9" s="126" customFormat="1" ht="15" customHeight="1" x14ac:dyDescent="0.25">
      <c r="B3654" s="271" t="s">
        <v>358</v>
      </c>
      <c r="C3654" s="272" t="s">
        <v>357</v>
      </c>
      <c r="D3654" s="275" t="s">
        <v>216</v>
      </c>
      <c r="E3654" s="275">
        <v>41778.831400462965</v>
      </c>
      <c r="F3654" s="276">
        <v>2</v>
      </c>
      <c r="G3654" s="243">
        <f t="shared" si="57"/>
        <v>138</v>
      </c>
      <c r="H3654" s="244"/>
      <c r="I3654" s="71" t="e">
        <f>IF(COUNTIF((rName rData),H3654),"","Name Error!")</f>
        <v>#NAME?</v>
      </c>
    </row>
    <row r="3655" spans="2:9" s="126" customFormat="1" ht="15" customHeight="1" x14ac:dyDescent="0.25">
      <c r="B3655" s="271" t="s">
        <v>371</v>
      </c>
      <c r="C3655" s="272" t="s">
        <v>370</v>
      </c>
      <c r="D3655" s="275" t="s">
        <v>216</v>
      </c>
      <c r="E3655" s="275">
        <v>41778.922048611108</v>
      </c>
      <c r="F3655" s="276">
        <v>1</v>
      </c>
      <c r="G3655" s="243">
        <f t="shared" si="57"/>
        <v>138</v>
      </c>
      <c r="H3655" s="244"/>
      <c r="I3655" s="71" t="e">
        <f>IF(COUNTIF((rName rData),H3655),"","Name Error!")</f>
        <v>#NAME?</v>
      </c>
    </row>
    <row r="3656" spans="2:9" s="126" customFormat="1" ht="15" customHeight="1" x14ac:dyDescent="0.25">
      <c r="B3656" s="271" t="s">
        <v>337</v>
      </c>
      <c r="C3656" s="272" t="s">
        <v>336</v>
      </c>
      <c r="D3656" s="275" t="s">
        <v>216</v>
      </c>
      <c r="E3656" s="275">
        <v>41779.001493055555</v>
      </c>
      <c r="F3656" s="276">
        <v>1</v>
      </c>
      <c r="G3656" s="243">
        <f t="shared" si="57"/>
        <v>138</v>
      </c>
      <c r="H3656" s="244"/>
      <c r="I3656" s="71" t="e">
        <f>IF(COUNTIF((rName rData),H3656),"","Name Error!")</f>
        <v>#NAME?</v>
      </c>
    </row>
    <row r="3657" spans="2:9" s="126" customFormat="1" ht="15" customHeight="1" x14ac:dyDescent="0.25">
      <c r="B3657" s="271" t="s">
        <v>331</v>
      </c>
      <c r="C3657" s="272" t="s">
        <v>330</v>
      </c>
      <c r="D3657" s="275" t="s">
        <v>216</v>
      </c>
      <c r="E3657" s="275">
        <v>41779.03266203704</v>
      </c>
      <c r="F3657" s="276">
        <v>2</v>
      </c>
      <c r="G3657" s="243">
        <f t="shared" si="57"/>
        <v>138</v>
      </c>
      <c r="H3657" s="244"/>
      <c r="I3657" s="71" t="e">
        <f>IF(COUNTIF((rName rData),H3657),"","Name Error!")</f>
        <v>#NAME?</v>
      </c>
    </row>
    <row r="3658" spans="2:9" s="126" customFormat="1" ht="15" customHeight="1" x14ac:dyDescent="0.25">
      <c r="B3658" s="271" t="s">
        <v>358</v>
      </c>
      <c r="C3658" s="272" t="s">
        <v>357</v>
      </c>
      <c r="D3658" s="275" t="s">
        <v>216</v>
      </c>
      <c r="E3658" s="275">
        <v>41779.593842592592</v>
      </c>
      <c r="F3658" s="276">
        <v>2</v>
      </c>
      <c r="G3658" s="243">
        <f t="shared" ref="G3658:G3721" si="58">TRUNC((E3658-start)/7)+1</f>
        <v>138</v>
      </c>
      <c r="H3658" s="244"/>
      <c r="I3658" s="71" t="e">
        <f>IF(COUNTIF((rName rData),H3658),"","Name Error!")</f>
        <v>#NAME?</v>
      </c>
    </row>
    <row r="3659" spans="2:9" s="126" customFormat="1" ht="15" customHeight="1" x14ac:dyDescent="0.25">
      <c r="B3659" s="271" t="s">
        <v>267</v>
      </c>
      <c r="C3659" s="272" t="s">
        <v>268</v>
      </c>
      <c r="D3659" s="275" t="s">
        <v>216</v>
      </c>
      <c r="E3659" s="275">
        <v>41779.897557870368</v>
      </c>
      <c r="F3659" s="276">
        <v>1</v>
      </c>
      <c r="G3659" s="243">
        <f t="shared" si="58"/>
        <v>138</v>
      </c>
      <c r="H3659" s="244"/>
      <c r="I3659" s="71" t="e">
        <f>IF(COUNTIF((rName rData),H3659),"","Name Error!")</f>
        <v>#NAME?</v>
      </c>
    </row>
    <row r="3660" spans="2:9" s="126" customFormat="1" ht="15" customHeight="1" x14ac:dyDescent="0.25">
      <c r="B3660" s="271" t="s">
        <v>267</v>
      </c>
      <c r="C3660" s="272" t="s">
        <v>268</v>
      </c>
      <c r="D3660" s="275" t="s">
        <v>216</v>
      </c>
      <c r="E3660" s="275">
        <v>41780.015682870369</v>
      </c>
      <c r="F3660" s="276">
        <v>4</v>
      </c>
      <c r="G3660" s="243">
        <f t="shared" si="58"/>
        <v>138</v>
      </c>
      <c r="H3660" s="244"/>
      <c r="I3660" s="71" t="e">
        <f>IF(COUNTIF((rName rData),H3660),"","Name Error!")</f>
        <v>#NAME?</v>
      </c>
    </row>
    <row r="3661" spans="2:9" s="126" customFormat="1" ht="15" customHeight="1" x14ac:dyDescent="0.25">
      <c r="B3661" s="271" t="s">
        <v>358</v>
      </c>
      <c r="C3661" s="272" t="s">
        <v>357</v>
      </c>
      <c r="D3661" s="275" t="s">
        <v>216</v>
      </c>
      <c r="E3661" s="275">
        <v>41780.438807870371</v>
      </c>
      <c r="F3661" s="276">
        <v>1</v>
      </c>
      <c r="G3661" s="243">
        <f t="shared" si="58"/>
        <v>138</v>
      </c>
      <c r="H3661" s="244"/>
      <c r="I3661" s="71" t="e">
        <f>IF(COUNTIF((rName rData),H3661),"","Name Error!")</f>
        <v>#NAME?</v>
      </c>
    </row>
    <row r="3662" spans="2:9" s="126" customFormat="1" ht="15" customHeight="1" x14ac:dyDescent="0.25">
      <c r="B3662" s="271" t="s">
        <v>337</v>
      </c>
      <c r="C3662" s="272" t="s">
        <v>336</v>
      </c>
      <c r="D3662" s="275" t="s">
        <v>216</v>
      </c>
      <c r="E3662" s="275">
        <v>41780.599340277775</v>
      </c>
      <c r="F3662" s="276">
        <v>1</v>
      </c>
      <c r="G3662" s="243">
        <f t="shared" si="58"/>
        <v>138</v>
      </c>
      <c r="H3662" s="244"/>
      <c r="I3662" s="71" t="e">
        <f>IF(COUNTIF((rName rData),H3662),"","Name Error!")</f>
        <v>#NAME?</v>
      </c>
    </row>
    <row r="3663" spans="2:9" s="126" customFormat="1" ht="15" customHeight="1" x14ac:dyDescent="0.25">
      <c r="B3663" s="271" t="s">
        <v>341</v>
      </c>
      <c r="C3663" s="272" t="s">
        <v>340</v>
      </c>
      <c r="D3663" s="275" t="s">
        <v>216</v>
      </c>
      <c r="E3663" s="275">
        <v>41780.768645833334</v>
      </c>
      <c r="F3663" s="276">
        <v>1</v>
      </c>
      <c r="G3663" s="243">
        <f t="shared" si="58"/>
        <v>138</v>
      </c>
      <c r="H3663" s="244"/>
      <c r="I3663" s="71" t="e">
        <f>IF(COUNTIF((rName rData),H3663),"","Name Error!")</f>
        <v>#NAME?</v>
      </c>
    </row>
    <row r="3664" spans="2:9" s="126" customFormat="1" ht="15" customHeight="1" x14ac:dyDescent="0.25">
      <c r="B3664" s="271" t="s">
        <v>324</v>
      </c>
      <c r="C3664" s="272" t="s">
        <v>323</v>
      </c>
      <c r="D3664" s="275" t="s">
        <v>216</v>
      </c>
      <c r="E3664" s="275">
        <v>41781.457546296297</v>
      </c>
      <c r="F3664" s="276">
        <v>1</v>
      </c>
      <c r="G3664" s="243">
        <f t="shared" si="58"/>
        <v>138</v>
      </c>
      <c r="H3664" s="244"/>
      <c r="I3664" s="71" t="e">
        <f>IF(COUNTIF((rName rData),H3664),"","Name Error!")</f>
        <v>#NAME?</v>
      </c>
    </row>
    <row r="3665" spans="2:9" s="126" customFormat="1" ht="15" customHeight="1" x14ac:dyDescent="0.25">
      <c r="B3665" s="271" t="s">
        <v>335</v>
      </c>
      <c r="C3665" s="272" t="s">
        <v>334</v>
      </c>
      <c r="D3665" s="275" t="s">
        <v>216</v>
      </c>
      <c r="E3665" s="275">
        <v>41781.546261574076</v>
      </c>
      <c r="F3665" s="276">
        <v>2</v>
      </c>
      <c r="G3665" s="243">
        <f t="shared" si="58"/>
        <v>138</v>
      </c>
      <c r="H3665" s="244"/>
      <c r="I3665" s="71" t="e">
        <f>IF(COUNTIF((rName rData),H3665),"","Name Error!")</f>
        <v>#NAME?</v>
      </c>
    </row>
    <row r="3666" spans="2:9" s="126" customFormat="1" ht="15" customHeight="1" x14ac:dyDescent="0.25">
      <c r="B3666" s="271" t="s">
        <v>352</v>
      </c>
      <c r="C3666" s="272" t="s">
        <v>351</v>
      </c>
      <c r="D3666" s="275" t="s">
        <v>216</v>
      </c>
      <c r="E3666" s="275">
        <v>41781.595092592594</v>
      </c>
      <c r="F3666" s="276">
        <v>1</v>
      </c>
      <c r="G3666" s="243">
        <f t="shared" si="58"/>
        <v>138</v>
      </c>
      <c r="H3666" s="244"/>
      <c r="I3666" s="71" t="e">
        <f>IF(COUNTIF((rName rData),H3666),"","Name Error!")</f>
        <v>#NAME?</v>
      </c>
    </row>
    <row r="3667" spans="2:9" s="126" customFormat="1" ht="15" customHeight="1" x14ac:dyDescent="0.25">
      <c r="B3667" s="271" t="s">
        <v>267</v>
      </c>
      <c r="C3667" s="272" t="s">
        <v>268</v>
      </c>
      <c r="D3667" s="275" t="s">
        <v>216</v>
      </c>
      <c r="E3667" s="275">
        <v>41781.853055555555</v>
      </c>
      <c r="F3667" s="276">
        <v>1</v>
      </c>
      <c r="G3667" s="243">
        <f t="shared" si="58"/>
        <v>138</v>
      </c>
      <c r="H3667" s="244"/>
      <c r="I3667" s="71" t="e">
        <f>IF(COUNTIF((rName rData),H3667),"","Name Error!")</f>
        <v>#NAME?</v>
      </c>
    </row>
    <row r="3668" spans="2:9" s="126" customFormat="1" ht="15" customHeight="1" x14ac:dyDescent="0.25">
      <c r="B3668" s="271" t="s">
        <v>331</v>
      </c>
      <c r="C3668" s="272" t="s">
        <v>330</v>
      </c>
      <c r="D3668" s="275" t="s">
        <v>216</v>
      </c>
      <c r="E3668" s="275">
        <v>41781.865081018521</v>
      </c>
      <c r="F3668" s="276">
        <v>1</v>
      </c>
      <c r="G3668" s="243">
        <f t="shared" si="58"/>
        <v>138</v>
      </c>
      <c r="H3668" s="244"/>
      <c r="I3668" s="71" t="e">
        <f>IF(COUNTIF((rName rData),H3668),"","Name Error!")</f>
        <v>#NAME?</v>
      </c>
    </row>
    <row r="3669" spans="2:9" s="126" customFormat="1" ht="15" customHeight="1" x14ac:dyDescent="0.25">
      <c r="B3669" s="271" t="s">
        <v>341</v>
      </c>
      <c r="C3669" s="272" t="s">
        <v>340</v>
      </c>
      <c r="D3669" s="275" t="s">
        <v>216</v>
      </c>
      <c r="E3669" s="275">
        <v>41781.890868055554</v>
      </c>
      <c r="F3669" s="276">
        <v>1</v>
      </c>
      <c r="G3669" s="243">
        <f t="shared" si="58"/>
        <v>138</v>
      </c>
      <c r="H3669" s="244"/>
      <c r="I3669" s="71" t="e">
        <f>IF(COUNTIF((rName rData),H3669),"","Name Error!")</f>
        <v>#NAME?</v>
      </c>
    </row>
    <row r="3670" spans="2:9" s="126" customFormat="1" ht="15" customHeight="1" x14ac:dyDescent="0.25">
      <c r="B3670" s="271" t="s">
        <v>362</v>
      </c>
      <c r="C3670" s="272" t="s">
        <v>361</v>
      </c>
      <c r="D3670" s="275" t="s">
        <v>216</v>
      </c>
      <c r="E3670" s="275">
        <v>41782.565254629626</v>
      </c>
      <c r="F3670" s="276">
        <v>1</v>
      </c>
      <c r="G3670" s="243">
        <f t="shared" si="58"/>
        <v>138</v>
      </c>
      <c r="H3670" s="244"/>
      <c r="I3670" s="71" t="e">
        <f>IF(COUNTIF((rName rData),H3670),"","Name Error!")</f>
        <v>#NAME?</v>
      </c>
    </row>
    <row r="3671" spans="2:9" s="126" customFormat="1" ht="15" customHeight="1" x14ac:dyDescent="0.25">
      <c r="B3671" s="271" t="s">
        <v>337</v>
      </c>
      <c r="C3671" s="272" t="s">
        <v>336</v>
      </c>
      <c r="D3671" s="275" t="s">
        <v>216</v>
      </c>
      <c r="E3671" s="275">
        <v>41782.706921296296</v>
      </c>
      <c r="F3671" s="276">
        <v>1</v>
      </c>
      <c r="G3671" s="243">
        <f t="shared" si="58"/>
        <v>138</v>
      </c>
      <c r="H3671" s="244"/>
      <c r="I3671" s="71" t="e">
        <f>IF(COUNTIF((rName rData),H3671),"","Name Error!")</f>
        <v>#NAME?</v>
      </c>
    </row>
    <row r="3672" spans="2:9" s="126" customFormat="1" ht="15" customHeight="1" x14ac:dyDescent="0.25">
      <c r="B3672" s="271" t="s">
        <v>352</v>
      </c>
      <c r="C3672" s="272" t="s">
        <v>351</v>
      </c>
      <c r="D3672" s="275" t="s">
        <v>216</v>
      </c>
      <c r="E3672" s="275">
        <v>41783.462233796294</v>
      </c>
      <c r="F3672" s="276">
        <v>1</v>
      </c>
      <c r="G3672" s="243">
        <f t="shared" si="58"/>
        <v>139</v>
      </c>
      <c r="H3672" s="244"/>
      <c r="I3672" s="71" t="e">
        <f>IF(COUNTIF((rName rData),H3672),"","Name Error!")</f>
        <v>#NAME?</v>
      </c>
    </row>
    <row r="3673" spans="2:9" s="126" customFormat="1" ht="15" customHeight="1" x14ac:dyDescent="0.25">
      <c r="B3673" s="271" t="s">
        <v>322</v>
      </c>
      <c r="C3673" s="272" t="s">
        <v>321</v>
      </c>
      <c r="D3673" s="275" t="s">
        <v>216</v>
      </c>
      <c r="E3673" s="275">
        <v>41783.511157407411</v>
      </c>
      <c r="F3673" s="276">
        <v>4</v>
      </c>
      <c r="G3673" s="243">
        <f t="shared" si="58"/>
        <v>139</v>
      </c>
      <c r="H3673" s="244"/>
      <c r="I3673" s="71" t="e">
        <f>IF(COUNTIF((rName rData),H3673),"","Name Error!")</f>
        <v>#NAME?</v>
      </c>
    </row>
    <row r="3674" spans="2:9" s="126" customFormat="1" ht="15" customHeight="1" x14ac:dyDescent="0.25">
      <c r="B3674" s="271" t="s">
        <v>331</v>
      </c>
      <c r="C3674" s="272" t="s">
        <v>330</v>
      </c>
      <c r="D3674" s="275" t="s">
        <v>216</v>
      </c>
      <c r="E3674" s="275">
        <v>41783.611574074072</v>
      </c>
      <c r="F3674" s="276">
        <v>1</v>
      </c>
      <c r="G3674" s="243">
        <f t="shared" si="58"/>
        <v>139</v>
      </c>
      <c r="H3674" s="244"/>
      <c r="I3674" s="71" t="e">
        <f>IF(COUNTIF((rName rData),H3674),"","Name Error!")</f>
        <v>#NAME?</v>
      </c>
    </row>
    <row r="3675" spans="2:9" s="126" customFormat="1" ht="15" customHeight="1" x14ac:dyDescent="0.25">
      <c r="B3675" s="271" t="s">
        <v>337</v>
      </c>
      <c r="C3675" s="272" t="s">
        <v>336</v>
      </c>
      <c r="D3675" s="275" t="s">
        <v>216</v>
      </c>
      <c r="E3675" s="275">
        <v>41783.62090277778</v>
      </c>
      <c r="F3675" s="276">
        <v>1</v>
      </c>
      <c r="G3675" s="243">
        <f t="shared" si="58"/>
        <v>139</v>
      </c>
      <c r="H3675" s="244"/>
      <c r="I3675" s="71" t="e">
        <f>IF(COUNTIF((rName rData),H3675),"","Name Error!")</f>
        <v>#NAME?</v>
      </c>
    </row>
    <row r="3676" spans="2:9" s="126" customFormat="1" ht="15" customHeight="1" x14ac:dyDescent="0.25">
      <c r="B3676" s="271" t="s">
        <v>350</v>
      </c>
      <c r="C3676" s="272" t="s">
        <v>349</v>
      </c>
      <c r="D3676" s="275" t="s">
        <v>216</v>
      </c>
      <c r="E3676" s="275">
        <v>41783.742754629631</v>
      </c>
      <c r="F3676" s="276">
        <v>2</v>
      </c>
      <c r="G3676" s="243">
        <f t="shared" si="58"/>
        <v>139</v>
      </c>
      <c r="H3676" s="244"/>
      <c r="I3676" s="71" t="e">
        <f>IF(COUNTIF((rName rData),H3676),"","Name Error!")</f>
        <v>#NAME?</v>
      </c>
    </row>
    <row r="3677" spans="2:9" s="126" customFormat="1" ht="15" customHeight="1" x14ac:dyDescent="0.25">
      <c r="B3677" s="271" t="s">
        <v>358</v>
      </c>
      <c r="C3677" s="272" t="s">
        <v>357</v>
      </c>
      <c r="D3677" s="275" t="s">
        <v>216</v>
      </c>
      <c r="E3677" s="275">
        <v>41783.804791666669</v>
      </c>
      <c r="F3677" s="276">
        <v>1</v>
      </c>
      <c r="G3677" s="243">
        <f t="shared" si="58"/>
        <v>139</v>
      </c>
      <c r="H3677" s="244"/>
      <c r="I3677" s="71" t="e">
        <f>IF(COUNTIF((rName rData),H3677),"","Name Error!")</f>
        <v>#NAME?</v>
      </c>
    </row>
    <row r="3678" spans="2:9" s="126" customFormat="1" ht="15" customHeight="1" x14ac:dyDescent="0.25">
      <c r="B3678" s="271" t="s">
        <v>352</v>
      </c>
      <c r="C3678" s="272" t="s">
        <v>351</v>
      </c>
      <c r="D3678" s="275" t="s">
        <v>216</v>
      </c>
      <c r="E3678" s="275">
        <v>41784.236435185187</v>
      </c>
      <c r="F3678" s="276">
        <v>2</v>
      </c>
      <c r="G3678" s="243">
        <f t="shared" si="58"/>
        <v>139</v>
      </c>
      <c r="H3678" s="244"/>
      <c r="I3678" s="71" t="e">
        <f>IF(COUNTIF((rName rData),H3678),"","Name Error!")</f>
        <v>#NAME?</v>
      </c>
    </row>
    <row r="3679" spans="2:9" s="126" customFormat="1" ht="15" customHeight="1" x14ac:dyDescent="0.25">
      <c r="B3679" s="271" t="s">
        <v>358</v>
      </c>
      <c r="C3679" s="272" t="s">
        <v>357</v>
      </c>
      <c r="D3679" s="275" t="s">
        <v>216</v>
      </c>
      <c r="E3679" s="275">
        <v>41784.418437499997</v>
      </c>
      <c r="F3679" s="276">
        <v>2</v>
      </c>
      <c r="G3679" s="243">
        <f t="shared" si="58"/>
        <v>139</v>
      </c>
      <c r="H3679" s="244"/>
      <c r="I3679" s="71" t="e">
        <f>IF(COUNTIF((rName rData),H3679),"","Name Error!")</f>
        <v>#NAME?</v>
      </c>
    </row>
    <row r="3680" spans="2:9" s="126" customFormat="1" ht="15" customHeight="1" x14ac:dyDescent="0.25">
      <c r="B3680" s="271" t="s">
        <v>350</v>
      </c>
      <c r="C3680" s="272" t="s">
        <v>349</v>
      </c>
      <c r="D3680" s="275" t="s">
        <v>216</v>
      </c>
      <c r="E3680" s="275">
        <v>41784.531261574077</v>
      </c>
      <c r="F3680" s="276">
        <v>1</v>
      </c>
      <c r="G3680" s="243">
        <f t="shared" si="58"/>
        <v>139</v>
      </c>
      <c r="H3680" s="244"/>
      <c r="I3680" s="71" t="e">
        <f>IF(COUNTIF((rName rData),H3680),"","Name Error!")</f>
        <v>#NAME?</v>
      </c>
    </row>
    <row r="3681" spans="2:9" s="126" customFormat="1" ht="15" customHeight="1" x14ac:dyDescent="0.25">
      <c r="B3681" s="271" t="s">
        <v>345</v>
      </c>
      <c r="C3681" s="272" t="s">
        <v>344</v>
      </c>
      <c r="D3681" s="275" t="s">
        <v>216</v>
      </c>
      <c r="E3681" s="275">
        <v>41784.534675925926</v>
      </c>
      <c r="F3681" s="276">
        <v>3</v>
      </c>
      <c r="G3681" s="243">
        <f t="shared" si="58"/>
        <v>139</v>
      </c>
      <c r="H3681" s="244"/>
      <c r="I3681" s="71" t="e">
        <f>IF(COUNTIF((rName rData),H3681),"","Name Error!")</f>
        <v>#NAME?</v>
      </c>
    </row>
    <row r="3682" spans="2:9" s="126" customFormat="1" ht="15" customHeight="1" x14ac:dyDescent="0.25">
      <c r="B3682" s="271" t="s">
        <v>362</v>
      </c>
      <c r="C3682" s="272" t="s">
        <v>361</v>
      </c>
      <c r="D3682" s="275" t="s">
        <v>216</v>
      </c>
      <c r="E3682" s="275">
        <v>41784.579375000001</v>
      </c>
      <c r="F3682" s="276">
        <v>1</v>
      </c>
      <c r="G3682" s="243">
        <f t="shared" si="58"/>
        <v>139</v>
      </c>
      <c r="H3682" s="244"/>
      <c r="I3682" s="71" t="e">
        <f>IF(COUNTIF((rName rData),H3682),"","Name Error!")</f>
        <v>#NAME?</v>
      </c>
    </row>
    <row r="3683" spans="2:9" s="126" customFormat="1" ht="15" customHeight="1" x14ac:dyDescent="0.25">
      <c r="B3683" s="271" t="s">
        <v>267</v>
      </c>
      <c r="C3683" s="272" t="s">
        <v>268</v>
      </c>
      <c r="D3683" s="275" t="s">
        <v>216</v>
      </c>
      <c r="E3683" s="275">
        <v>41784.639108796298</v>
      </c>
      <c r="F3683" s="276">
        <v>1</v>
      </c>
      <c r="G3683" s="243">
        <f t="shared" si="58"/>
        <v>139</v>
      </c>
      <c r="H3683" s="244"/>
      <c r="I3683" s="71" t="e">
        <f>IF(COUNTIF((rName rData),H3683),"","Name Error!")</f>
        <v>#NAME?</v>
      </c>
    </row>
    <row r="3684" spans="2:9" s="126" customFormat="1" ht="15" customHeight="1" x14ac:dyDescent="0.25">
      <c r="B3684" s="271" t="s">
        <v>324</v>
      </c>
      <c r="C3684" s="272" t="s">
        <v>323</v>
      </c>
      <c r="D3684" s="275" t="s">
        <v>216</v>
      </c>
      <c r="E3684" s="275">
        <v>41784.647303240738</v>
      </c>
      <c r="F3684" s="276">
        <v>3</v>
      </c>
      <c r="G3684" s="243">
        <f t="shared" si="58"/>
        <v>139</v>
      </c>
      <c r="H3684" s="244"/>
      <c r="I3684" s="71" t="e">
        <f>IF(COUNTIF((rName rData),H3684),"","Name Error!")</f>
        <v>#NAME?</v>
      </c>
    </row>
    <row r="3685" spans="2:9" s="126" customFormat="1" ht="15" customHeight="1" x14ac:dyDescent="0.25">
      <c r="B3685" s="271" t="s">
        <v>354</v>
      </c>
      <c r="C3685" s="272" t="s">
        <v>353</v>
      </c>
      <c r="D3685" s="275" t="s">
        <v>216</v>
      </c>
      <c r="E3685" s="275">
        <v>41784.708738425928</v>
      </c>
      <c r="F3685" s="276">
        <v>2</v>
      </c>
      <c r="G3685" s="243">
        <f t="shared" si="58"/>
        <v>139</v>
      </c>
      <c r="H3685" s="244"/>
      <c r="I3685" s="71" t="e">
        <f>IF(COUNTIF((rName rData),H3685),"","Name Error!")</f>
        <v>#NAME?</v>
      </c>
    </row>
    <row r="3686" spans="2:9" s="126" customFormat="1" ht="15" customHeight="1" x14ac:dyDescent="0.25">
      <c r="B3686" s="271" t="s">
        <v>337</v>
      </c>
      <c r="C3686" s="272" t="s">
        <v>336</v>
      </c>
      <c r="D3686" s="275" t="s">
        <v>216</v>
      </c>
      <c r="E3686" s="275">
        <v>41784.720671296294</v>
      </c>
      <c r="F3686" s="276">
        <v>1</v>
      </c>
      <c r="G3686" s="243">
        <f t="shared" si="58"/>
        <v>139</v>
      </c>
      <c r="H3686" s="244"/>
      <c r="I3686" s="71" t="e">
        <f>IF(COUNTIF((rName rData),H3686),"","Name Error!")</f>
        <v>#NAME?</v>
      </c>
    </row>
    <row r="3687" spans="2:9" s="126" customFormat="1" ht="15" customHeight="1" x14ac:dyDescent="0.25">
      <c r="B3687" s="271" t="s">
        <v>365</v>
      </c>
      <c r="C3687" s="272" t="s">
        <v>364</v>
      </c>
      <c r="D3687" s="275" t="s">
        <v>216</v>
      </c>
      <c r="E3687" s="275">
        <v>41784.941412037035</v>
      </c>
      <c r="F3687" s="276">
        <v>2</v>
      </c>
      <c r="G3687" s="243">
        <f t="shared" si="58"/>
        <v>139</v>
      </c>
      <c r="H3687" s="244"/>
      <c r="I3687" s="71" t="e">
        <f>IF(COUNTIF((rName rData),H3687),"","Name Error!")</f>
        <v>#NAME?</v>
      </c>
    </row>
    <row r="3688" spans="2:9" s="126" customFormat="1" ht="15" customHeight="1" x14ac:dyDescent="0.25">
      <c r="B3688" s="271" t="s">
        <v>331</v>
      </c>
      <c r="C3688" s="272" t="s">
        <v>330</v>
      </c>
      <c r="D3688" s="275" t="s">
        <v>216</v>
      </c>
      <c r="E3688" s="275">
        <v>41784.9531712963</v>
      </c>
      <c r="F3688" s="276">
        <v>1</v>
      </c>
      <c r="G3688" s="243">
        <f t="shared" si="58"/>
        <v>139</v>
      </c>
      <c r="H3688" s="244"/>
      <c r="I3688" s="71" t="e">
        <f>IF(COUNTIF((rName rData),H3688),"","Name Error!")</f>
        <v>#NAME?</v>
      </c>
    </row>
    <row r="3689" spans="2:9" s="126" customFormat="1" ht="15" customHeight="1" x14ac:dyDescent="0.25">
      <c r="B3689" s="271" t="s">
        <v>333</v>
      </c>
      <c r="C3689" s="272" t="s">
        <v>332</v>
      </c>
      <c r="D3689" s="275" t="s">
        <v>216</v>
      </c>
      <c r="E3689" s="275">
        <v>41784.984768518516</v>
      </c>
      <c r="F3689" s="276">
        <v>1</v>
      </c>
      <c r="G3689" s="243">
        <f t="shared" si="58"/>
        <v>139</v>
      </c>
      <c r="H3689" s="244"/>
      <c r="I3689" s="71" t="e">
        <f>IF(COUNTIF((rName rData),H3689),"","Name Error!")</f>
        <v>#NAME?</v>
      </c>
    </row>
    <row r="3690" spans="2:9" s="126" customFormat="1" ht="15" customHeight="1" x14ac:dyDescent="0.25">
      <c r="B3690" s="271" t="s">
        <v>322</v>
      </c>
      <c r="C3690" s="272" t="s">
        <v>321</v>
      </c>
      <c r="D3690" s="275" t="s">
        <v>216</v>
      </c>
      <c r="E3690" s="275">
        <v>41785.424745370372</v>
      </c>
      <c r="F3690" s="276">
        <v>1</v>
      </c>
      <c r="G3690" s="243">
        <f t="shared" si="58"/>
        <v>139</v>
      </c>
      <c r="H3690" s="244"/>
      <c r="I3690" s="71" t="e">
        <f>IF(COUNTIF((rName rData),H3690),"","Name Error!")</f>
        <v>#NAME?</v>
      </c>
    </row>
    <row r="3691" spans="2:9" s="126" customFormat="1" ht="15" customHeight="1" x14ac:dyDescent="0.25">
      <c r="B3691" s="271" t="s">
        <v>333</v>
      </c>
      <c r="C3691" s="272" t="s">
        <v>332</v>
      </c>
      <c r="D3691" s="275" t="s">
        <v>216</v>
      </c>
      <c r="E3691" s="275">
        <v>41785.547384259262</v>
      </c>
      <c r="F3691" s="276">
        <v>3</v>
      </c>
      <c r="G3691" s="243">
        <f t="shared" si="58"/>
        <v>139</v>
      </c>
      <c r="H3691" s="244"/>
      <c r="I3691" s="71" t="e">
        <f>IF(COUNTIF((rName rData),H3691),"","Name Error!")</f>
        <v>#NAME?</v>
      </c>
    </row>
    <row r="3692" spans="2:9" s="126" customFormat="1" ht="15" customHeight="1" x14ac:dyDescent="0.25">
      <c r="B3692" s="271" t="s">
        <v>371</v>
      </c>
      <c r="C3692" s="272" t="s">
        <v>370</v>
      </c>
      <c r="D3692" s="275" t="s">
        <v>216</v>
      </c>
      <c r="E3692" s="275">
        <v>41785.693912037037</v>
      </c>
      <c r="F3692" s="276">
        <v>1</v>
      </c>
      <c r="G3692" s="243">
        <f t="shared" si="58"/>
        <v>139</v>
      </c>
      <c r="H3692" s="244"/>
      <c r="I3692" s="71" t="e">
        <f>IF(COUNTIF((rName rData),H3692),"","Name Error!")</f>
        <v>#NAME?</v>
      </c>
    </row>
    <row r="3693" spans="2:9" s="126" customFormat="1" ht="15" customHeight="1" x14ac:dyDescent="0.25">
      <c r="B3693" s="271" t="s">
        <v>267</v>
      </c>
      <c r="C3693" s="272" t="s">
        <v>268</v>
      </c>
      <c r="D3693" s="275" t="s">
        <v>216</v>
      </c>
      <c r="E3693" s="275">
        <v>41786.010243055556</v>
      </c>
      <c r="F3693" s="276">
        <v>2</v>
      </c>
      <c r="G3693" s="243">
        <f t="shared" si="58"/>
        <v>139</v>
      </c>
      <c r="H3693" s="244"/>
      <c r="I3693" s="71" t="e">
        <f>IF(COUNTIF((rName rData),H3693),"","Name Error!")</f>
        <v>#NAME?</v>
      </c>
    </row>
    <row r="3694" spans="2:9" s="126" customFormat="1" ht="15" customHeight="1" x14ac:dyDescent="0.25">
      <c r="B3694" s="271" t="s">
        <v>333</v>
      </c>
      <c r="C3694" s="272" t="s">
        <v>332</v>
      </c>
      <c r="D3694" s="275" t="s">
        <v>216</v>
      </c>
      <c r="E3694" s="275">
        <v>41786.18954861111</v>
      </c>
      <c r="F3694" s="276">
        <v>2</v>
      </c>
      <c r="G3694" s="243">
        <f t="shared" si="58"/>
        <v>139</v>
      </c>
      <c r="H3694" s="244"/>
      <c r="I3694" s="71" t="e">
        <f>IF(COUNTIF((rName rData),H3694),"","Name Error!")</f>
        <v>#NAME?</v>
      </c>
    </row>
    <row r="3695" spans="2:9" s="126" customFormat="1" ht="15" customHeight="1" x14ac:dyDescent="0.25">
      <c r="B3695" s="271" t="s">
        <v>331</v>
      </c>
      <c r="C3695" s="272" t="s">
        <v>330</v>
      </c>
      <c r="D3695" s="275" t="s">
        <v>216</v>
      </c>
      <c r="E3695" s="275">
        <v>41786.547893518517</v>
      </c>
      <c r="F3695" s="276">
        <v>1</v>
      </c>
      <c r="G3695" s="243">
        <f t="shared" si="58"/>
        <v>139</v>
      </c>
      <c r="H3695" s="244"/>
      <c r="I3695" s="71" t="e">
        <f>IF(COUNTIF((rName rData),H3695),"","Name Error!")</f>
        <v>#NAME?</v>
      </c>
    </row>
    <row r="3696" spans="2:9" s="126" customFormat="1" ht="15" customHeight="1" x14ac:dyDescent="0.25">
      <c r="B3696" s="271" t="s">
        <v>322</v>
      </c>
      <c r="C3696" s="272" t="s">
        <v>321</v>
      </c>
      <c r="D3696" s="275" t="s">
        <v>216</v>
      </c>
      <c r="E3696" s="275">
        <v>41786.608055555553</v>
      </c>
      <c r="F3696" s="276">
        <v>1</v>
      </c>
      <c r="G3696" s="243">
        <f t="shared" si="58"/>
        <v>139</v>
      </c>
      <c r="H3696" s="244"/>
      <c r="I3696" s="71" t="e">
        <f>IF(COUNTIF((rName rData),H3696),"","Name Error!")</f>
        <v>#NAME?</v>
      </c>
    </row>
    <row r="3697" spans="2:9" s="126" customFormat="1" ht="15" customHeight="1" x14ac:dyDescent="0.25">
      <c r="B3697" s="271" t="s">
        <v>333</v>
      </c>
      <c r="C3697" s="272" t="s">
        <v>332</v>
      </c>
      <c r="D3697" s="275" t="s">
        <v>216</v>
      </c>
      <c r="E3697" s="275">
        <v>41787.012858796297</v>
      </c>
      <c r="F3697" s="276">
        <v>2</v>
      </c>
      <c r="G3697" s="243">
        <f t="shared" si="58"/>
        <v>139</v>
      </c>
      <c r="H3697" s="244"/>
      <c r="I3697" s="71" t="e">
        <f>IF(COUNTIF((rName rData),H3697),"","Name Error!")</f>
        <v>#NAME?</v>
      </c>
    </row>
    <row r="3698" spans="2:9" s="126" customFormat="1" ht="15" customHeight="1" x14ac:dyDescent="0.25">
      <c r="B3698" s="271" t="s">
        <v>339</v>
      </c>
      <c r="C3698" s="272" t="s">
        <v>338</v>
      </c>
      <c r="D3698" s="275" t="s">
        <v>216</v>
      </c>
      <c r="E3698" s="275">
        <v>41787.092407407406</v>
      </c>
      <c r="F3698" s="276">
        <v>3</v>
      </c>
      <c r="G3698" s="243">
        <f t="shared" si="58"/>
        <v>139</v>
      </c>
      <c r="H3698" s="244"/>
      <c r="I3698" s="71" t="e">
        <f>IF(COUNTIF((rName rData),H3698),"","Name Error!")</f>
        <v>#NAME?</v>
      </c>
    </row>
    <row r="3699" spans="2:9" s="126" customFormat="1" ht="15" customHeight="1" x14ac:dyDescent="0.25">
      <c r="B3699" s="271" t="s">
        <v>345</v>
      </c>
      <c r="C3699" s="272" t="s">
        <v>344</v>
      </c>
      <c r="D3699" s="275" t="s">
        <v>216</v>
      </c>
      <c r="E3699" s="275">
        <v>41787.615972222222</v>
      </c>
      <c r="F3699" s="276">
        <v>1</v>
      </c>
      <c r="G3699" s="243">
        <f t="shared" si="58"/>
        <v>139</v>
      </c>
      <c r="H3699" s="244"/>
      <c r="I3699" s="71" t="e">
        <f>IF(COUNTIF((rName rData),H3699),"","Name Error!")</f>
        <v>#NAME?</v>
      </c>
    </row>
    <row r="3700" spans="2:9" s="126" customFormat="1" ht="15" customHeight="1" x14ac:dyDescent="0.25">
      <c r="B3700" s="271" t="s">
        <v>324</v>
      </c>
      <c r="C3700" s="272" t="s">
        <v>323</v>
      </c>
      <c r="D3700" s="275" t="s">
        <v>216</v>
      </c>
      <c r="E3700" s="275">
        <v>41787.651006944441</v>
      </c>
      <c r="F3700" s="276">
        <v>1</v>
      </c>
      <c r="G3700" s="243">
        <f t="shared" si="58"/>
        <v>139</v>
      </c>
      <c r="H3700" s="244"/>
      <c r="I3700" s="71" t="e">
        <f>IF(COUNTIF((rName rData),H3700),"","Name Error!")</f>
        <v>#NAME?</v>
      </c>
    </row>
    <row r="3701" spans="2:9" s="126" customFormat="1" ht="15" customHeight="1" x14ac:dyDescent="0.25">
      <c r="B3701" s="271" t="s">
        <v>331</v>
      </c>
      <c r="C3701" s="272" t="s">
        <v>330</v>
      </c>
      <c r="D3701" s="275" t="s">
        <v>216</v>
      </c>
      <c r="E3701" s="275">
        <v>41787.95480324074</v>
      </c>
      <c r="F3701" s="276">
        <v>1</v>
      </c>
      <c r="G3701" s="243">
        <f t="shared" si="58"/>
        <v>139</v>
      </c>
      <c r="H3701" s="244"/>
      <c r="I3701" s="71" t="e">
        <f>IF(COUNTIF((rName rData),H3701),"","Name Error!")</f>
        <v>#NAME?</v>
      </c>
    </row>
    <row r="3702" spans="2:9" s="126" customFormat="1" ht="15" customHeight="1" x14ac:dyDescent="0.25">
      <c r="B3702" s="271" t="s">
        <v>322</v>
      </c>
      <c r="C3702" s="272" t="s">
        <v>321</v>
      </c>
      <c r="D3702" s="275" t="s">
        <v>216</v>
      </c>
      <c r="E3702" s="275">
        <v>41787.998356481483</v>
      </c>
      <c r="F3702" s="276">
        <v>1</v>
      </c>
      <c r="G3702" s="243">
        <f t="shared" si="58"/>
        <v>139</v>
      </c>
      <c r="H3702" s="244"/>
      <c r="I3702" s="71" t="e">
        <f>IF(COUNTIF((rName rData),H3702),"","Name Error!")</f>
        <v>#NAME?</v>
      </c>
    </row>
    <row r="3703" spans="2:9" s="126" customFormat="1" ht="15" customHeight="1" x14ac:dyDescent="0.25">
      <c r="B3703" s="271" t="s">
        <v>324</v>
      </c>
      <c r="C3703" s="272" t="s">
        <v>323</v>
      </c>
      <c r="D3703" s="275" t="s">
        <v>216</v>
      </c>
      <c r="E3703" s="275">
        <v>41788.019004629627</v>
      </c>
      <c r="F3703" s="276">
        <v>2</v>
      </c>
      <c r="G3703" s="243">
        <f t="shared" si="58"/>
        <v>139</v>
      </c>
      <c r="H3703" s="244"/>
      <c r="I3703" s="71" t="e">
        <f>IF(COUNTIF((rName rData),H3703),"","Name Error!")</f>
        <v>#NAME?</v>
      </c>
    </row>
    <row r="3704" spans="2:9" s="126" customFormat="1" ht="15" customHeight="1" x14ac:dyDescent="0.25">
      <c r="B3704" s="271" t="s">
        <v>341</v>
      </c>
      <c r="C3704" s="272" t="s">
        <v>340</v>
      </c>
      <c r="D3704" s="275" t="s">
        <v>216</v>
      </c>
      <c r="E3704" s="275">
        <v>41788.420983796299</v>
      </c>
      <c r="F3704" s="276">
        <v>1</v>
      </c>
      <c r="G3704" s="243">
        <f t="shared" si="58"/>
        <v>139</v>
      </c>
      <c r="H3704" s="244"/>
      <c r="I3704" s="71" t="e">
        <f>IF(COUNTIF((rName rData),H3704),"","Name Error!")</f>
        <v>#NAME?</v>
      </c>
    </row>
    <row r="3705" spans="2:9" s="126" customFormat="1" ht="15" customHeight="1" x14ac:dyDescent="0.25">
      <c r="B3705" s="271" t="s">
        <v>333</v>
      </c>
      <c r="C3705" s="272" t="s">
        <v>332</v>
      </c>
      <c r="D3705" s="275" t="s">
        <v>216</v>
      </c>
      <c r="E3705" s="275">
        <v>41788.63753472222</v>
      </c>
      <c r="F3705" s="276">
        <v>1</v>
      </c>
      <c r="G3705" s="243">
        <f t="shared" si="58"/>
        <v>139</v>
      </c>
      <c r="H3705" s="244"/>
      <c r="I3705" s="71" t="e">
        <f>IF(COUNTIF((rName rData),H3705),"","Name Error!")</f>
        <v>#NAME?</v>
      </c>
    </row>
    <row r="3706" spans="2:9" s="126" customFormat="1" ht="15" customHeight="1" x14ac:dyDescent="0.25">
      <c r="B3706" s="271" t="s">
        <v>331</v>
      </c>
      <c r="C3706" s="272" t="s">
        <v>330</v>
      </c>
      <c r="D3706" s="275" t="s">
        <v>216</v>
      </c>
      <c r="E3706" s="275">
        <v>41788.769618055558</v>
      </c>
      <c r="F3706" s="276">
        <v>1</v>
      </c>
      <c r="G3706" s="243">
        <f t="shared" si="58"/>
        <v>139</v>
      </c>
      <c r="H3706" s="244"/>
      <c r="I3706" s="71" t="e">
        <f>IF(COUNTIF((rName rData),H3706),"","Name Error!")</f>
        <v>#NAME?</v>
      </c>
    </row>
    <row r="3707" spans="2:9" s="126" customFormat="1" ht="15" customHeight="1" x14ac:dyDescent="0.25">
      <c r="B3707" s="271" t="s">
        <v>371</v>
      </c>
      <c r="C3707" s="272" t="s">
        <v>370</v>
      </c>
      <c r="D3707" s="275" t="s">
        <v>216</v>
      </c>
      <c r="E3707" s="275">
        <v>41788.780902777777</v>
      </c>
      <c r="F3707" s="276">
        <v>2</v>
      </c>
      <c r="G3707" s="243">
        <f t="shared" si="58"/>
        <v>139</v>
      </c>
      <c r="H3707" s="244"/>
      <c r="I3707" s="71" t="e">
        <f>IF(COUNTIF((rName rData),H3707),"","Name Error!")</f>
        <v>#NAME?</v>
      </c>
    </row>
    <row r="3708" spans="2:9" s="126" customFormat="1" ht="15" customHeight="1" x14ac:dyDescent="0.25">
      <c r="B3708" s="271" t="s">
        <v>352</v>
      </c>
      <c r="C3708" s="272" t="s">
        <v>351</v>
      </c>
      <c r="D3708" s="275" t="s">
        <v>216</v>
      </c>
      <c r="E3708" s="275">
        <v>41789.238009259258</v>
      </c>
      <c r="F3708" s="276">
        <v>1</v>
      </c>
      <c r="G3708" s="243">
        <f t="shared" si="58"/>
        <v>139</v>
      </c>
      <c r="H3708" s="244"/>
      <c r="I3708" s="71" t="e">
        <f>IF(COUNTIF((rName rData),H3708),"","Name Error!")</f>
        <v>#NAME?</v>
      </c>
    </row>
    <row r="3709" spans="2:9" s="126" customFormat="1" ht="15" customHeight="1" x14ac:dyDescent="0.25">
      <c r="B3709" s="271" t="s">
        <v>345</v>
      </c>
      <c r="C3709" s="272" t="s">
        <v>344</v>
      </c>
      <c r="D3709" s="275" t="s">
        <v>216</v>
      </c>
      <c r="E3709" s="275">
        <v>41789.266747685186</v>
      </c>
      <c r="F3709" s="276">
        <v>1</v>
      </c>
      <c r="G3709" s="243">
        <f t="shared" si="58"/>
        <v>139</v>
      </c>
      <c r="H3709" s="244"/>
      <c r="I3709" s="71" t="e">
        <f>IF(COUNTIF((rName rData),H3709),"","Name Error!")</f>
        <v>#NAME?</v>
      </c>
    </row>
    <row r="3710" spans="2:9" s="126" customFormat="1" ht="15" customHeight="1" x14ac:dyDescent="0.25">
      <c r="B3710" s="271" t="s">
        <v>335</v>
      </c>
      <c r="C3710" s="272" t="s">
        <v>334</v>
      </c>
      <c r="D3710" s="275" t="s">
        <v>216</v>
      </c>
      <c r="E3710" s="275">
        <v>41789.331979166665</v>
      </c>
      <c r="F3710" s="276">
        <v>2</v>
      </c>
      <c r="G3710" s="243">
        <f t="shared" si="58"/>
        <v>139</v>
      </c>
      <c r="H3710" s="244"/>
      <c r="I3710" s="71" t="e">
        <f>IF(COUNTIF((rName rData),H3710),"","Name Error!")</f>
        <v>#NAME?</v>
      </c>
    </row>
    <row r="3711" spans="2:9" s="126" customFormat="1" ht="15" customHeight="1" x14ac:dyDescent="0.25">
      <c r="B3711" s="271" t="s">
        <v>267</v>
      </c>
      <c r="C3711" s="272" t="s">
        <v>268</v>
      </c>
      <c r="D3711" s="275" t="s">
        <v>216</v>
      </c>
      <c r="E3711" s="275">
        <v>41789.335416666669</v>
      </c>
      <c r="F3711" s="276">
        <v>3</v>
      </c>
      <c r="G3711" s="243">
        <f t="shared" si="58"/>
        <v>139</v>
      </c>
      <c r="H3711" s="244"/>
      <c r="I3711" s="71" t="e">
        <f>IF(COUNTIF((rName rData),H3711),"","Name Error!")</f>
        <v>#NAME?</v>
      </c>
    </row>
    <row r="3712" spans="2:9" s="126" customFormat="1" ht="15" customHeight="1" x14ac:dyDescent="0.25">
      <c r="B3712" s="271" t="s">
        <v>354</v>
      </c>
      <c r="C3712" s="272" t="s">
        <v>353</v>
      </c>
      <c r="D3712" s="275" t="s">
        <v>216</v>
      </c>
      <c r="E3712" s="275">
        <v>41789.354664351849</v>
      </c>
      <c r="F3712" s="276">
        <v>1</v>
      </c>
      <c r="G3712" s="243">
        <f t="shared" si="58"/>
        <v>139</v>
      </c>
      <c r="H3712" s="244"/>
      <c r="I3712" s="71" t="e">
        <f>IF(COUNTIF((rName rData),H3712),"","Name Error!")</f>
        <v>#NAME?</v>
      </c>
    </row>
    <row r="3713" spans="2:9" s="126" customFormat="1" ht="15" customHeight="1" x14ac:dyDescent="0.25">
      <c r="B3713" s="271" t="s">
        <v>341</v>
      </c>
      <c r="C3713" s="272" t="s">
        <v>340</v>
      </c>
      <c r="D3713" s="275" t="s">
        <v>216</v>
      </c>
      <c r="E3713" s="275">
        <v>41789.355057870373</v>
      </c>
      <c r="F3713" s="276">
        <v>1</v>
      </c>
      <c r="G3713" s="243">
        <f t="shared" si="58"/>
        <v>139</v>
      </c>
      <c r="H3713" s="244"/>
      <c r="I3713" s="71" t="e">
        <f>IF(COUNTIF((rName rData),H3713),"","Name Error!")</f>
        <v>#NAME?</v>
      </c>
    </row>
    <row r="3714" spans="2:9" s="126" customFormat="1" ht="15" customHeight="1" x14ac:dyDescent="0.25">
      <c r="B3714" s="271" t="s">
        <v>324</v>
      </c>
      <c r="C3714" s="272" t="s">
        <v>323</v>
      </c>
      <c r="D3714" s="275" t="s">
        <v>216</v>
      </c>
      <c r="E3714" s="275">
        <v>41789.539560185185</v>
      </c>
      <c r="F3714" s="276">
        <v>1</v>
      </c>
      <c r="G3714" s="243">
        <f t="shared" si="58"/>
        <v>139</v>
      </c>
      <c r="H3714" s="244"/>
      <c r="I3714" s="71" t="e">
        <f>IF(COUNTIF((rName rData),H3714),"","Name Error!")</f>
        <v>#NAME?</v>
      </c>
    </row>
    <row r="3715" spans="2:9" s="126" customFormat="1" ht="15" customHeight="1" x14ac:dyDescent="0.25">
      <c r="B3715" s="271" t="s">
        <v>337</v>
      </c>
      <c r="C3715" s="272" t="s">
        <v>336</v>
      </c>
      <c r="D3715" s="275" t="s">
        <v>216</v>
      </c>
      <c r="E3715" s="275">
        <v>41789.566747685189</v>
      </c>
      <c r="F3715" s="276">
        <v>1</v>
      </c>
      <c r="G3715" s="243">
        <f t="shared" si="58"/>
        <v>139</v>
      </c>
      <c r="H3715" s="244"/>
      <c r="I3715" s="71" t="e">
        <f>IF(COUNTIF((rName rData),H3715),"","Name Error!")</f>
        <v>#NAME?</v>
      </c>
    </row>
    <row r="3716" spans="2:9" s="126" customFormat="1" ht="15" customHeight="1" x14ac:dyDescent="0.25">
      <c r="B3716" s="271" t="s">
        <v>331</v>
      </c>
      <c r="C3716" s="272" t="s">
        <v>330</v>
      </c>
      <c r="D3716" s="275" t="s">
        <v>216</v>
      </c>
      <c r="E3716" s="275">
        <v>41789.764421296299</v>
      </c>
      <c r="F3716" s="276">
        <v>1</v>
      </c>
      <c r="G3716" s="243">
        <f t="shared" si="58"/>
        <v>139</v>
      </c>
      <c r="H3716" s="244"/>
      <c r="I3716" s="71" t="e">
        <f>IF(COUNTIF((rName rData),H3716),"","Name Error!")</f>
        <v>#NAME?</v>
      </c>
    </row>
    <row r="3717" spans="2:9" s="126" customFormat="1" ht="15" customHeight="1" x14ac:dyDescent="0.25">
      <c r="B3717" s="271" t="s">
        <v>371</v>
      </c>
      <c r="C3717" s="272" t="s">
        <v>370</v>
      </c>
      <c r="D3717" s="275" t="s">
        <v>216</v>
      </c>
      <c r="E3717" s="275">
        <v>41789.785057870373</v>
      </c>
      <c r="F3717" s="276">
        <v>2</v>
      </c>
      <c r="G3717" s="243">
        <f t="shared" si="58"/>
        <v>139</v>
      </c>
      <c r="H3717" s="244"/>
      <c r="I3717" s="71" t="e">
        <f>IF(COUNTIF((rName rData),H3717),"","Name Error!")</f>
        <v>#NAME?</v>
      </c>
    </row>
    <row r="3718" spans="2:9" s="126" customFormat="1" ht="15" customHeight="1" x14ac:dyDescent="0.25">
      <c r="B3718" s="271" t="s">
        <v>358</v>
      </c>
      <c r="C3718" s="272" t="s">
        <v>357</v>
      </c>
      <c r="D3718" s="275" t="s">
        <v>216</v>
      </c>
      <c r="E3718" s="275">
        <v>41789.924942129626</v>
      </c>
      <c r="F3718" s="276">
        <v>1</v>
      </c>
      <c r="G3718" s="243">
        <f t="shared" si="58"/>
        <v>139</v>
      </c>
      <c r="H3718" s="244"/>
      <c r="I3718" s="71" t="e">
        <f>IF(COUNTIF((rName rData),H3718),"","Name Error!")</f>
        <v>#NAME?</v>
      </c>
    </row>
    <row r="3719" spans="2:9" s="126" customFormat="1" ht="15" customHeight="1" x14ac:dyDescent="0.25">
      <c r="B3719" s="271" t="s">
        <v>339</v>
      </c>
      <c r="C3719" s="272" t="s">
        <v>338</v>
      </c>
      <c r="D3719" s="275" t="s">
        <v>216</v>
      </c>
      <c r="E3719" s="275">
        <v>41790.189340277779</v>
      </c>
      <c r="F3719" s="276">
        <v>1</v>
      </c>
      <c r="G3719" s="243">
        <f t="shared" si="58"/>
        <v>140</v>
      </c>
      <c r="H3719" s="244"/>
      <c r="I3719" s="71" t="e">
        <f>IF(COUNTIF((rName rData),H3719),"","Name Error!")</f>
        <v>#NAME?</v>
      </c>
    </row>
    <row r="3720" spans="2:9" s="126" customFormat="1" ht="15" customHeight="1" x14ac:dyDescent="0.25">
      <c r="B3720" s="271" t="s">
        <v>341</v>
      </c>
      <c r="C3720" s="272" t="s">
        <v>340</v>
      </c>
      <c r="D3720" s="275" t="s">
        <v>216</v>
      </c>
      <c r="E3720" s="275">
        <v>41790.356944444444</v>
      </c>
      <c r="F3720" s="276">
        <v>2</v>
      </c>
      <c r="G3720" s="243">
        <f t="shared" si="58"/>
        <v>140</v>
      </c>
      <c r="H3720" s="244"/>
      <c r="I3720" s="71" t="e">
        <f>IF(COUNTIF((rName rData),H3720),"","Name Error!")</f>
        <v>#NAME?</v>
      </c>
    </row>
    <row r="3721" spans="2:9" s="126" customFormat="1" ht="15" customHeight="1" x14ac:dyDescent="0.25">
      <c r="B3721" s="271" t="s">
        <v>322</v>
      </c>
      <c r="C3721" s="272" t="s">
        <v>321</v>
      </c>
      <c r="D3721" s="275" t="s">
        <v>216</v>
      </c>
      <c r="E3721" s="275">
        <v>41790.40415509259</v>
      </c>
      <c r="F3721" s="276">
        <v>1</v>
      </c>
      <c r="G3721" s="243">
        <f t="shared" si="58"/>
        <v>140</v>
      </c>
      <c r="H3721" s="244"/>
      <c r="I3721" s="71" t="e">
        <f>IF(COUNTIF((rName rData),H3721),"","Name Error!")</f>
        <v>#NAME?</v>
      </c>
    </row>
    <row r="3722" spans="2:9" s="126" customFormat="1" ht="15" customHeight="1" x14ac:dyDescent="0.25">
      <c r="B3722" s="271" t="s">
        <v>362</v>
      </c>
      <c r="C3722" s="272" t="s">
        <v>361</v>
      </c>
      <c r="D3722" s="275" t="s">
        <v>216</v>
      </c>
      <c r="E3722" s="275">
        <v>41790.481678240743</v>
      </c>
      <c r="F3722" s="276">
        <v>1</v>
      </c>
      <c r="G3722" s="243">
        <f t="shared" ref="G3722:G3758" si="59">TRUNC((E3722-start)/7)+1</f>
        <v>140</v>
      </c>
      <c r="H3722" s="244"/>
      <c r="I3722" s="71" t="e">
        <f>IF(COUNTIF((rName rData),H3722),"","Name Error!")</f>
        <v>#NAME?</v>
      </c>
    </row>
    <row r="3723" spans="2:9" s="126" customFormat="1" ht="15" customHeight="1" x14ac:dyDescent="0.25">
      <c r="B3723" s="271" t="s">
        <v>337</v>
      </c>
      <c r="C3723" s="272" t="s">
        <v>336</v>
      </c>
      <c r="D3723" s="275" t="s">
        <v>216</v>
      </c>
      <c r="E3723" s="275">
        <v>41790.485601851855</v>
      </c>
      <c r="F3723" s="276">
        <v>2</v>
      </c>
      <c r="G3723" s="243">
        <f t="shared" si="59"/>
        <v>140</v>
      </c>
      <c r="H3723" s="244"/>
      <c r="I3723" s="71" t="e">
        <f>IF(COUNTIF((rName rData),H3723),"","Name Error!")</f>
        <v>#NAME?</v>
      </c>
    </row>
    <row r="3724" spans="2:9" s="126" customFormat="1" ht="15" customHeight="1" x14ac:dyDescent="0.25">
      <c r="B3724" s="271" t="s">
        <v>371</v>
      </c>
      <c r="C3724" s="272" t="s">
        <v>370</v>
      </c>
      <c r="D3724" s="275" t="s">
        <v>216</v>
      </c>
      <c r="E3724" s="275">
        <v>41790.572002314817</v>
      </c>
      <c r="F3724" s="276">
        <v>1</v>
      </c>
      <c r="G3724" s="243">
        <f t="shared" si="59"/>
        <v>140</v>
      </c>
      <c r="H3724" s="244"/>
      <c r="I3724" s="71" t="e">
        <f>IF(COUNTIF((rName rData),H3724),"","Name Error!")</f>
        <v>#NAME?</v>
      </c>
    </row>
    <row r="3725" spans="2:9" s="126" customFormat="1" ht="15" customHeight="1" x14ac:dyDescent="0.25">
      <c r="B3725" s="271" t="s">
        <v>324</v>
      </c>
      <c r="C3725" s="272" t="s">
        <v>323</v>
      </c>
      <c r="D3725" s="275" t="s">
        <v>216</v>
      </c>
      <c r="E3725" s="275">
        <v>41790.59820601852</v>
      </c>
      <c r="F3725" s="276">
        <v>1</v>
      </c>
      <c r="G3725" s="243">
        <f t="shared" si="59"/>
        <v>140</v>
      </c>
      <c r="H3725" s="244"/>
      <c r="I3725" s="71" t="e">
        <f>IF(COUNTIF((rName rData),H3725),"","Name Error!")</f>
        <v>#NAME?</v>
      </c>
    </row>
    <row r="3726" spans="2:9" s="126" customFormat="1" ht="15" customHeight="1" x14ac:dyDescent="0.25">
      <c r="B3726" s="271" t="s">
        <v>331</v>
      </c>
      <c r="C3726" s="272" t="s">
        <v>330</v>
      </c>
      <c r="D3726" s="275" t="s">
        <v>216</v>
      </c>
      <c r="E3726" s="275">
        <v>41790.684108796297</v>
      </c>
      <c r="F3726" s="276">
        <v>1</v>
      </c>
      <c r="G3726" s="243">
        <f t="shared" si="59"/>
        <v>140</v>
      </c>
      <c r="H3726" s="244"/>
      <c r="I3726" s="71" t="e">
        <f>IF(COUNTIF((rName rData),H3726),"","Name Error!")</f>
        <v>#NAME?</v>
      </c>
    </row>
    <row r="3727" spans="2:9" s="126" customFormat="1" ht="15" customHeight="1" x14ac:dyDescent="0.25">
      <c r="B3727" s="271" t="s">
        <v>267</v>
      </c>
      <c r="C3727" s="272" t="s">
        <v>268</v>
      </c>
      <c r="D3727" s="275" t="s">
        <v>216</v>
      </c>
      <c r="E3727" s="275">
        <v>41790.785474537035</v>
      </c>
      <c r="F3727" s="276">
        <v>1</v>
      </c>
      <c r="G3727" s="243">
        <f t="shared" si="59"/>
        <v>140</v>
      </c>
      <c r="H3727" s="244"/>
      <c r="I3727" s="71" t="e">
        <f>IF(COUNTIF((rName rData),H3727),"","Name Error!")</f>
        <v>#NAME?</v>
      </c>
    </row>
    <row r="3728" spans="2:9" s="126" customFormat="1" ht="15" customHeight="1" x14ac:dyDescent="0.25">
      <c r="B3728" s="271" t="s">
        <v>350</v>
      </c>
      <c r="C3728" s="272" t="s">
        <v>349</v>
      </c>
      <c r="D3728" s="275" t="s">
        <v>216</v>
      </c>
      <c r="E3728" s="275">
        <v>41790.954722222225</v>
      </c>
      <c r="F3728" s="276">
        <v>1</v>
      </c>
      <c r="G3728" s="243">
        <f t="shared" si="59"/>
        <v>140</v>
      </c>
      <c r="H3728" s="244"/>
      <c r="I3728" s="71" t="e">
        <f>IF(COUNTIF((rName rData),H3728),"","Name Error!")</f>
        <v>#NAME?</v>
      </c>
    </row>
    <row r="3729" spans="2:9" s="126" customFormat="1" ht="15" customHeight="1" x14ac:dyDescent="0.25">
      <c r="B3729" s="271" t="s">
        <v>331</v>
      </c>
      <c r="C3729" s="272" t="s">
        <v>330</v>
      </c>
      <c r="D3729" s="275" t="s">
        <v>216</v>
      </c>
      <c r="E3729" s="275">
        <v>41791.171666666669</v>
      </c>
      <c r="F3729" s="276">
        <v>2</v>
      </c>
      <c r="G3729" s="243">
        <f t="shared" si="59"/>
        <v>140</v>
      </c>
      <c r="H3729" s="244"/>
      <c r="I3729" s="71" t="e">
        <f>IF(COUNTIF((rName rData),H3729),"","Name Error!")</f>
        <v>#NAME?</v>
      </c>
    </row>
    <row r="3730" spans="2:9" s="126" customFormat="1" ht="15" customHeight="1" x14ac:dyDescent="0.25">
      <c r="B3730" s="271" t="s">
        <v>341</v>
      </c>
      <c r="C3730" s="272" t="s">
        <v>340</v>
      </c>
      <c r="D3730" s="275" t="s">
        <v>216</v>
      </c>
      <c r="E3730" s="275">
        <v>41791.400011574071</v>
      </c>
      <c r="F3730" s="276">
        <v>2</v>
      </c>
      <c r="G3730" s="243">
        <f t="shared" si="59"/>
        <v>140</v>
      </c>
      <c r="H3730" s="244"/>
      <c r="I3730" s="71" t="e">
        <f>IF(COUNTIF((rName rData),H3730),"","Name Error!")</f>
        <v>#NAME?</v>
      </c>
    </row>
    <row r="3731" spans="2:9" s="126" customFormat="1" ht="15" customHeight="1" x14ac:dyDescent="0.25">
      <c r="B3731" s="271" t="s">
        <v>352</v>
      </c>
      <c r="C3731" s="272" t="s">
        <v>351</v>
      </c>
      <c r="D3731" s="275" t="s">
        <v>216</v>
      </c>
      <c r="E3731" s="275">
        <v>41791.509837962964</v>
      </c>
      <c r="F3731" s="276">
        <v>2</v>
      </c>
      <c r="G3731" s="243">
        <f t="shared" si="59"/>
        <v>140</v>
      </c>
      <c r="H3731" s="244"/>
      <c r="I3731" s="71" t="e">
        <f>IF(COUNTIF((rName rData),H3731),"","Name Error!")</f>
        <v>#NAME?</v>
      </c>
    </row>
    <row r="3732" spans="2:9" s="126" customFormat="1" ht="15" customHeight="1" x14ac:dyDescent="0.25">
      <c r="B3732" s="271" t="s">
        <v>371</v>
      </c>
      <c r="C3732" s="272" t="s">
        <v>370</v>
      </c>
      <c r="D3732" s="275" t="s">
        <v>216</v>
      </c>
      <c r="E3732" s="275">
        <v>41791.511076388888</v>
      </c>
      <c r="F3732" s="276">
        <v>1</v>
      </c>
      <c r="G3732" s="243">
        <f t="shared" si="59"/>
        <v>140</v>
      </c>
      <c r="H3732" s="244"/>
      <c r="I3732" s="71" t="e">
        <f>IF(COUNTIF((rName rData),H3732),"","Name Error!")</f>
        <v>#NAME?</v>
      </c>
    </row>
    <row r="3733" spans="2:9" s="126" customFormat="1" ht="15" customHeight="1" x14ac:dyDescent="0.25">
      <c r="B3733" s="271" t="s">
        <v>337</v>
      </c>
      <c r="C3733" s="272" t="s">
        <v>336</v>
      </c>
      <c r="D3733" s="275" t="s">
        <v>216</v>
      </c>
      <c r="E3733" s="275">
        <v>41791.528854166667</v>
      </c>
      <c r="F3733" s="276">
        <v>1</v>
      </c>
      <c r="G3733" s="243">
        <f t="shared" si="59"/>
        <v>140</v>
      </c>
      <c r="H3733" s="244"/>
      <c r="I3733" s="71" t="e">
        <f>IF(COUNTIF((rName rData),H3733),"","Name Error!")</f>
        <v>#NAME?</v>
      </c>
    </row>
    <row r="3734" spans="2:9" s="126" customFormat="1" ht="15" customHeight="1" x14ac:dyDescent="0.25">
      <c r="B3734" s="271" t="s">
        <v>350</v>
      </c>
      <c r="C3734" s="272" t="s">
        <v>349</v>
      </c>
      <c r="D3734" s="275" t="s">
        <v>216</v>
      </c>
      <c r="E3734" s="275">
        <v>41791.563402777778</v>
      </c>
      <c r="F3734" s="276">
        <v>1</v>
      </c>
      <c r="G3734" s="243">
        <f t="shared" si="59"/>
        <v>140</v>
      </c>
      <c r="H3734" s="244"/>
      <c r="I3734" s="71" t="e">
        <f>IF(COUNTIF((rName rData),H3734),"","Name Error!")</f>
        <v>#NAME?</v>
      </c>
    </row>
    <row r="3735" spans="2:9" s="126" customFormat="1" ht="15" customHeight="1" x14ac:dyDescent="0.25">
      <c r="B3735" s="271" t="s">
        <v>354</v>
      </c>
      <c r="C3735" s="272" t="s">
        <v>353</v>
      </c>
      <c r="D3735" s="275" t="s">
        <v>216</v>
      </c>
      <c r="E3735" s="275">
        <v>41791.653333333335</v>
      </c>
      <c r="F3735" s="276">
        <v>2</v>
      </c>
      <c r="G3735" s="243">
        <f t="shared" si="59"/>
        <v>140</v>
      </c>
      <c r="H3735" s="244"/>
      <c r="I3735" s="71" t="e">
        <f>IF(COUNTIF((rName rData),H3735),"","Name Error!")</f>
        <v>#NAME?</v>
      </c>
    </row>
    <row r="3736" spans="2:9" s="126" customFormat="1" ht="15" customHeight="1" x14ac:dyDescent="0.25">
      <c r="B3736" s="271" t="s">
        <v>362</v>
      </c>
      <c r="C3736" s="272" t="s">
        <v>361</v>
      </c>
      <c r="D3736" s="275" t="s">
        <v>216</v>
      </c>
      <c r="E3736" s="275">
        <v>41791.673148148147</v>
      </c>
      <c r="F3736" s="276">
        <v>1</v>
      </c>
      <c r="G3736" s="243">
        <f t="shared" si="59"/>
        <v>140</v>
      </c>
      <c r="H3736" s="244"/>
      <c r="I3736" s="71" t="e">
        <f>IF(COUNTIF((rName rData),H3736),"","Name Error!")</f>
        <v>#NAME?</v>
      </c>
    </row>
    <row r="3737" spans="2:9" s="126" customFormat="1" ht="15" customHeight="1" x14ac:dyDescent="0.25">
      <c r="B3737" s="271" t="s">
        <v>345</v>
      </c>
      <c r="C3737" s="272" t="s">
        <v>344</v>
      </c>
      <c r="D3737" s="275" t="s">
        <v>216</v>
      </c>
      <c r="E3737" s="275">
        <v>41791.682928240742</v>
      </c>
      <c r="F3737" s="276">
        <v>2</v>
      </c>
      <c r="G3737" s="243">
        <f t="shared" si="59"/>
        <v>140</v>
      </c>
      <c r="H3737" s="244"/>
      <c r="I3737" s="71" t="e">
        <f>IF(COUNTIF((rName rData),H3737),"","Name Error!")</f>
        <v>#NAME?</v>
      </c>
    </row>
    <row r="3738" spans="2:9" s="126" customFormat="1" ht="15" customHeight="1" x14ac:dyDescent="0.25">
      <c r="B3738" s="271" t="s">
        <v>267</v>
      </c>
      <c r="C3738" s="272" t="s">
        <v>268</v>
      </c>
      <c r="D3738" s="275" t="s">
        <v>216</v>
      </c>
      <c r="E3738" s="275">
        <v>41791.697164351855</v>
      </c>
      <c r="F3738" s="276">
        <v>2</v>
      </c>
      <c r="G3738" s="243">
        <f t="shared" si="59"/>
        <v>140</v>
      </c>
      <c r="H3738" s="244"/>
      <c r="I3738" s="71" t="e">
        <f>IF(COUNTIF((rName rData),H3738),"","Name Error!")</f>
        <v>#NAME?</v>
      </c>
    </row>
    <row r="3739" spans="2:9" s="126" customFormat="1" ht="15" customHeight="1" x14ac:dyDescent="0.25">
      <c r="B3739" s="271" t="s">
        <v>324</v>
      </c>
      <c r="C3739" s="272" t="s">
        <v>323</v>
      </c>
      <c r="D3739" s="275" t="s">
        <v>216</v>
      </c>
      <c r="E3739" s="275">
        <v>41791.707789351851</v>
      </c>
      <c r="F3739" s="276">
        <v>1</v>
      </c>
      <c r="G3739" s="243">
        <f t="shared" si="59"/>
        <v>140</v>
      </c>
      <c r="H3739" s="244"/>
      <c r="I3739" s="71" t="e">
        <f>IF(COUNTIF((rName rData),H3739),"","Name Error!")</f>
        <v>#NAME?</v>
      </c>
    </row>
    <row r="3740" spans="2:9" s="126" customFormat="1" ht="15" customHeight="1" x14ac:dyDescent="0.25">
      <c r="B3740" s="271" t="s">
        <v>320</v>
      </c>
      <c r="C3740" s="272" t="s">
        <v>319</v>
      </c>
      <c r="D3740" s="275" t="s">
        <v>216</v>
      </c>
      <c r="E3740" s="275">
        <v>41791.736388888887</v>
      </c>
      <c r="F3740" s="276">
        <v>1</v>
      </c>
      <c r="G3740" s="243">
        <f t="shared" si="59"/>
        <v>140</v>
      </c>
      <c r="H3740" s="244"/>
      <c r="I3740" s="71" t="e">
        <f>IF(COUNTIF((rName rData),H3740),"","Name Error!")</f>
        <v>#NAME?</v>
      </c>
    </row>
    <row r="3741" spans="2:9" s="126" customFormat="1" ht="15" customHeight="1" x14ac:dyDescent="0.25">
      <c r="B3741" s="271" t="s">
        <v>358</v>
      </c>
      <c r="C3741" s="272" t="s">
        <v>357</v>
      </c>
      <c r="D3741" s="275" t="s">
        <v>216</v>
      </c>
      <c r="E3741" s="275">
        <v>41791.792916666665</v>
      </c>
      <c r="F3741" s="276">
        <v>1</v>
      </c>
      <c r="G3741" s="243">
        <f t="shared" si="59"/>
        <v>140</v>
      </c>
      <c r="H3741" s="244"/>
      <c r="I3741" s="71" t="e">
        <f>IF(COUNTIF((rName rData),H3741),"","Name Error!")</f>
        <v>#NAME?</v>
      </c>
    </row>
    <row r="3742" spans="2:9" s="126" customFormat="1" ht="15" customHeight="1" x14ac:dyDescent="0.25">
      <c r="B3742" s="271" t="s">
        <v>333</v>
      </c>
      <c r="C3742" s="272" t="s">
        <v>332</v>
      </c>
      <c r="D3742" s="275" t="s">
        <v>216</v>
      </c>
      <c r="E3742" s="275">
        <v>41791.864479166667</v>
      </c>
      <c r="F3742" s="276">
        <v>1</v>
      </c>
      <c r="G3742" s="243">
        <f t="shared" si="59"/>
        <v>140</v>
      </c>
      <c r="H3742" s="244"/>
      <c r="I3742" s="71" t="e">
        <f>IF(COUNTIF((rName rData),H3742),"","Name Error!")</f>
        <v>#NAME?</v>
      </c>
    </row>
    <row r="3743" spans="2:9" s="126" customFormat="1" ht="15" customHeight="1" x14ac:dyDescent="0.25">
      <c r="B3743" s="271" t="s">
        <v>339</v>
      </c>
      <c r="C3743" s="272" t="s">
        <v>338</v>
      </c>
      <c r="D3743" s="275" t="s">
        <v>216</v>
      </c>
      <c r="E3743" s="275">
        <v>41791.870578703703</v>
      </c>
      <c r="F3743" s="276">
        <v>1</v>
      </c>
      <c r="G3743" s="243">
        <f t="shared" si="59"/>
        <v>140</v>
      </c>
      <c r="H3743" s="244"/>
      <c r="I3743" s="71" t="e">
        <f>IF(COUNTIF((rName rData),H3743),"","Name Error!")</f>
        <v>#NAME?</v>
      </c>
    </row>
    <row r="3744" spans="2:9" s="126" customFormat="1" ht="15" customHeight="1" x14ac:dyDescent="0.25">
      <c r="B3744" s="271" t="s">
        <v>333</v>
      </c>
      <c r="C3744" s="272" t="s">
        <v>332</v>
      </c>
      <c r="D3744" s="275" t="s">
        <v>216</v>
      </c>
      <c r="E3744" s="275">
        <v>41792.171342592592</v>
      </c>
      <c r="F3744" s="276">
        <v>1</v>
      </c>
      <c r="G3744" s="243">
        <f t="shared" si="59"/>
        <v>140</v>
      </c>
      <c r="H3744" s="244"/>
      <c r="I3744" s="71" t="e">
        <f>IF(COUNTIF((rName rData),H3744),"","Name Error!")</f>
        <v>#NAME?</v>
      </c>
    </row>
    <row r="3745" spans="2:9" s="126" customFormat="1" ht="15" customHeight="1" x14ac:dyDescent="0.25">
      <c r="B3745" s="271" t="s">
        <v>354</v>
      </c>
      <c r="C3745" s="272" t="s">
        <v>353</v>
      </c>
      <c r="D3745" s="275" t="s">
        <v>216</v>
      </c>
      <c r="E3745" s="275">
        <v>41792.216064814813</v>
      </c>
      <c r="F3745" s="276">
        <v>1</v>
      </c>
      <c r="G3745" s="243">
        <f t="shared" si="59"/>
        <v>140</v>
      </c>
      <c r="H3745" s="244"/>
      <c r="I3745" s="71" t="e">
        <f>IF(COUNTIF((rName rData),H3745),"","Name Error!")</f>
        <v>#NAME?</v>
      </c>
    </row>
    <row r="3746" spans="2:9" s="126" customFormat="1" ht="15" customHeight="1" x14ac:dyDescent="0.25">
      <c r="B3746" s="271" t="s">
        <v>365</v>
      </c>
      <c r="C3746" s="272" t="s">
        <v>364</v>
      </c>
      <c r="D3746" s="275" t="s">
        <v>216</v>
      </c>
      <c r="E3746" s="275">
        <v>41792.276250000003</v>
      </c>
      <c r="F3746" s="276">
        <v>2</v>
      </c>
      <c r="G3746" s="243">
        <f t="shared" si="59"/>
        <v>140</v>
      </c>
      <c r="H3746" s="244"/>
      <c r="I3746" s="71" t="e">
        <f>IF(COUNTIF((rName rData),H3746),"","Name Error!")</f>
        <v>#NAME?</v>
      </c>
    </row>
    <row r="3747" spans="2:9" s="126" customFormat="1" ht="15" customHeight="1" x14ac:dyDescent="0.25">
      <c r="B3747" s="271" t="s">
        <v>371</v>
      </c>
      <c r="C3747" s="272" t="s">
        <v>370</v>
      </c>
      <c r="D3747" s="275" t="s">
        <v>216</v>
      </c>
      <c r="E3747" s="275">
        <v>41792.29760416667</v>
      </c>
      <c r="F3747" s="276">
        <v>1</v>
      </c>
      <c r="G3747" s="243">
        <f t="shared" si="59"/>
        <v>140</v>
      </c>
      <c r="H3747" s="244"/>
      <c r="I3747" s="71" t="e">
        <f>IF(COUNTIF((rName rData),H3747),"","Name Error!")</f>
        <v>#NAME?</v>
      </c>
    </row>
    <row r="3748" spans="2:9" s="126" customFormat="1" ht="15" customHeight="1" x14ac:dyDescent="0.25">
      <c r="B3748" s="271" t="s">
        <v>322</v>
      </c>
      <c r="C3748" s="272" t="s">
        <v>321</v>
      </c>
      <c r="D3748" s="275" t="s">
        <v>216</v>
      </c>
      <c r="E3748" s="275">
        <v>41792.455127314817</v>
      </c>
      <c r="F3748" s="276">
        <v>4</v>
      </c>
      <c r="G3748" s="243">
        <f t="shared" si="59"/>
        <v>140</v>
      </c>
      <c r="H3748" s="244"/>
      <c r="I3748" s="71" t="e">
        <f>IF(COUNTIF((rName rData),H3748),"","Name Error!")</f>
        <v>#NAME?</v>
      </c>
    </row>
    <row r="3749" spans="2:9" s="126" customFormat="1" ht="15" customHeight="1" x14ac:dyDescent="0.25">
      <c r="B3749" s="271" t="s">
        <v>352</v>
      </c>
      <c r="C3749" s="272" t="s">
        <v>351</v>
      </c>
      <c r="D3749" s="275" t="s">
        <v>216</v>
      </c>
      <c r="E3749" s="275">
        <v>41792.45989583333</v>
      </c>
      <c r="F3749" s="276">
        <v>2</v>
      </c>
      <c r="G3749" s="243">
        <f t="shared" si="59"/>
        <v>140</v>
      </c>
      <c r="H3749" s="244"/>
      <c r="I3749" s="71" t="e">
        <f>IF(COUNTIF((rName rData),H3749),"","Name Error!")</f>
        <v>#NAME?</v>
      </c>
    </row>
    <row r="3750" spans="2:9" s="126" customFormat="1" ht="15" customHeight="1" x14ac:dyDescent="0.25">
      <c r="B3750" s="271" t="s">
        <v>324</v>
      </c>
      <c r="C3750" s="272" t="s">
        <v>323</v>
      </c>
      <c r="D3750" s="275" t="s">
        <v>216</v>
      </c>
      <c r="E3750" s="275">
        <v>41792.591273148151</v>
      </c>
      <c r="F3750" s="276">
        <v>1</v>
      </c>
      <c r="G3750" s="243">
        <f t="shared" si="59"/>
        <v>140</v>
      </c>
      <c r="H3750" s="244"/>
      <c r="I3750" s="71" t="e">
        <f>IF(COUNTIF((rName rData),H3750),"","Name Error!")</f>
        <v>#NAME?</v>
      </c>
    </row>
    <row r="3751" spans="2:9" s="126" customFormat="1" ht="15" customHeight="1" x14ac:dyDescent="0.25">
      <c r="B3751" s="271" t="s">
        <v>331</v>
      </c>
      <c r="C3751" s="272" t="s">
        <v>330</v>
      </c>
      <c r="D3751" s="275" t="s">
        <v>216</v>
      </c>
      <c r="E3751" s="275">
        <v>41792.601620370369</v>
      </c>
      <c r="F3751" s="276">
        <v>2</v>
      </c>
      <c r="G3751" s="243">
        <f t="shared" si="59"/>
        <v>140</v>
      </c>
      <c r="H3751" s="244"/>
      <c r="I3751" s="71" t="e">
        <f>IF(COUNTIF((rName rData),H3751),"","Name Error!")</f>
        <v>#NAME?</v>
      </c>
    </row>
    <row r="3752" spans="2:9" s="126" customFormat="1" ht="15" customHeight="1" x14ac:dyDescent="0.25">
      <c r="B3752" s="271" t="s">
        <v>345</v>
      </c>
      <c r="C3752" s="272" t="s">
        <v>344</v>
      </c>
      <c r="D3752" s="275" t="s">
        <v>216</v>
      </c>
      <c r="E3752" s="275">
        <v>41792.707777777781</v>
      </c>
      <c r="F3752" s="276">
        <v>1</v>
      </c>
      <c r="G3752" s="243">
        <f t="shared" si="59"/>
        <v>140</v>
      </c>
      <c r="H3752" s="244"/>
      <c r="I3752" s="71" t="e">
        <f>IF(COUNTIF((rName rData),H3752),"","Name Error!")</f>
        <v>#NAME?</v>
      </c>
    </row>
    <row r="3753" spans="2:9" s="126" customFormat="1" ht="15" customHeight="1" x14ac:dyDescent="0.25">
      <c r="B3753" s="271" t="s">
        <v>356</v>
      </c>
      <c r="C3753" s="272" t="s">
        <v>355</v>
      </c>
      <c r="D3753" s="275" t="s">
        <v>216</v>
      </c>
      <c r="E3753" s="275">
        <v>41792.882361111115</v>
      </c>
      <c r="F3753" s="276">
        <v>1</v>
      </c>
      <c r="G3753" s="243">
        <f t="shared" si="59"/>
        <v>140</v>
      </c>
      <c r="H3753" s="244"/>
      <c r="I3753" s="71" t="e">
        <f>IF(COUNTIF((rName rData),H3753),"","Name Error!")</f>
        <v>#NAME?</v>
      </c>
    </row>
    <row r="3754" spans="2:9" s="126" customFormat="1" ht="15" customHeight="1" x14ac:dyDescent="0.25">
      <c r="B3754" s="271" t="s">
        <v>320</v>
      </c>
      <c r="C3754" s="272" t="s">
        <v>319</v>
      </c>
      <c r="D3754" s="275" t="s">
        <v>216</v>
      </c>
      <c r="E3754" s="275">
        <v>41792.891296296293</v>
      </c>
      <c r="F3754" s="276">
        <v>1</v>
      </c>
      <c r="G3754" s="243">
        <f t="shared" si="59"/>
        <v>140</v>
      </c>
      <c r="H3754" s="244"/>
      <c r="I3754" s="71" t="e">
        <f>IF(COUNTIF((rName rData),H3754),"","Name Error!")</f>
        <v>#NAME?</v>
      </c>
    </row>
    <row r="3755" spans="2:9" s="126" customFormat="1" ht="15" customHeight="1" x14ac:dyDescent="0.25">
      <c r="B3755" s="271" t="s">
        <v>324</v>
      </c>
      <c r="C3755" s="272" t="s">
        <v>323</v>
      </c>
      <c r="D3755" s="275" t="s">
        <v>216</v>
      </c>
      <c r="E3755" s="275">
        <v>41793.531655092593</v>
      </c>
      <c r="F3755" s="276">
        <v>1</v>
      </c>
      <c r="G3755" s="243">
        <f t="shared" si="59"/>
        <v>140</v>
      </c>
      <c r="H3755" s="244"/>
      <c r="I3755" s="71" t="e">
        <f>IF(COUNTIF((rName rData),H3755),"","Name Error!")</f>
        <v>#NAME?</v>
      </c>
    </row>
    <row r="3756" spans="2:9" s="126" customFormat="1" ht="15" customHeight="1" x14ac:dyDescent="0.25">
      <c r="B3756" s="271" t="s">
        <v>322</v>
      </c>
      <c r="C3756" s="272" t="s">
        <v>321</v>
      </c>
      <c r="D3756" s="275" t="s">
        <v>216</v>
      </c>
      <c r="E3756" s="275">
        <v>41793.63857638889</v>
      </c>
      <c r="F3756" s="276">
        <v>2</v>
      </c>
      <c r="G3756" s="243">
        <f t="shared" si="59"/>
        <v>140</v>
      </c>
      <c r="H3756" s="244"/>
      <c r="I3756" s="71" t="e">
        <f>IF(COUNTIF((rName rData),H3756),"","Name Error!")</f>
        <v>#NAME?</v>
      </c>
    </row>
    <row r="3757" spans="2:9" s="126" customFormat="1" ht="15" customHeight="1" x14ac:dyDescent="0.25">
      <c r="B3757" s="271" t="s">
        <v>341</v>
      </c>
      <c r="C3757" s="272" t="s">
        <v>340</v>
      </c>
      <c r="D3757" s="275" t="s">
        <v>216</v>
      </c>
      <c r="E3757" s="275">
        <v>41793.871840277781</v>
      </c>
      <c r="F3757" s="276">
        <v>1</v>
      </c>
      <c r="G3757" s="243">
        <f t="shared" si="59"/>
        <v>140</v>
      </c>
      <c r="H3757" s="244"/>
      <c r="I3757" s="71" t="e">
        <f>IF(COUNTIF((rName rData),H3757),"","Name Error!")</f>
        <v>#NAME?</v>
      </c>
    </row>
    <row r="3758" spans="2:9" s="126" customFormat="1" ht="15" customHeight="1" x14ac:dyDescent="0.25">
      <c r="B3758" s="271" t="s">
        <v>320</v>
      </c>
      <c r="C3758" s="272" t="s">
        <v>319</v>
      </c>
      <c r="D3758" s="275" t="s">
        <v>216</v>
      </c>
      <c r="E3758" s="275">
        <v>41793.876770833333</v>
      </c>
      <c r="F3758" s="276">
        <v>1</v>
      </c>
      <c r="G3758" s="243">
        <f t="shared" si="59"/>
        <v>140</v>
      </c>
      <c r="H3758" s="244"/>
      <c r="I3758" s="71" t="e">
        <f>IF(COUNTIF((rName rData),H3758),"","Name Error!")</f>
        <v>#NAME?</v>
      </c>
    </row>
    <row r="3765" spans="7:9" x14ac:dyDescent="0.2">
      <c r="G3765" s="73"/>
      <c r="I3765" s="72"/>
    </row>
    <row r="3766" spans="7:9" x14ac:dyDescent="0.2">
      <c r="G3766" s="73"/>
      <c r="I3766" s="72"/>
    </row>
  </sheetData>
  <sortState ref="A9:I496">
    <sortCondition ref="G9:G496"/>
    <sortCondition ref="C9:C496"/>
  </sortState>
  <pageMargins left="0.75" right="0.75" top="1" bottom="1" header="0.5" footer="0.5"/>
  <pageSetup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684"/>
  <sheetViews>
    <sheetView workbookViewId="0">
      <pane xSplit="1" ySplit="5" topLeftCell="B136" activePane="bottomRight" state="frozen"/>
      <selection pane="topRight" activeCell="B1" sqref="B1"/>
      <selection pane="bottomLeft" activeCell="A6" sqref="A6"/>
      <selection pane="bottomRight" activeCell="A6" sqref="A6:XFD670"/>
    </sheetView>
  </sheetViews>
  <sheetFormatPr defaultRowHeight="15" x14ac:dyDescent="0.25"/>
  <cols>
    <col min="1" max="1" width="6.28515625" customWidth="1"/>
    <col min="2" max="2" width="26.140625" customWidth="1"/>
    <col min="3" max="3" width="40.85546875" style="1" customWidth="1"/>
    <col min="4" max="4" width="16.5703125" style="1" customWidth="1"/>
    <col min="5" max="5" width="12.42578125" style="1" customWidth="1"/>
    <col min="9" max="9" width="9.7109375" bestFit="1" customWidth="1"/>
  </cols>
  <sheetData>
    <row r="1" spans="1:7" ht="21" x14ac:dyDescent="0.35">
      <c r="A1" s="231" t="str">
        <f>CourseName</f>
        <v>Cs525 ASD - Fall 2012</v>
      </c>
    </row>
    <row r="2" spans="1:7" x14ac:dyDescent="0.25">
      <c r="C2" s="39" t="s">
        <v>213</v>
      </c>
      <c r="D2" s="329">
        <v>41793.895590277774</v>
      </c>
    </row>
    <row r="3" spans="1:7" x14ac:dyDescent="0.25">
      <c r="B3" s="110"/>
      <c r="C3" s="39" t="s">
        <v>52</v>
      </c>
      <c r="D3" s="330">
        <f>COUNTA(Data name)</f>
        <v>665</v>
      </c>
    </row>
    <row r="4" spans="1:7" x14ac:dyDescent="0.25">
      <c r="A4" s="195" t="s">
        <v>212</v>
      </c>
    </row>
    <row r="5" spans="1:7" x14ac:dyDescent="0.25">
      <c r="B5" s="230" t="s">
        <v>214</v>
      </c>
      <c r="C5" s="230" t="s">
        <v>215</v>
      </c>
      <c r="D5" s="230" t="s">
        <v>233</v>
      </c>
      <c r="E5" s="230" t="s">
        <v>235</v>
      </c>
      <c r="F5" s="290" t="s">
        <v>234</v>
      </c>
      <c r="G5" s="230" t="s">
        <v>9</v>
      </c>
    </row>
    <row r="6" spans="1:7" x14ac:dyDescent="0.25">
      <c r="B6" s="270" t="s">
        <v>39</v>
      </c>
      <c r="C6" s="302" t="s">
        <v>380</v>
      </c>
      <c r="D6" s="274" t="s">
        <v>381</v>
      </c>
      <c r="E6" s="274"/>
      <c r="F6" s="291">
        <v>0</v>
      </c>
      <c r="G6" s="1">
        <f t="shared" ref="G6" si="0">IF(ISBLANK(E6),E6,TRUNC((E6-start)/7,0)+1)</f>
        <v>0</v>
      </c>
    </row>
    <row r="7" spans="1:7" x14ac:dyDescent="0.25">
      <c r="B7" s="270" t="s">
        <v>39</v>
      </c>
      <c r="C7" s="302" t="s">
        <v>372</v>
      </c>
      <c r="D7" s="274" t="s">
        <v>382</v>
      </c>
      <c r="E7" s="274"/>
      <c r="F7" s="291">
        <v>0</v>
      </c>
      <c r="G7" s="1">
        <f t="shared" ref="G7:G70" si="1">IF(ISBLANK(E7),E7,TRUNC((E7-start)/7,0)+1)</f>
        <v>0</v>
      </c>
    </row>
    <row r="8" spans="1:7" x14ac:dyDescent="0.25">
      <c r="B8" s="270" t="s">
        <v>39</v>
      </c>
      <c r="C8" s="302" t="s">
        <v>383</v>
      </c>
      <c r="D8" s="274" t="s">
        <v>384</v>
      </c>
      <c r="E8" s="274"/>
      <c r="F8" s="291">
        <v>0</v>
      </c>
      <c r="G8" s="1">
        <f t="shared" si="1"/>
        <v>0</v>
      </c>
    </row>
    <row r="9" spans="1:7" x14ac:dyDescent="0.25">
      <c r="B9" s="270" t="s">
        <v>39</v>
      </c>
      <c r="C9" s="302" t="s">
        <v>375</v>
      </c>
      <c r="D9" s="274" t="s">
        <v>385</v>
      </c>
      <c r="E9" s="274"/>
      <c r="F9" s="291">
        <v>0</v>
      </c>
      <c r="G9" s="1">
        <f t="shared" si="1"/>
        <v>0</v>
      </c>
    </row>
    <row r="10" spans="1:7" x14ac:dyDescent="0.25">
      <c r="B10" s="270" t="s">
        <v>39</v>
      </c>
      <c r="C10" s="302" t="s">
        <v>386</v>
      </c>
      <c r="D10" s="274" t="s">
        <v>387</v>
      </c>
      <c r="E10" s="274"/>
      <c r="F10" s="291">
        <v>0</v>
      </c>
      <c r="G10" s="1">
        <f t="shared" si="1"/>
        <v>0</v>
      </c>
    </row>
    <row r="11" spans="1:7" x14ac:dyDescent="0.25">
      <c r="B11" s="270" t="s">
        <v>39</v>
      </c>
      <c r="C11" s="302" t="s">
        <v>388</v>
      </c>
      <c r="D11" s="274" t="s">
        <v>389</v>
      </c>
      <c r="E11" s="274"/>
      <c r="F11" s="291">
        <v>0</v>
      </c>
      <c r="G11" s="1">
        <f t="shared" si="1"/>
        <v>0</v>
      </c>
    </row>
    <row r="12" spans="1:7" x14ac:dyDescent="0.25">
      <c r="B12" s="270" t="s">
        <v>39</v>
      </c>
      <c r="C12" s="302" t="s">
        <v>377</v>
      </c>
      <c r="D12" s="274" t="s">
        <v>390</v>
      </c>
      <c r="E12" s="274"/>
      <c r="F12" s="291">
        <v>0</v>
      </c>
      <c r="G12" s="1">
        <f t="shared" si="1"/>
        <v>0</v>
      </c>
    </row>
    <row r="13" spans="1:7" x14ac:dyDescent="0.25">
      <c r="B13" s="270" t="s">
        <v>39</v>
      </c>
      <c r="C13" s="302" t="s">
        <v>379</v>
      </c>
      <c r="D13" s="274" t="s">
        <v>391</v>
      </c>
      <c r="E13" s="274"/>
      <c r="F13" s="291">
        <v>0</v>
      </c>
      <c r="G13" s="1">
        <f t="shared" si="1"/>
        <v>0</v>
      </c>
    </row>
    <row r="14" spans="1:7" x14ac:dyDescent="0.25">
      <c r="B14" s="270" t="s">
        <v>39</v>
      </c>
      <c r="C14" s="302" t="s">
        <v>378</v>
      </c>
      <c r="D14" s="274" t="s">
        <v>392</v>
      </c>
      <c r="E14" s="274"/>
      <c r="F14" s="291">
        <v>0</v>
      </c>
      <c r="G14" s="1">
        <f t="shared" si="1"/>
        <v>0</v>
      </c>
    </row>
    <row r="15" spans="1:7" x14ac:dyDescent="0.25">
      <c r="B15" s="270" t="s">
        <v>319</v>
      </c>
      <c r="C15" s="302" t="s">
        <v>380</v>
      </c>
      <c r="D15" s="274" t="s">
        <v>381</v>
      </c>
      <c r="E15" s="274" t="s">
        <v>393</v>
      </c>
      <c r="F15" s="291">
        <v>0</v>
      </c>
      <c r="G15" s="1">
        <f t="shared" si="1"/>
        <v>61</v>
      </c>
    </row>
    <row r="16" spans="1:7" x14ac:dyDescent="0.25">
      <c r="B16" s="270" t="s">
        <v>319</v>
      </c>
      <c r="C16" s="302" t="s">
        <v>394</v>
      </c>
      <c r="D16" s="274" t="s">
        <v>393</v>
      </c>
      <c r="E16" s="274" t="s">
        <v>395</v>
      </c>
      <c r="F16" s="291">
        <v>0</v>
      </c>
      <c r="G16" s="1">
        <f t="shared" si="1"/>
        <v>61</v>
      </c>
    </row>
    <row r="17" spans="2:7" x14ac:dyDescent="0.25">
      <c r="B17" s="270" t="s">
        <v>319</v>
      </c>
      <c r="C17" s="302" t="s">
        <v>396</v>
      </c>
      <c r="D17" s="274" t="s">
        <v>397</v>
      </c>
      <c r="E17" s="274" t="s">
        <v>398</v>
      </c>
      <c r="F17" s="291">
        <v>0</v>
      </c>
      <c r="G17" s="1">
        <f t="shared" si="1"/>
        <v>62</v>
      </c>
    </row>
    <row r="18" spans="2:7" x14ac:dyDescent="0.25">
      <c r="B18" s="270" t="s">
        <v>319</v>
      </c>
      <c r="C18" s="302" t="s">
        <v>399</v>
      </c>
      <c r="D18" s="274" t="s">
        <v>398</v>
      </c>
      <c r="E18" s="274" t="s">
        <v>400</v>
      </c>
      <c r="F18" s="291">
        <v>0</v>
      </c>
      <c r="G18" s="1">
        <f t="shared" si="1"/>
        <v>62</v>
      </c>
    </row>
    <row r="19" spans="2:7" x14ac:dyDescent="0.25">
      <c r="B19" s="270" t="s">
        <v>319</v>
      </c>
      <c r="C19" s="302" t="s">
        <v>401</v>
      </c>
      <c r="D19" s="274" t="s">
        <v>402</v>
      </c>
      <c r="E19" s="274" t="s">
        <v>403</v>
      </c>
      <c r="F19" s="291">
        <v>0</v>
      </c>
      <c r="G19" s="1">
        <f t="shared" si="1"/>
        <v>62</v>
      </c>
    </row>
    <row r="20" spans="2:7" x14ac:dyDescent="0.25">
      <c r="B20" s="270" t="s">
        <v>319</v>
      </c>
      <c r="C20" s="302" t="s">
        <v>404</v>
      </c>
      <c r="D20" s="274" t="s">
        <v>405</v>
      </c>
      <c r="E20" s="274" t="s">
        <v>405</v>
      </c>
      <c r="F20" s="291">
        <v>0</v>
      </c>
      <c r="G20" s="1">
        <f t="shared" si="1"/>
        <v>63</v>
      </c>
    </row>
    <row r="21" spans="2:7" x14ac:dyDescent="0.25">
      <c r="B21" s="270" t="s">
        <v>319</v>
      </c>
      <c r="C21" s="302" t="s">
        <v>372</v>
      </c>
      <c r="D21" s="274" t="s">
        <v>382</v>
      </c>
      <c r="E21" s="274" t="s">
        <v>406</v>
      </c>
      <c r="F21" s="291">
        <v>0</v>
      </c>
      <c r="G21" s="1">
        <f t="shared" si="1"/>
        <v>61</v>
      </c>
    </row>
    <row r="22" spans="2:7" x14ac:dyDescent="0.25">
      <c r="B22" s="270" t="s">
        <v>319</v>
      </c>
      <c r="C22" s="302" t="s">
        <v>407</v>
      </c>
      <c r="D22" s="274" t="s">
        <v>406</v>
      </c>
      <c r="E22" s="274" t="s">
        <v>381</v>
      </c>
      <c r="F22" s="291">
        <v>0</v>
      </c>
      <c r="G22" s="1">
        <f t="shared" si="1"/>
        <v>61</v>
      </c>
    </row>
    <row r="23" spans="2:7" x14ac:dyDescent="0.25">
      <c r="B23" s="270" t="s">
        <v>319</v>
      </c>
      <c r="C23" s="302" t="s">
        <v>383</v>
      </c>
      <c r="D23" s="274" t="s">
        <v>384</v>
      </c>
      <c r="E23" s="274" t="s">
        <v>408</v>
      </c>
      <c r="F23" s="291">
        <v>0</v>
      </c>
      <c r="G23" s="1">
        <f t="shared" si="1"/>
        <v>62</v>
      </c>
    </row>
    <row r="24" spans="2:7" x14ac:dyDescent="0.25">
      <c r="B24" s="270" t="s">
        <v>319</v>
      </c>
      <c r="C24" s="302" t="s">
        <v>373</v>
      </c>
      <c r="D24" s="274" t="s">
        <v>382</v>
      </c>
      <c r="E24" s="274" t="s">
        <v>397</v>
      </c>
      <c r="F24" s="291">
        <v>0</v>
      </c>
      <c r="G24" s="1">
        <f t="shared" si="1"/>
        <v>62</v>
      </c>
    </row>
    <row r="25" spans="2:7" x14ac:dyDescent="0.25">
      <c r="B25" s="270" t="s">
        <v>319</v>
      </c>
      <c r="C25" s="302" t="s">
        <v>409</v>
      </c>
      <c r="D25" s="274" t="s">
        <v>400</v>
      </c>
      <c r="E25" s="274" t="s">
        <v>402</v>
      </c>
      <c r="F25" s="291">
        <v>0</v>
      </c>
      <c r="G25" s="1">
        <f t="shared" si="1"/>
        <v>62</v>
      </c>
    </row>
    <row r="26" spans="2:7" x14ac:dyDescent="0.25">
      <c r="B26" s="270" t="s">
        <v>319</v>
      </c>
      <c r="C26" s="302" t="s">
        <v>375</v>
      </c>
      <c r="D26" s="274" t="s">
        <v>385</v>
      </c>
      <c r="E26" s="274"/>
      <c r="F26" s="291">
        <v>0</v>
      </c>
      <c r="G26" s="1">
        <f t="shared" si="1"/>
        <v>0</v>
      </c>
    </row>
    <row r="27" spans="2:7" x14ac:dyDescent="0.25">
      <c r="B27" s="270" t="s">
        <v>319</v>
      </c>
      <c r="C27" s="302" t="s">
        <v>374</v>
      </c>
      <c r="D27" s="274" t="s">
        <v>402</v>
      </c>
      <c r="E27" s="274" t="s">
        <v>403</v>
      </c>
      <c r="F27" s="291">
        <v>0</v>
      </c>
      <c r="G27" s="1">
        <f t="shared" si="1"/>
        <v>62</v>
      </c>
    </row>
    <row r="28" spans="2:7" x14ac:dyDescent="0.25">
      <c r="B28" s="270" t="s">
        <v>319</v>
      </c>
      <c r="C28" s="302" t="s">
        <v>386</v>
      </c>
      <c r="D28" s="274" t="s">
        <v>387</v>
      </c>
      <c r="E28" s="274"/>
      <c r="F28" s="291">
        <v>0</v>
      </c>
      <c r="G28" s="1">
        <f t="shared" si="1"/>
        <v>0</v>
      </c>
    </row>
    <row r="29" spans="2:7" x14ac:dyDescent="0.25">
      <c r="B29" s="270" t="s">
        <v>319</v>
      </c>
      <c r="C29" s="302" t="s">
        <v>388</v>
      </c>
      <c r="D29" s="274" t="s">
        <v>389</v>
      </c>
      <c r="E29" s="274"/>
      <c r="F29" s="291">
        <v>0</v>
      </c>
      <c r="G29" s="1">
        <f t="shared" si="1"/>
        <v>0</v>
      </c>
    </row>
    <row r="30" spans="2:7" x14ac:dyDescent="0.25">
      <c r="B30" s="270" t="s">
        <v>319</v>
      </c>
      <c r="C30" s="302" t="s">
        <v>410</v>
      </c>
      <c r="D30" s="274" t="s">
        <v>411</v>
      </c>
      <c r="E30" s="274" t="s">
        <v>412</v>
      </c>
      <c r="F30" s="291">
        <v>0</v>
      </c>
      <c r="G30" s="1">
        <f t="shared" si="1"/>
        <v>63</v>
      </c>
    </row>
    <row r="31" spans="2:7" x14ac:dyDescent="0.25">
      <c r="B31" s="270" t="s">
        <v>319</v>
      </c>
      <c r="C31" s="302" t="s">
        <v>377</v>
      </c>
      <c r="D31" s="274" t="s">
        <v>390</v>
      </c>
      <c r="E31" s="274"/>
      <c r="F31" s="291">
        <v>0</v>
      </c>
      <c r="G31" s="1">
        <f t="shared" si="1"/>
        <v>0</v>
      </c>
    </row>
    <row r="32" spans="2:7" x14ac:dyDescent="0.25">
      <c r="B32" s="270" t="s">
        <v>319</v>
      </c>
      <c r="C32" s="302" t="s">
        <v>379</v>
      </c>
      <c r="D32" s="274" t="s">
        <v>391</v>
      </c>
      <c r="E32" s="274" t="s">
        <v>413</v>
      </c>
      <c r="F32" s="291">
        <v>0</v>
      </c>
      <c r="G32" s="1">
        <f t="shared" si="1"/>
        <v>64</v>
      </c>
    </row>
    <row r="33" spans="2:7" x14ac:dyDescent="0.25">
      <c r="B33" s="270" t="s">
        <v>319</v>
      </c>
      <c r="C33" s="302" t="s">
        <v>378</v>
      </c>
      <c r="D33" s="274" t="s">
        <v>392</v>
      </c>
      <c r="E33" s="274"/>
      <c r="F33" s="291">
        <v>0</v>
      </c>
      <c r="G33" s="1">
        <f t="shared" si="1"/>
        <v>0</v>
      </c>
    </row>
    <row r="34" spans="2:7" x14ac:dyDescent="0.25">
      <c r="B34" s="270" t="s">
        <v>319</v>
      </c>
      <c r="C34" s="302" t="s">
        <v>414</v>
      </c>
      <c r="D34" s="274" t="s">
        <v>415</v>
      </c>
      <c r="E34" s="274" t="s">
        <v>411</v>
      </c>
      <c r="F34" s="291">
        <v>0</v>
      </c>
      <c r="G34" s="1">
        <f t="shared" si="1"/>
        <v>63</v>
      </c>
    </row>
    <row r="35" spans="2:7" x14ac:dyDescent="0.25">
      <c r="B35" s="270" t="s">
        <v>319</v>
      </c>
      <c r="C35" s="302" t="s">
        <v>416</v>
      </c>
      <c r="D35" s="274" t="s">
        <v>411</v>
      </c>
      <c r="E35" s="274" t="s">
        <v>412</v>
      </c>
      <c r="F35" s="291">
        <v>0</v>
      </c>
      <c r="G35" s="1">
        <f t="shared" si="1"/>
        <v>63</v>
      </c>
    </row>
    <row r="36" spans="2:7" x14ac:dyDescent="0.25">
      <c r="B36" s="270" t="s">
        <v>319</v>
      </c>
      <c r="C36" s="302" t="s">
        <v>417</v>
      </c>
      <c r="D36" s="274" t="s">
        <v>415</v>
      </c>
      <c r="E36" s="274" t="s">
        <v>411</v>
      </c>
      <c r="F36" s="291">
        <v>0</v>
      </c>
      <c r="G36" s="1">
        <f t="shared" si="1"/>
        <v>63</v>
      </c>
    </row>
    <row r="37" spans="2:7" x14ac:dyDescent="0.25">
      <c r="B37" s="270" t="s">
        <v>319</v>
      </c>
      <c r="C37" s="302" t="s">
        <v>418</v>
      </c>
      <c r="D37" s="274" t="s">
        <v>391</v>
      </c>
      <c r="E37" s="274" t="s">
        <v>389</v>
      </c>
      <c r="F37" s="291">
        <v>0</v>
      </c>
      <c r="G37" s="1">
        <f t="shared" si="1"/>
        <v>64</v>
      </c>
    </row>
    <row r="38" spans="2:7" x14ac:dyDescent="0.25">
      <c r="B38" s="270" t="s">
        <v>359</v>
      </c>
      <c r="C38" s="302" t="s">
        <v>380</v>
      </c>
      <c r="D38" s="274" t="s">
        <v>381</v>
      </c>
      <c r="E38" s="274" t="s">
        <v>393</v>
      </c>
      <c r="F38" s="291">
        <v>0</v>
      </c>
      <c r="G38" s="1">
        <f t="shared" si="1"/>
        <v>61</v>
      </c>
    </row>
    <row r="39" spans="2:7" x14ac:dyDescent="0.25">
      <c r="B39" s="270" t="s">
        <v>359</v>
      </c>
      <c r="C39" s="302" t="s">
        <v>394</v>
      </c>
      <c r="D39" s="274" t="s">
        <v>393</v>
      </c>
      <c r="E39" s="274" t="s">
        <v>395</v>
      </c>
      <c r="F39" s="291">
        <v>0</v>
      </c>
      <c r="G39" s="1">
        <f t="shared" si="1"/>
        <v>61</v>
      </c>
    </row>
    <row r="40" spans="2:7" x14ac:dyDescent="0.25">
      <c r="B40" s="270" t="s">
        <v>359</v>
      </c>
      <c r="C40" s="302" t="s">
        <v>396</v>
      </c>
      <c r="D40" s="274" t="s">
        <v>397</v>
      </c>
      <c r="E40" s="274" t="s">
        <v>398</v>
      </c>
      <c r="F40" s="291">
        <v>0</v>
      </c>
      <c r="G40" s="1">
        <f t="shared" si="1"/>
        <v>62</v>
      </c>
    </row>
    <row r="41" spans="2:7" x14ac:dyDescent="0.25">
      <c r="B41" s="270" t="s">
        <v>359</v>
      </c>
      <c r="C41" s="302" t="s">
        <v>399</v>
      </c>
      <c r="D41" s="274" t="s">
        <v>398</v>
      </c>
      <c r="E41" s="274" t="s">
        <v>400</v>
      </c>
      <c r="F41" s="291">
        <v>0</v>
      </c>
      <c r="G41" s="1">
        <f t="shared" si="1"/>
        <v>62</v>
      </c>
    </row>
    <row r="42" spans="2:7" x14ac:dyDescent="0.25">
      <c r="B42" s="270" t="s">
        <v>359</v>
      </c>
      <c r="C42" s="302" t="s">
        <v>401</v>
      </c>
      <c r="D42" s="274" t="s">
        <v>402</v>
      </c>
      <c r="E42" s="274" t="s">
        <v>403</v>
      </c>
      <c r="F42" s="291">
        <v>0</v>
      </c>
      <c r="G42" s="1">
        <f t="shared" si="1"/>
        <v>62</v>
      </c>
    </row>
    <row r="43" spans="2:7" x14ac:dyDescent="0.25">
      <c r="B43" s="270" t="s">
        <v>359</v>
      </c>
      <c r="C43" s="302" t="s">
        <v>419</v>
      </c>
      <c r="D43" s="274" t="s">
        <v>390</v>
      </c>
      <c r="E43" s="274" t="s">
        <v>405</v>
      </c>
      <c r="F43" s="291">
        <v>0</v>
      </c>
      <c r="G43" s="1">
        <f t="shared" si="1"/>
        <v>63</v>
      </c>
    </row>
    <row r="44" spans="2:7" x14ac:dyDescent="0.25">
      <c r="B44" s="270" t="s">
        <v>359</v>
      </c>
      <c r="C44" s="302" t="s">
        <v>404</v>
      </c>
      <c r="D44" s="274" t="s">
        <v>405</v>
      </c>
      <c r="E44" s="274" t="s">
        <v>405</v>
      </c>
      <c r="F44" s="291">
        <v>0</v>
      </c>
      <c r="G44" s="1">
        <f t="shared" si="1"/>
        <v>63</v>
      </c>
    </row>
    <row r="45" spans="2:7" x14ac:dyDescent="0.25">
      <c r="B45" s="270" t="s">
        <v>359</v>
      </c>
      <c r="C45" s="302" t="s">
        <v>372</v>
      </c>
      <c r="D45" s="274" t="s">
        <v>382</v>
      </c>
      <c r="E45" s="274" t="s">
        <v>406</v>
      </c>
      <c r="F45" s="291">
        <v>0</v>
      </c>
      <c r="G45" s="1">
        <f t="shared" si="1"/>
        <v>61</v>
      </c>
    </row>
    <row r="46" spans="2:7" x14ac:dyDescent="0.25">
      <c r="B46" s="270" t="s">
        <v>359</v>
      </c>
      <c r="C46" s="302" t="s">
        <v>407</v>
      </c>
      <c r="D46" s="274" t="s">
        <v>406</v>
      </c>
      <c r="E46" s="274" t="s">
        <v>381</v>
      </c>
      <c r="F46" s="291">
        <v>0</v>
      </c>
      <c r="G46" s="1">
        <f t="shared" si="1"/>
        <v>61</v>
      </c>
    </row>
    <row r="47" spans="2:7" x14ac:dyDescent="0.25">
      <c r="B47" s="270" t="s">
        <v>359</v>
      </c>
      <c r="C47" s="302" t="s">
        <v>383</v>
      </c>
      <c r="D47" s="274" t="s">
        <v>384</v>
      </c>
      <c r="E47" s="274" t="s">
        <v>397</v>
      </c>
      <c r="F47" s="291">
        <v>0</v>
      </c>
      <c r="G47" s="1">
        <f t="shared" si="1"/>
        <v>62</v>
      </c>
    </row>
    <row r="48" spans="2:7" x14ac:dyDescent="0.25">
      <c r="B48" s="270" t="s">
        <v>359</v>
      </c>
      <c r="C48" s="302" t="s">
        <v>420</v>
      </c>
      <c r="D48" s="274" t="s">
        <v>384</v>
      </c>
      <c r="E48" s="274" t="s">
        <v>384</v>
      </c>
      <c r="F48" s="291">
        <v>0</v>
      </c>
      <c r="G48" s="1">
        <f t="shared" si="1"/>
        <v>62</v>
      </c>
    </row>
    <row r="49" spans="2:7" x14ac:dyDescent="0.25">
      <c r="B49" s="270" t="s">
        <v>359</v>
      </c>
      <c r="C49" s="302" t="s">
        <v>373</v>
      </c>
      <c r="D49" s="274" t="s">
        <v>382</v>
      </c>
      <c r="E49" s="274" t="s">
        <v>397</v>
      </c>
      <c r="F49" s="291">
        <v>0</v>
      </c>
      <c r="G49" s="1">
        <f t="shared" si="1"/>
        <v>62</v>
      </c>
    </row>
    <row r="50" spans="2:7" x14ac:dyDescent="0.25">
      <c r="B50" s="270" t="s">
        <v>359</v>
      </c>
      <c r="C50" s="302" t="s">
        <v>409</v>
      </c>
      <c r="D50" s="274" t="s">
        <v>400</v>
      </c>
      <c r="E50" s="274" t="s">
        <v>402</v>
      </c>
      <c r="F50" s="291">
        <v>0</v>
      </c>
      <c r="G50" s="1">
        <f t="shared" si="1"/>
        <v>62</v>
      </c>
    </row>
    <row r="51" spans="2:7" x14ac:dyDescent="0.25">
      <c r="B51" s="270" t="s">
        <v>359</v>
      </c>
      <c r="C51" s="302" t="s">
        <v>375</v>
      </c>
      <c r="D51" s="274" t="s">
        <v>385</v>
      </c>
      <c r="E51" s="274" t="s">
        <v>415</v>
      </c>
      <c r="F51" s="291">
        <v>0</v>
      </c>
      <c r="G51" s="1">
        <f t="shared" si="1"/>
        <v>63</v>
      </c>
    </row>
    <row r="52" spans="2:7" x14ac:dyDescent="0.25">
      <c r="B52" s="270" t="s">
        <v>359</v>
      </c>
      <c r="C52" s="302" t="s">
        <v>374</v>
      </c>
      <c r="D52" s="274" t="s">
        <v>402</v>
      </c>
      <c r="E52" s="274" t="s">
        <v>403</v>
      </c>
      <c r="F52" s="291">
        <v>0</v>
      </c>
      <c r="G52" s="1">
        <f t="shared" si="1"/>
        <v>62</v>
      </c>
    </row>
    <row r="53" spans="2:7" x14ac:dyDescent="0.25">
      <c r="B53" s="270" t="s">
        <v>359</v>
      </c>
      <c r="C53" s="302" t="s">
        <v>386</v>
      </c>
      <c r="D53" s="274" t="s">
        <v>387</v>
      </c>
      <c r="E53" s="274" t="s">
        <v>415</v>
      </c>
      <c r="F53" s="291">
        <v>0</v>
      </c>
      <c r="G53" s="1">
        <f t="shared" si="1"/>
        <v>63</v>
      </c>
    </row>
    <row r="54" spans="2:7" x14ac:dyDescent="0.25">
      <c r="B54" s="270" t="s">
        <v>359</v>
      </c>
      <c r="C54" s="302" t="s">
        <v>388</v>
      </c>
      <c r="D54" s="274" t="s">
        <v>389</v>
      </c>
      <c r="E54" s="274" t="s">
        <v>421</v>
      </c>
      <c r="F54" s="291">
        <v>0</v>
      </c>
      <c r="G54" s="1">
        <f t="shared" si="1"/>
        <v>64</v>
      </c>
    </row>
    <row r="55" spans="2:7" x14ac:dyDescent="0.25">
      <c r="B55" s="270" t="s">
        <v>359</v>
      </c>
      <c r="C55" s="302" t="s">
        <v>410</v>
      </c>
      <c r="D55" s="274" t="s">
        <v>411</v>
      </c>
      <c r="E55" s="274" t="s">
        <v>412</v>
      </c>
      <c r="F55" s="291">
        <v>0</v>
      </c>
      <c r="G55" s="1">
        <f t="shared" si="1"/>
        <v>63</v>
      </c>
    </row>
    <row r="56" spans="2:7" x14ac:dyDescent="0.25">
      <c r="B56" s="270" t="s">
        <v>359</v>
      </c>
      <c r="C56" s="302" t="s">
        <v>422</v>
      </c>
      <c r="D56" s="274" t="s">
        <v>412</v>
      </c>
      <c r="E56" s="274" t="s">
        <v>391</v>
      </c>
      <c r="F56" s="291">
        <v>0</v>
      </c>
      <c r="G56" s="1">
        <f t="shared" si="1"/>
        <v>64</v>
      </c>
    </row>
    <row r="57" spans="2:7" x14ac:dyDescent="0.25">
      <c r="B57" s="270" t="s">
        <v>359</v>
      </c>
      <c r="C57" s="302" t="s">
        <v>377</v>
      </c>
      <c r="D57" s="274" t="s">
        <v>390</v>
      </c>
      <c r="E57" s="274" t="s">
        <v>421</v>
      </c>
      <c r="F57" s="291">
        <v>0</v>
      </c>
      <c r="G57" s="1">
        <f t="shared" si="1"/>
        <v>64</v>
      </c>
    </row>
    <row r="58" spans="2:7" x14ac:dyDescent="0.25">
      <c r="B58" s="270" t="s">
        <v>359</v>
      </c>
      <c r="C58" s="302" t="s">
        <v>379</v>
      </c>
      <c r="D58" s="274" t="s">
        <v>391</v>
      </c>
      <c r="E58" s="274" t="s">
        <v>413</v>
      </c>
      <c r="F58" s="291">
        <v>0</v>
      </c>
      <c r="G58" s="1">
        <f t="shared" si="1"/>
        <v>64</v>
      </c>
    </row>
    <row r="59" spans="2:7" x14ac:dyDescent="0.25">
      <c r="B59" s="270" t="s">
        <v>359</v>
      </c>
      <c r="C59" s="302" t="s">
        <v>378</v>
      </c>
      <c r="D59" s="274" t="s">
        <v>392</v>
      </c>
      <c r="E59" s="274"/>
      <c r="F59" s="291">
        <v>0</v>
      </c>
      <c r="G59" s="1">
        <f t="shared" si="1"/>
        <v>0</v>
      </c>
    </row>
    <row r="60" spans="2:7" x14ac:dyDescent="0.25">
      <c r="B60" s="270" t="s">
        <v>359</v>
      </c>
      <c r="C60" s="302" t="s">
        <v>414</v>
      </c>
      <c r="D60" s="274" t="s">
        <v>415</v>
      </c>
      <c r="E60" s="274" t="s">
        <v>411</v>
      </c>
      <c r="F60" s="291">
        <v>0</v>
      </c>
      <c r="G60" s="1">
        <f t="shared" si="1"/>
        <v>63</v>
      </c>
    </row>
    <row r="61" spans="2:7" x14ac:dyDescent="0.25">
      <c r="B61" s="270" t="s">
        <v>359</v>
      </c>
      <c r="C61" s="302" t="s">
        <v>416</v>
      </c>
      <c r="D61" s="274" t="s">
        <v>411</v>
      </c>
      <c r="E61" s="274" t="s">
        <v>411</v>
      </c>
      <c r="F61" s="291">
        <v>0</v>
      </c>
      <c r="G61" s="1">
        <f t="shared" si="1"/>
        <v>63</v>
      </c>
    </row>
    <row r="62" spans="2:7" x14ac:dyDescent="0.25">
      <c r="B62" s="270" t="s">
        <v>359</v>
      </c>
      <c r="C62" s="302" t="s">
        <v>417</v>
      </c>
      <c r="D62" s="274" t="s">
        <v>415</v>
      </c>
      <c r="E62" s="274" t="s">
        <v>411</v>
      </c>
      <c r="F62" s="291">
        <v>0</v>
      </c>
      <c r="G62" s="1">
        <f t="shared" si="1"/>
        <v>63</v>
      </c>
    </row>
    <row r="63" spans="2:7" x14ac:dyDescent="0.25">
      <c r="B63" s="270" t="s">
        <v>359</v>
      </c>
      <c r="C63" s="302" t="s">
        <v>418</v>
      </c>
      <c r="D63" s="274" t="s">
        <v>391</v>
      </c>
      <c r="E63" s="274" t="s">
        <v>389</v>
      </c>
      <c r="F63" s="291">
        <v>0</v>
      </c>
      <c r="G63" s="1">
        <f t="shared" si="1"/>
        <v>64</v>
      </c>
    </row>
    <row r="64" spans="2:7" x14ac:dyDescent="0.25">
      <c r="B64" s="270" t="s">
        <v>342</v>
      </c>
      <c r="C64" s="302" t="s">
        <v>380</v>
      </c>
      <c r="D64" s="274" t="s">
        <v>381</v>
      </c>
      <c r="E64" s="274" t="s">
        <v>393</v>
      </c>
      <c r="F64" s="291">
        <v>0</v>
      </c>
      <c r="G64" s="1">
        <f t="shared" si="1"/>
        <v>61</v>
      </c>
    </row>
    <row r="65" spans="2:7" x14ac:dyDescent="0.25">
      <c r="B65" s="270" t="s">
        <v>342</v>
      </c>
      <c r="C65" s="302" t="s">
        <v>394</v>
      </c>
      <c r="D65" s="274" t="s">
        <v>393</v>
      </c>
      <c r="E65" s="274" t="s">
        <v>395</v>
      </c>
      <c r="F65" s="291">
        <v>0</v>
      </c>
      <c r="G65" s="1">
        <f t="shared" si="1"/>
        <v>61</v>
      </c>
    </row>
    <row r="66" spans="2:7" x14ac:dyDescent="0.25">
      <c r="B66" s="270" t="s">
        <v>342</v>
      </c>
      <c r="C66" s="302" t="s">
        <v>423</v>
      </c>
      <c r="D66" s="274" t="s">
        <v>395</v>
      </c>
      <c r="E66" s="274" t="s">
        <v>384</v>
      </c>
      <c r="F66" s="291">
        <v>0</v>
      </c>
      <c r="G66" s="1">
        <f t="shared" si="1"/>
        <v>62</v>
      </c>
    </row>
    <row r="67" spans="2:7" x14ac:dyDescent="0.25">
      <c r="B67" s="270" t="s">
        <v>342</v>
      </c>
      <c r="C67" s="302" t="s">
        <v>396</v>
      </c>
      <c r="D67" s="274" t="s">
        <v>397</v>
      </c>
      <c r="E67" s="274" t="s">
        <v>398</v>
      </c>
      <c r="F67" s="291">
        <v>0</v>
      </c>
      <c r="G67" s="1">
        <f t="shared" si="1"/>
        <v>62</v>
      </c>
    </row>
    <row r="68" spans="2:7" x14ac:dyDescent="0.25">
      <c r="B68" s="270" t="s">
        <v>342</v>
      </c>
      <c r="C68" s="302" t="s">
        <v>399</v>
      </c>
      <c r="D68" s="274" t="s">
        <v>398</v>
      </c>
      <c r="E68" s="274" t="s">
        <v>400</v>
      </c>
      <c r="F68" s="291">
        <v>0</v>
      </c>
      <c r="G68" s="1">
        <f t="shared" si="1"/>
        <v>62</v>
      </c>
    </row>
    <row r="69" spans="2:7" x14ac:dyDescent="0.25">
      <c r="B69" s="270" t="s">
        <v>342</v>
      </c>
      <c r="C69" s="302" t="s">
        <v>401</v>
      </c>
      <c r="D69" s="274" t="s">
        <v>402</v>
      </c>
      <c r="E69" s="274" t="s">
        <v>403</v>
      </c>
      <c r="F69" s="291">
        <v>0</v>
      </c>
      <c r="G69" s="1">
        <f t="shared" si="1"/>
        <v>62</v>
      </c>
    </row>
    <row r="70" spans="2:7" x14ac:dyDescent="0.25">
      <c r="B70" s="270" t="s">
        <v>342</v>
      </c>
      <c r="C70" s="302" t="s">
        <v>404</v>
      </c>
      <c r="D70" s="274" t="s">
        <v>405</v>
      </c>
      <c r="E70" s="274" t="s">
        <v>405</v>
      </c>
      <c r="F70" s="291">
        <v>0</v>
      </c>
      <c r="G70" s="1">
        <f t="shared" si="1"/>
        <v>63</v>
      </c>
    </row>
    <row r="71" spans="2:7" x14ac:dyDescent="0.25">
      <c r="B71" s="270" t="s">
        <v>342</v>
      </c>
      <c r="C71" s="302" t="s">
        <v>372</v>
      </c>
      <c r="D71" s="274" t="s">
        <v>382</v>
      </c>
      <c r="E71" s="274" t="s">
        <v>382</v>
      </c>
      <c r="F71" s="291">
        <v>0</v>
      </c>
      <c r="G71" s="1">
        <f t="shared" ref="G71:G134" si="2">IF(ISBLANK(E71),E71,TRUNC((E71-start)/7,0)+1)</f>
        <v>61</v>
      </c>
    </row>
    <row r="72" spans="2:7" x14ac:dyDescent="0.25">
      <c r="B72" s="270" t="s">
        <v>342</v>
      </c>
      <c r="C72" s="302" t="s">
        <v>407</v>
      </c>
      <c r="D72" s="274" t="s">
        <v>406</v>
      </c>
      <c r="E72" s="274" t="s">
        <v>406</v>
      </c>
      <c r="F72" s="291">
        <v>0</v>
      </c>
      <c r="G72" s="1">
        <f t="shared" si="2"/>
        <v>61</v>
      </c>
    </row>
    <row r="73" spans="2:7" x14ac:dyDescent="0.25">
      <c r="B73" s="270" t="s">
        <v>342</v>
      </c>
      <c r="C73" s="302" t="s">
        <v>383</v>
      </c>
      <c r="D73" s="274" t="s">
        <v>384</v>
      </c>
      <c r="E73" s="274" t="s">
        <v>397</v>
      </c>
      <c r="F73" s="291">
        <v>0</v>
      </c>
      <c r="G73" s="1">
        <f t="shared" si="2"/>
        <v>62</v>
      </c>
    </row>
    <row r="74" spans="2:7" x14ac:dyDescent="0.25">
      <c r="B74" s="270" t="s">
        <v>342</v>
      </c>
      <c r="C74" s="302" t="s">
        <v>420</v>
      </c>
      <c r="D74" s="274" t="s">
        <v>384</v>
      </c>
      <c r="E74" s="274" t="s">
        <v>384</v>
      </c>
      <c r="F74" s="291">
        <v>0</v>
      </c>
      <c r="G74" s="1">
        <f t="shared" si="2"/>
        <v>62</v>
      </c>
    </row>
    <row r="75" spans="2:7" x14ac:dyDescent="0.25">
      <c r="B75" s="270" t="s">
        <v>342</v>
      </c>
      <c r="C75" s="302" t="s">
        <v>373</v>
      </c>
      <c r="D75" s="274" t="s">
        <v>382</v>
      </c>
      <c r="E75" s="274" t="s">
        <v>397</v>
      </c>
      <c r="F75" s="291">
        <v>0</v>
      </c>
      <c r="G75" s="1">
        <f t="shared" si="2"/>
        <v>62</v>
      </c>
    </row>
    <row r="76" spans="2:7" x14ac:dyDescent="0.25">
      <c r="B76" s="270" t="s">
        <v>342</v>
      </c>
      <c r="C76" s="302" t="s">
        <v>409</v>
      </c>
      <c r="D76" s="274" t="s">
        <v>400</v>
      </c>
      <c r="E76" s="274" t="s">
        <v>402</v>
      </c>
      <c r="F76" s="291">
        <v>0</v>
      </c>
      <c r="G76" s="1">
        <f t="shared" si="2"/>
        <v>62</v>
      </c>
    </row>
    <row r="77" spans="2:7" x14ac:dyDescent="0.25">
      <c r="B77" s="270" t="s">
        <v>342</v>
      </c>
      <c r="C77" s="302" t="s">
        <v>375</v>
      </c>
      <c r="D77" s="274" t="s">
        <v>385</v>
      </c>
      <c r="E77" s="274" t="s">
        <v>390</v>
      </c>
      <c r="F77" s="291">
        <v>0</v>
      </c>
      <c r="G77" s="1">
        <f t="shared" si="2"/>
        <v>63</v>
      </c>
    </row>
    <row r="78" spans="2:7" x14ac:dyDescent="0.25">
      <c r="B78" s="270" t="s">
        <v>342</v>
      </c>
      <c r="C78" s="302" t="s">
        <v>374</v>
      </c>
      <c r="D78" s="274" t="s">
        <v>402</v>
      </c>
      <c r="E78" s="274" t="s">
        <v>403</v>
      </c>
      <c r="F78" s="291">
        <v>0</v>
      </c>
      <c r="G78" s="1">
        <f t="shared" si="2"/>
        <v>62</v>
      </c>
    </row>
    <row r="79" spans="2:7" x14ac:dyDescent="0.25">
      <c r="B79" s="270" t="s">
        <v>342</v>
      </c>
      <c r="C79" s="302" t="s">
        <v>386</v>
      </c>
      <c r="D79" s="274" t="s">
        <v>387</v>
      </c>
      <c r="E79" s="274" t="s">
        <v>390</v>
      </c>
      <c r="F79" s="291">
        <v>0</v>
      </c>
      <c r="G79" s="1">
        <f t="shared" si="2"/>
        <v>63</v>
      </c>
    </row>
    <row r="80" spans="2:7" x14ac:dyDescent="0.25">
      <c r="B80" s="270" t="s">
        <v>342</v>
      </c>
      <c r="C80" s="302" t="s">
        <v>388</v>
      </c>
      <c r="D80" s="274" t="s">
        <v>389</v>
      </c>
      <c r="E80" s="274"/>
      <c r="F80" s="291">
        <v>0</v>
      </c>
      <c r="G80" s="1">
        <f t="shared" si="2"/>
        <v>0</v>
      </c>
    </row>
    <row r="81" spans="2:7" x14ac:dyDescent="0.25">
      <c r="B81" s="270" t="s">
        <v>342</v>
      </c>
      <c r="C81" s="302" t="s">
        <v>410</v>
      </c>
      <c r="D81" s="274" t="s">
        <v>411</v>
      </c>
      <c r="E81" s="274" t="s">
        <v>412</v>
      </c>
      <c r="F81" s="291">
        <v>0</v>
      </c>
      <c r="G81" s="1">
        <f t="shared" si="2"/>
        <v>63</v>
      </c>
    </row>
    <row r="82" spans="2:7" x14ac:dyDescent="0.25">
      <c r="B82" s="270" t="s">
        <v>342</v>
      </c>
      <c r="C82" s="302" t="s">
        <v>422</v>
      </c>
      <c r="D82" s="274" t="s">
        <v>412</v>
      </c>
      <c r="E82" s="274" t="s">
        <v>391</v>
      </c>
      <c r="F82" s="291">
        <v>0</v>
      </c>
      <c r="G82" s="1">
        <f t="shared" si="2"/>
        <v>64</v>
      </c>
    </row>
    <row r="83" spans="2:7" x14ac:dyDescent="0.25">
      <c r="B83" s="270" t="s">
        <v>342</v>
      </c>
      <c r="C83" s="302" t="s">
        <v>377</v>
      </c>
      <c r="D83" s="274" t="s">
        <v>390</v>
      </c>
      <c r="E83" s="274"/>
      <c r="F83" s="291">
        <v>0</v>
      </c>
      <c r="G83" s="1">
        <f t="shared" si="2"/>
        <v>0</v>
      </c>
    </row>
    <row r="84" spans="2:7" x14ac:dyDescent="0.25">
      <c r="B84" s="270" t="s">
        <v>342</v>
      </c>
      <c r="C84" s="302" t="s">
        <v>379</v>
      </c>
      <c r="D84" s="274" t="s">
        <v>391</v>
      </c>
      <c r="E84" s="274" t="s">
        <v>413</v>
      </c>
      <c r="F84" s="291">
        <v>0</v>
      </c>
      <c r="G84" s="1">
        <f t="shared" si="2"/>
        <v>64</v>
      </c>
    </row>
    <row r="85" spans="2:7" x14ac:dyDescent="0.25">
      <c r="B85" s="270" t="s">
        <v>342</v>
      </c>
      <c r="C85" s="302" t="s">
        <v>378</v>
      </c>
      <c r="D85" s="274" t="s">
        <v>392</v>
      </c>
      <c r="E85" s="274"/>
      <c r="F85" s="291">
        <v>0</v>
      </c>
      <c r="G85" s="1">
        <f t="shared" si="2"/>
        <v>0</v>
      </c>
    </row>
    <row r="86" spans="2:7" x14ac:dyDescent="0.25">
      <c r="B86" s="270" t="s">
        <v>342</v>
      </c>
      <c r="C86" s="302" t="s">
        <v>414</v>
      </c>
      <c r="D86" s="274" t="s">
        <v>415</v>
      </c>
      <c r="E86" s="274" t="s">
        <v>411</v>
      </c>
      <c r="F86" s="291">
        <v>0</v>
      </c>
      <c r="G86" s="1">
        <f t="shared" si="2"/>
        <v>63</v>
      </c>
    </row>
    <row r="87" spans="2:7" x14ac:dyDescent="0.25">
      <c r="B87" s="270" t="s">
        <v>342</v>
      </c>
      <c r="C87" s="302" t="s">
        <v>416</v>
      </c>
      <c r="D87" s="274" t="s">
        <v>411</v>
      </c>
      <c r="E87" s="274" t="s">
        <v>412</v>
      </c>
      <c r="F87" s="291">
        <v>0</v>
      </c>
      <c r="G87" s="1">
        <f t="shared" si="2"/>
        <v>63</v>
      </c>
    </row>
    <row r="88" spans="2:7" x14ac:dyDescent="0.25">
      <c r="B88" s="270" t="s">
        <v>342</v>
      </c>
      <c r="C88" s="302" t="s">
        <v>417</v>
      </c>
      <c r="D88" s="274" t="s">
        <v>415</v>
      </c>
      <c r="E88" s="274" t="s">
        <v>411</v>
      </c>
      <c r="F88" s="291">
        <v>0</v>
      </c>
      <c r="G88" s="1">
        <f t="shared" si="2"/>
        <v>63</v>
      </c>
    </row>
    <row r="89" spans="2:7" x14ac:dyDescent="0.25">
      <c r="B89" s="270" t="s">
        <v>342</v>
      </c>
      <c r="C89" s="302" t="s">
        <v>418</v>
      </c>
      <c r="D89" s="274" t="s">
        <v>391</v>
      </c>
      <c r="E89" s="274" t="s">
        <v>389</v>
      </c>
      <c r="F89" s="291">
        <v>0</v>
      </c>
      <c r="G89" s="1">
        <f t="shared" si="2"/>
        <v>64</v>
      </c>
    </row>
    <row r="90" spans="2:7" x14ac:dyDescent="0.25">
      <c r="B90" s="270" t="s">
        <v>327</v>
      </c>
      <c r="C90" s="302" t="s">
        <v>380</v>
      </c>
      <c r="D90" s="274" t="s">
        <v>381</v>
      </c>
      <c r="E90" s="274" t="s">
        <v>393</v>
      </c>
      <c r="F90" s="291">
        <v>0</v>
      </c>
      <c r="G90" s="1">
        <f t="shared" si="2"/>
        <v>61</v>
      </c>
    </row>
    <row r="91" spans="2:7" x14ac:dyDescent="0.25">
      <c r="B91" s="270" t="s">
        <v>327</v>
      </c>
      <c r="C91" s="302" t="s">
        <v>394</v>
      </c>
      <c r="D91" s="274" t="s">
        <v>393</v>
      </c>
      <c r="E91" s="274" t="s">
        <v>395</v>
      </c>
      <c r="F91" s="291">
        <v>0</v>
      </c>
      <c r="G91" s="1">
        <f t="shared" si="2"/>
        <v>61</v>
      </c>
    </row>
    <row r="92" spans="2:7" x14ac:dyDescent="0.25">
      <c r="B92" s="270" t="s">
        <v>327</v>
      </c>
      <c r="C92" s="302" t="s">
        <v>423</v>
      </c>
      <c r="D92" s="274" t="s">
        <v>395</v>
      </c>
      <c r="E92" s="274" t="s">
        <v>384</v>
      </c>
      <c r="F92" s="291">
        <v>0</v>
      </c>
      <c r="G92" s="1">
        <f t="shared" si="2"/>
        <v>62</v>
      </c>
    </row>
    <row r="93" spans="2:7" x14ac:dyDescent="0.25">
      <c r="B93" s="270" t="s">
        <v>327</v>
      </c>
      <c r="C93" s="302" t="s">
        <v>396</v>
      </c>
      <c r="D93" s="274" t="s">
        <v>397</v>
      </c>
      <c r="E93" s="274" t="s">
        <v>398</v>
      </c>
      <c r="F93" s="291">
        <v>0</v>
      </c>
      <c r="G93" s="1">
        <f t="shared" si="2"/>
        <v>62</v>
      </c>
    </row>
    <row r="94" spans="2:7" x14ac:dyDescent="0.25">
      <c r="B94" s="270" t="s">
        <v>327</v>
      </c>
      <c r="C94" s="302" t="s">
        <v>399</v>
      </c>
      <c r="D94" s="274" t="s">
        <v>398</v>
      </c>
      <c r="E94" s="274" t="s">
        <v>400</v>
      </c>
      <c r="F94" s="291">
        <v>0</v>
      </c>
      <c r="G94" s="1">
        <f t="shared" si="2"/>
        <v>62</v>
      </c>
    </row>
    <row r="95" spans="2:7" x14ac:dyDescent="0.25">
      <c r="B95" s="270" t="s">
        <v>327</v>
      </c>
      <c r="C95" s="302" t="s">
        <v>401</v>
      </c>
      <c r="D95" s="274" t="s">
        <v>402</v>
      </c>
      <c r="E95" s="274" t="s">
        <v>403</v>
      </c>
      <c r="F95" s="291">
        <v>0</v>
      </c>
      <c r="G95" s="1">
        <f t="shared" si="2"/>
        <v>62</v>
      </c>
    </row>
    <row r="96" spans="2:7" x14ac:dyDescent="0.25">
      <c r="B96" s="270" t="s">
        <v>327</v>
      </c>
      <c r="C96" s="302" t="s">
        <v>419</v>
      </c>
      <c r="D96" s="274" t="s">
        <v>390</v>
      </c>
      <c r="E96" s="274" t="s">
        <v>415</v>
      </c>
      <c r="F96" s="291">
        <v>0</v>
      </c>
      <c r="G96" s="1">
        <f t="shared" si="2"/>
        <v>63</v>
      </c>
    </row>
    <row r="97" spans="2:7" x14ac:dyDescent="0.25">
      <c r="B97" s="270" t="s">
        <v>327</v>
      </c>
      <c r="C97" s="302" t="s">
        <v>404</v>
      </c>
      <c r="D97" s="274" t="s">
        <v>405</v>
      </c>
      <c r="E97" s="274" t="s">
        <v>415</v>
      </c>
      <c r="F97" s="291">
        <v>0</v>
      </c>
      <c r="G97" s="1">
        <f t="shared" si="2"/>
        <v>63</v>
      </c>
    </row>
    <row r="98" spans="2:7" x14ac:dyDescent="0.25">
      <c r="B98" s="270" t="s">
        <v>327</v>
      </c>
      <c r="C98" s="302" t="s">
        <v>372</v>
      </c>
      <c r="D98" s="274" t="s">
        <v>382</v>
      </c>
      <c r="E98" s="274" t="s">
        <v>406</v>
      </c>
      <c r="F98" s="291">
        <v>0</v>
      </c>
      <c r="G98" s="1">
        <f t="shared" si="2"/>
        <v>61</v>
      </c>
    </row>
    <row r="99" spans="2:7" x14ac:dyDescent="0.25">
      <c r="B99" s="270" t="s">
        <v>327</v>
      </c>
      <c r="C99" s="302" t="s">
        <v>407</v>
      </c>
      <c r="D99" s="274" t="s">
        <v>406</v>
      </c>
      <c r="E99" s="274" t="s">
        <v>381</v>
      </c>
      <c r="F99" s="291">
        <v>0</v>
      </c>
      <c r="G99" s="1">
        <f t="shared" si="2"/>
        <v>61</v>
      </c>
    </row>
    <row r="100" spans="2:7" x14ac:dyDescent="0.25">
      <c r="B100" s="270" t="s">
        <v>327</v>
      </c>
      <c r="C100" s="302" t="s">
        <v>383</v>
      </c>
      <c r="D100" s="274" t="s">
        <v>384</v>
      </c>
      <c r="E100" s="274" t="s">
        <v>408</v>
      </c>
      <c r="F100" s="291">
        <v>0</v>
      </c>
      <c r="G100" s="1">
        <f t="shared" si="2"/>
        <v>62</v>
      </c>
    </row>
    <row r="101" spans="2:7" x14ac:dyDescent="0.25">
      <c r="B101" s="270" t="s">
        <v>327</v>
      </c>
      <c r="C101" s="302" t="s">
        <v>420</v>
      </c>
      <c r="D101" s="274" t="s">
        <v>384</v>
      </c>
      <c r="E101" s="274" t="s">
        <v>384</v>
      </c>
      <c r="F101" s="291">
        <v>0</v>
      </c>
      <c r="G101" s="1">
        <f t="shared" si="2"/>
        <v>62</v>
      </c>
    </row>
    <row r="102" spans="2:7" x14ac:dyDescent="0.25">
      <c r="B102" s="270" t="s">
        <v>327</v>
      </c>
      <c r="C102" s="302" t="s">
        <v>373</v>
      </c>
      <c r="D102" s="274" t="s">
        <v>382</v>
      </c>
      <c r="E102" s="274" t="s">
        <v>397</v>
      </c>
      <c r="F102" s="291">
        <v>0</v>
      </c>
      <c r="G102" s="1">
        <f t="shared" si="2"/>
        <v>62</v>
      </c>
    </row>
    <row r="103" spans="2:7" x14ac:dyDescent="0.25">
      <c r="B103" s="270" t="s">
        <v>327</v>
      </c>
      <c r="C103" s="302" t="s">
        <v>409</v>
      </c>
      <c r="D103" s="274" t="s">
        <v>400</v>
      </c>
      <c r="E103" s="274" t="s">
        <v>402</v>
      </c>
      <c r="F103" s="291">
        <v>0</v>
      </c>
      <c r="G103" s="1">
        <f t="shared" si="2"/>
        <v>62</v>
      </c>
    </row>
    <row r="104" spans="2:7" x14ac:dyDescent="0.25">
      <c r="B104" s="270" t="s">
        <v>327</v>
      </c>
      <c r="C104" s="302" t="s">
        <v>375</v>
      </c>
      <c r="D104" s="274" t="s">
        <v>385</v>
      </c>
      <c r="E104" s="274" t="s">
        <v>390</v>
      </c>
      <c r="F104" s="291">
        <v>0</v>
      </c>
      <c r="G104" s="1">
        <f t="shared" si="2"/>
        <v>63</v>
      </c>
    </row>
    <row r="105" spans="2:7" x14ac:dyDescent="0.25">
      <c r="B105" s="270" t="s">
        <v>327</v>
      </c>
      <c r="C105" s="302" t="s">
        <v>374</v>
      </c>
      <c r="D105" s="274" t="s">
        <v>402</v>
      </c>
      <c r="E105" s="274" t="s">
        <v>403</v>
      </c>
      <c r="F105" s="291">
        <v>0</v>
      </c>
      <c r="G105" s="1">
        <f t="shared" si="2"/>
        <v>62</v>
      </c>
    </row>
    <row r="106" spans="2:7" x14ac:dyDescent="0.25">
      <c r="B106" s="270" t="s">
        <v>327</v>
      </c>
      <c r="C106" s="302" t="s">
        <v>386</v>
      </c>
      <c r="D106" s="274" t="s">
        <v>387</v>
      </c>
      <c r="E106" s="274" t="s">
        <v>390</v>
      </c>
      <c r="F106" s="291">
        <v>0</v>
      </c>
      <c r="G106" s="1">
        <f t="shared" si="2"/>
        <v>63</v>
      </c>
    </row>
    <row r="107" spans="2:7" x14ac:dyDescent="0.25">
      <c r="B107" s="270" t="s">
        <v>327</v>
      </c>
      <c r="C107" s="302" t="s">
        <v>388</v>
      </c>
      <c r="D107" s="274" t="s">
        <v>389</v>
      </c>
      <c r="E107" s="274" t="s">
        <v>421</v>
      </c>
      <c r="F107" s="291">
        <v>0</v>
      </c>
      <c r="G107" s="1">
        <f t="shared" si="2"/>
        <v>64</v>
      </c>
    </row>
    <row r="108" spans="2:7" x14ac:dyDescent="0.25">
      <c r="B108" s="270" t="s">
        <v>327</v>
      </c>
      <c r="C108" s="302" t="s">
        <v>410</v>
      </c>
      <c r="D108" s="274" t="s">
        <v>411</v>
      </c>
      <c r="E108" s="274" t="s">
        <v>412</v>
      </c>
      <c r="F108" s="291">
        <v>0</v>
      </c>
      <c r="G108" s="1">
        <f t="shared" si="2"/>
        <v>63</v>
      </c>
    </row>
    <row r="109" spans="2:7" x14ac:dyDescent="0.25">
      <c r="B109" s="270" t="s">
        <v>327</v>
      </c>
      <c r="C109" s="302" t="s">
        <v>377</v>
      </c>
      <c r="D109" s="274" t="s">
        <v>390</v>
      </c>
      <c r="E109" s="274" t="s">
        <v>421</v>
      </c>
      <c r="F109" s="291">
        <v>0</v>
      </c>
      <c r="G109" s="1">
        <f t="shared" si="2"/>
        <v>64</v>
      </c>
    </row>
    <row r="110" spans="2:7" x14ac:dyDescent="0.25">
      <c r="B110" s="270" t="s">
        <v>327</v>
      </c>
      <c r="C110" s="302" t="s">
        <v>379</v>
      </c>
      <c r="D110" s="274" t="s">
        <v>391</v>
      </c>
      <c r="E110" s="274" t="s">
        <v>413</v>
      </c>
      <c r="F110" s="291">
        <v>0</v>
      </c>
      <c r="G110" s="1">
        <f t="shared" si="2"/>
        <v>64</v>
      </c>
    </row>
    <row r="111" spans="2:7" x14ac:dyDescent="0.25">
      <c r="B111" s="270" t="s">
        <v>327</v>
      </c>
      <c r="C111" s="302" t="s">
        <v>378</v>
      </c>
      <c r="D111" s="274" t="s">
        <v>392</v>
      </c>
      <c r="E111" s="274"/>
      <c r="F111" s="291">
        <v>0</v>
      </c>
      <c r="G111" s="1">
        <f t="shared" si="2"/>
        <v>0</v>
      </c>
    </row>
    <row r="112" spans="2:7" x14ac:dyDescent="0.25">
      <c r="B112" s="270" t="s">
        <v>327</v>
      </c>
      <c r="C112" s="302" t="s">
        <v>414</v>
      </c>
      <c r="D112" s="274" t="s">
        <v>415</v>
      </c>
      <c r="E112" s="274" t="s">
        <v>411</v>
      </c>
      <c r="F112" s="291">
        <v>0</v>
      </c>
      <c r="G112" s="1">
        <f t="shared" si="2"/>
        <v>63</v>
      </c>
    </row>
    <row r="113" spans="2:7" x14ac:dyDescent="0.25">
      <c r="B113" s="270" t="s">
        <v>327</v>
      </c>
      <c r="C113" s="302" t="s">
        <v>416</v>
      </c>
      <c r="D113" s="274" t="s">
        <v>411</v>
      </c>
      <c r="E113" s="274" t="s">
        <v>412</v>
      </c>
      <c r="F113" s="291">
        <v>0</v>
      </c>
      <c r="G113" s="1">
        <f t="shared" si="2"/>
        <v>63</v>
      </c>
    </row>
    <row r="114" spans="2:7" x14ac:dyDescent="0.25">
      <c r="B114" s="270" t="s">
        <v>327</v>
      </c>
      <c r="C114" s="302" t="s">
        <v>417</v>
      </c>
      <c r="D114" s="274" t="s">
        <v>415</v>
      </c>
      <c r="E114" s="274" t="s">
        <v>411</v>
      </c>
      <c r="F114" s="291">
        <v>0</v>
      </c>
      <c r="G114" s="1">
        <f t="shared" si="2"/>
        <v>63</v>
      </c>
    </row>
    <row r="115" spans="2:7" x14ac:dyDescent="0.25">
      <c r="B115" s="270" t="s">
        <v>357</v>
      </c>
      <c r="C115" s="302" t="s">
        <v>380</v>
      </c>
      <c r="D115" s="274" t="s">
        <v>381</v>
      </c>
      <c r="E115" s="274" t="s">
        <v>393</v>
      </c>
      <c r="F115" s="291">
        <v>0</v>
      </c>
      <c r="G115" s="1">
        <f t="shared" si="2"/>
        <v>61</v>
      </c>
    </row>
    <row r="116" spans="2:7" x14ac:dyDescent="0.25">
      <c r="B116" s="270" t="s">
        <v>357</v>
      </c>
      <c r="C116" s="302" t="s">
        <v>394</v>
      </c>
      <c r="D116" s="274" t="s">
        <v>393</v>
      </c>
      <c r="E116" s="274" t="s">
        <v>395</v>
      </c>
      <c r="F116" s="291">
        <v>0</v>
      </c>
      <c r="G116" s="1">
        <f t="shared" si="2"/>
        <v>61</v>
      </c>
    </row>
    <row r="117" spans="2:7" x14ac:dyDescent="0.25">
      <c r="B117" s="270" t="s">
        <v>357</v>
      </c>
      <c r="C117" s="302" t="s">
        <v>423</v>
      </c>
      <c r="D117" s="274" t="s">
        <v>395</v>
      </c>
      <c r="E117" s="274" t="s">
        <v>384</v>
      </c>
      <c r="F117" s="291">
        <v>0</v>
      </c>
      <c r="G117" s="1">
        <f t="shared" si="2"/>
        <v>62</v>
      </c>
    </row>
    <row r="118" spans="2:7" x14ac:dyDescent="0.25">
      <c r="B118" s="270" t="s">
        <v>357</v>
      </c>
      <c r="C118" s="302" t="s">
        <v>396</v>
      </c>
      <c r="D118" s="274" t="s">
        <v>397</v>
      </c>
      <c r="E118" s="274" t="s">
        <v>398</v>
      </c>
      <c r="F118" s="291">
        <v>0</v>
      </c>
      <c r="G118" s="1">
        <f t="shared" si="2"/>
        <v>62</v>
      </c>
    </row>
    <row r="119" spans="2:7" x14ac:dyDescent="0.25">
      <c r="B119" s="270" t="s">
        <v>357</v>
      </c>
      <c r="C119" s="302" t="s">
        <v>399</v>
      </c>
      <c r="D119" s="274" t="s">
        <v>398</v>
      </c>
      <c r="E119" s="274" t="s">
        <v>400</v>
      </c>
      <c r="F119" s="291">
        <v>0</v>
      </c>
      <c r="G119" s="1">
        <f t="shared" si="2"/>
        <v>62</v>
      </c>
    </row>
    <row r="120" spans="2:7" x14ac:dyDescent="0.25">
      <c r="B120" s="270" t="s">
        <v>357</v>
      </c>
      <c r="C120" s="302" t="s">
        <v>401</v>
      </c>
      <c r="D120" s="274" t="s">
        <v>402</v>
      </c>
      <c r="E120" s="274" t="s">
        <v>403</v>
      </c>
      <c r="F120" s="291">
        <v>0</v>
      </c>
      <c r="G120" s="1">
        <f t="shared" si="2"/>
        <v>62</v>
      </c>
    </row>
    <row r="121" spans="2:7" x14ac:dyDescent="0.25">
      <c r="B121" s="270" t="s">
        <v>357</v>
      </c>
      <c r="C121" s="302" t="s">
        <v>404</v>
      </c>
      <c r="D121" s="274" t="s">
        <v>405</v>
      </c>
      <c r="E121" s="274" t="s">
        <v>405</v>
      </c>
      <c r="F121" s="291">
        <v>0</v>
      </c>
      <c r="G121" s="1">
        <f t="shared" si="2"/>
        <v>63</v>
      </c>
    </row>
    <row r="122" spans="2:7" x14ac:dyDescent="0.25">
      <c r="B122" s="270" t="s">
        <v>357</v>
      </c>
      <c r="C122" s="302" t="s">
        <v>372</v>
      </c>
      <c r="D122" s="274" t="s">
        <v>382</v>
      </c>
      <c r="E122" s="274" t="s">
        <v>406</v>
      </c>
      <c r="F122" s="291">
        <v>0</v>
      </c>
      <c r="G122" s="1">
        <f t="shared" si="2"/>
        <v>61</v>
      </c>
    </row>
    <row r="123" spans="2:7" x14ac:dyDescent="0.25">
      <c r="B123" s="270" t="s">
        <v>357</v>
      </c>
      <c r="C123" s="302" t="s">
        <v>407</v>
      </c>
      <c r="D123" s="274" t="s">
        <v>406</v>
      </c>
      <c r="E123" s="274" t="s">
        <v>381</v>
      </c>
      <c r="F123" s="291">
        <v>0</v>
      </c>
      <c r="G123" s="1">
        <f t="shared" si="2"/>
        <v>61</v>
      </c>
    </row>
    <row r="124" spans="2:7" x14ac:dyDescent="0.25">
      <c r="B124" s="270" t="s">
        <v>357</v>
      </c>
      <c r="C124" s="302" t="s">
        <v>383</v>
      </c>
      <c r="D124" s="274" t="s">
        <v>384</v>
      </c>
      <c r="E124" s="274" t="s">
        <v>397</v>
      </c>
      <c r="F124" s="291">
        <v>0</v>
      </c>
      <c r="G124" s="1">
        <f t="shared" si="2"/>
        <v>62</v>
      </c>
    </row>
    <row r="125" spans="2:7" x14ac:dyDescent="0.25">
      <c r="B125" s="270" t="s">
        <v>357</v>
      </c>
      <c r="C125" s="302" t="s">
        <v>373</v>
      </c>
      <c r="D125" s="274" t="s">
        <v>382</v>
      </c>
      <c r="E125" s="274" t="s">
        <v>397</v>
      </c>
      <c r="F125" s="291">
        <v>0</v>
      </c>
      <c r="G125" s="1">
        <f t="shared" si="2"/>
        <v>62</v>
      </c>
    </row>
    <row r="126" spans="2:7" x14ac:dyDescent="0.25">
      <c r="B126" s="270" t="s">
        <v>357</v>
      </c>
      <c r="C126" s="302" t="s">
        <v>409</v>
      </c>
      <c r="D126" s="274" t="s">
        <v>400</v>
      </c>
      <c r="E126" s="274" t="s">
        <v>402</v>
      </c>
      <c r="F126" s="291">
        <v>0</v>
      </c>
      <c r="G126" s="1">
        <f t="shared" si="2"/>
        <v>62</v>
      </c>
    </row>
    <row r="127" spans="2:7" x14ac:dyDescent="0.25">
      <c r="B127" s="270" t="s">
        <v>357</v>
      </c>
      <c r="C127" s="302" t="s">
        <v>375</v>
      </c>
      <c r="D127" s="274" t="s">
        <v>385</v>
      </c>
      <c r="E127" s="274" t="s">
        <v>390</v>
      </c>
      <c r="F127" s="291">
        <v>0</v>
      </c>
      <c r="G127" s="1">
        <f t="shared" si="2"/>
        <v>63</v>
      </c>
    </row>
    <row r="128" spans="2:7" x14ac:dyDescent="0.25">
      <c r="B128" s="270" t="s">
        <v>357</v>
      </c>
      <c r="C128" s="302" t="s">
        <v>374</v>
      </c>
      <c r="D128" s="274" t="s">
        <v>402</v>
      </c>
      <c r="E128" s="274" t="s">
        <v>403</v>
      </c>
      <c r="F128" s="291">
        <v>0</v>
      </c>
      <c r="G128" s="1">
        <f t="shared" si="2"/>
        <v>62</v>
      </c>
    </row>
    <row r="129" spans="2:7" x14ac:dyDescent="0.25">
      <c r="B129" s="270" t="s">
        <v>357</v>
      </c>
      <c r="C129" s="302" t="s">
        <v>386</v>
      </c>
      <c r="D129" s="274" t="s">
        <v>387</v>
      </c>
      <c r="E129" s="274" t="s">
        <v>390</v>
      </c>
      <c r="F129" s="291">
        <v>0</v>
      </c>
      <c r="G129" s="1">
        <f t="shared" si="2"/>
        <v>63</v>
      </c>
    </row>
    <row r="130" spans="2:7" x14ac:dyDescent="0.25">
      <c r="B130" s="270" t="s">
        <v>357</v>
      </c>
      <c r="C130" s="302" t="s">
        <v>388</v>
      </c>
      <c r="D130" s="274" t="s">
        <v>389</v>
      </c>
      <c r="E130" s="274" t="s">
        <v>421</v>
      </c>
      <c r="F130" s="291">
        <v>0</v>
      </c>
      <c r="G130" s="1">
        <f t="shared" si="2"/>
        <v>64</v>
      </c>
    </row>
    <row r="131" spans="2:7" x14ac:dyDescent="0.25">
      <c r="B131" s="270" t="s">
        <v>357</v>
      </c>
      <c r="C131" s="302" t="s">
        <v>410</v>
      </c>
      <c r="D131" s="274" t="s">
        <v>411</v>
      </c>
      <c r="E131" s="274" t="s">
        <v>412</v>
      </c>
      <c r="F131" s="291">
        <v>0</v>
      </c>
      <c r="G131" s="1">
        <f t="shared" si="2"/>
        <v>63</v>
      </c>
    </row>
    <row r="132" spans="2:7" x14ac:dyDescent="0.25">
      <c r="B132" s="270" t="s">
        <v>357</v>
      </c>
      <c r="C132" s="302" t="s">
        <v>377</v>
      </c>
      <c r="D132" s="274" t="s">
        <v>390</v>
      </c>
      <c r="E132" s="274" t="s">
        <v>424</v>
      </c>
      <c r="F132" s="291">
        <v>0</v>
      </c>
      <c r="G132" s="1">
        <f t="shared" si="2"/>
        <v>64</v>
      </c>
    </row>
    <row r="133" spans="2:7" x14ac:dyDescent="0.25">
      <c r="B133" s="270" t="s">
        <v>357</v>
      </c>
      <c r="C133" s="302" t="s">
        <v>379</v>
      </c>
      <c r="D133" s="274" t="s">
        <v>391</v>
      </c>
      <c r="E133" s="274" t="s">
        <v>413</v>
      </c>
      <c r="F133" s="291">
        <v>0</v>
      </c>
      <c r="G133" s="1">
        <f t="shared" si="2"/>
        <v>64</v>
      </c>
    </row>
    <row r="134" spans="2:7" x14ac:dyDescent="0.25">
      <c r="B134" s="270" t="s">
        <v>357</v>
      </c>
      <c r="C134" s="302" t="s">
        <v>378</v>
      </c>
      <c r="D134" s="274" t="s">
        <v>392</v>
      </c>
      <c r="E134" s="274"/>
      <c r="F134" s="291">
        <v>0</v>
      </c>
      <c r="G134" s="1">
        <f t="shared" si="2"/>
        <v>0</v>
      </c>
    </row>
    <row r="135" spans="2:7" x14ac:dyDescent="0.25">
      <c r="B135" s="270" t="s">
        <v>357</v>
      </c>
      <c r="C135" s="302" t="s">
        <v>414</v>
      </c>
      <c r="D135" s="274" t="s">
        <v>415</v>
      </c>
      <c r="E135" s="274" t="s">
        <v>411</v>
      </c>
      <c r="F135" s="291">
        <v>0</v>
      </c>
      <c r="G135" s="1">
        <f t="shared" ref="G135:G198" si="3">IF(ISBLANK(E135),E135,TRUNC((E135-start)/7,0)+1)</f>
        <v>63</v>
      </c>
    </row>
    <row r="136" spans="2:7" x14ac:dyDescent="0.25">
      <c r="B136" s="270" t="s">
        <v>357</v>
      </c>
      <c r="C136" s="302" t="s">
        <v>416</v>
      </c>
      <c r="D136" s="274" t="s">
        <v>411</v>
      </c>
      <c r="E136" s="274" t="s">
        <v>412</v>
      </c>
      <c r="F136" s="291">
        <v>0</v>
      </c>
      <c r="G136" s="1">
        <f t="shared" si="3"/>
        <v>63</v>
      </c>
    </row>
    <row r="137" spans="2:7" x14ac:dyDescent="0.25">
      <c r="B137" s="270" t="s">
        <v>357</v>
      </c>
      <c r="C137" s="302" t="s">
        <v>417</v>
      </c>
      <c r="D137" s="274" t="s">
        <v>415</v>
      </c>
      <c r="E137" s="274" t="s">
        <v>411</v>
      </c>
      <c r="F137" s="291">
        <v>0</v>
      </c>
      <c r="G137" s="1">
        <f t="shared" si="3"/>
        <v>63</v>
      </c>
    </row>
    <row r="138" spans="2:7" x14ac:dyDescent="0.25">
      <c r="B138" s="270" t="s">
        <v>349</v>
      </c>
      <c r="C138" s="302" t="s">
        <v>380</v>
      </c>
      <c r="D138" s="274" t="s">
        <v>381</v>
      </c>
      <c r="E138" s="274" t="s">
        <v>393</v>
      </c>
      <c r="F138" s="291">
        <v>0</v>
      </c>
      <c r="G138" s="1">
        <f t="shared" si="3"/>
        <v>61</v>
      </c>
    </row>
    <row r="139" spans="2:7" x14ac:dyDescent="0.25">
      <c r="B139" s="270" t="s">
        <v>349</v>
      </c>
      <c r="C139" s="302" t="s">
        <v>394</v>
      </c>
      <c r="D139" s="274" t="s">
        <v>393</v>
      </c>
      <c r="E139" s="274" t="s">
        <v>395</v>
      </c>
      <c r="F139" s="291">
        <v>0</v>
      </c>
      <c r="G139" s="1">
        <f t="shared" si="3"/>
        <v>61</v>
      </c>
    </row>
    <row r="140" spans="2:7" x14ac:dyDescent="0.25">
      <c r="B140" s="270" t="s">
        <v>349</v>
      </c>
      <c r="C140" s="302" t="s">
        <v>423</v>
      </c>
      <c r="D140" s="274" t="s">
        <v>395</v>
      </c>
      <c r="E140" s="274" t="s">
        <v>384</v>
      </c>
      <c r="F140" s="291">
        <v>0</v>
      </c>
      <c r="G140" s="1">
        <f t="shared" si="3"/>
        <v>62</v>
      </c>
    </row>
    <row r="141" spans="2:7" x14ac:dyDescent="0.25">
      <c r="B141" s="270" t="s">
        <v>349</v>
      </c>
      <c r="C141" s="302" t="s">
        <v>396</v>
      </c>
      <c r="D141" s="274" t="s">
        <v>397</v>
      </c>
      <c r="E141" s="274" t="s">
        <v>398</v>
      </c>
      <c r="F141" s="291">
        <v>0</v>
      </c>
      <c r="G141" s="1">
        <f t="shared" si="3"/>
        <v>62</v>
      </c>
    </row>
    <row r="142" spans="2:7" x14ac:dyDescent="0.25">
      <c r="B142" s="270" t="s">
        <v>349</v>
      </c>
      <c r="C142" s="302" t="s">
        <v>399</v>
      </c>
      <c r="D142" s="274" t="s">
        <v>398</v>
      </c>
      <c r="E142" s="274" t="s">
        <v>400</v>
      </c>
      <c r="F142" s="291">
        <v>0</v>
      </c>
      <c r="G142" s="1">
        <f t="shared" si="3"/>
        <v>62</v>
      </c>
    </row>
    <row r="143" spans="2:7" x14ac:dyDescent="0.25">
      <c r="B143" s="270" t="s">
        <v>349</v>
      </c>
      <c r="C143" s="302" t="s">
        <v>401</v>
      </c>
      <c r="D143" s="274" t="s">
        <v>402</v>
      </c>
      <c r="E143" s="274" t="s">
        <v>403</v>
      </c>
      <c r="F143" s="291">
        <v>0</v>
      </c>
      <c r="G143" s="1">
        <f t="shared" si="3"/>
        <v>62</v>
      </c>
    </row>
    <row r="144" spans="2:7" x14ac:dyDescent="0.25">
      <c r="B144" s="270" t="s">
        <v>349</v>
      </c>
      <c r="C144" s="302" t="s">
        <v>419</v>
      </c>
      <c r="D144" s="274" t="s">
        <v>390</v>
      </c>
      <c r="E144" s="274" t="s">
        <v>405</v>
      </c>
      <c r="F144" s="291">
        <v>0</v>
      </c>
      <c r="G144" s="1">
        <f t="shared" si="3"/>
        <v>63</v>
      </c>
    </row>
    <row r="145" spans="2:7" x14ac:dyDescent="0.25">
      <c r="B145" s="270" t="s">
        <v>349</v>
      </c>
      <c r="C145" s="302" t="s">
        <v>404</v>
      </c>
      <c r="D145" s="274" t="s">
        <v>405</v>
      </c>
      <c r="E145" s="274" t="s">
        <v>405</v>
      </c>
      <c r="F145" s="291">
        <v>0</v>
      </c>
      <c r="G145" s="1">
        <f t="shared" si="3"/>
        <v>63</v>
      </c>
    </row>
    <row r="146" spans="2:7" x14ac:dyDescent="0.25">
      <c r="B146" s="270" t="s">
        <v>349</v>
      </c>
      <c r="C146" s="302" t="s">
        <v>372</v>
      </c>
      <c r="D146" s="274" t="s">
        <v>382</v>
      </c>
      <c r="E146" s="274" t="s">
        <v>406</v>
      </c>
      <c r="F146" s="291">
        <v>0</v>
      </c>
      <c r="G146" s="1">
        <f t="shared" si="3"/>
        <v>61</v>
      </c>
    </row>
    <row r="147" spans="2:7" x14ac:dyDescent="0.25">
      <c r="B147" s="270" t="s">
        <v>349</v>
      </c>
      <c r="C147" s="302" t="s">
        <v>407</v>
      </c>
      <c r="D147" s="274" t="s">
        <v>406</v>
      </c>
      <c r="E147" s="274" t="s">
        <v>381</v>
      </c>
      <c r="F147" s="291">
        <v>0</v>
      </c>
      <c r="G147" s="1">
        <f t="shared" si="3"/>
        <v>61</v>
      </c>
    </row>
    <row r="148" spans="2:7" x14ac:dyDescent="0.25">
      <c r="B148" s="270" t="s">
        <v>349</v>
      </c>
      <c r="C148" s="302" t="s">
        <v>383</v>
      </c>
      <c r="D148" s="274" t="s">
        <v>384</v>
      </c>
      <c r="E148" s="274" t="s">
        <v>408</v>
      </c>
      <c r="F148" s="291">
        <v>0</v>
      </c>
      <c r="G148" s="1">
        <f t="shared" si="3"/>
        <v>62</v>
      </c>
    </row>
    <row r="149" spans="2:7" x14ac:dyDescent="0.25">
      <c r="B149" s="270" t="s">
        <v>349</v>
      </c>
      <c r="C149" s="302" t="s">
        <v>420</v>
      </c>
      <c r="D149" s="274" t="s">
        <v>384</v>
      </c>
      <c r="E149" s="274" t="s">
        <v>384</v>
      </c>
      <c r="F149" s="291">
        <v>0</v>
      </c>
      <c r="G149" s="1">
        <f t="shared" si="3"/>
        <v>62</v>
      </c>
    </row>
    <row r="150" spans="2:7" x14ac:dyDescent="0.25">
      <c r="B150" s="270" t="s">
        <v>349</v>
      </c>
      <c r="C150" s="302" t="s">
        <v>373</v>
      </c>
      <c r="D150" s="274" t="s">
        <v>382</v>
      </c>
      <c r="E150" s="274" t="s">
        <v>397</v>
      </c>
      <c r="F150" s="291">
        <v>0</v>
      </c>
      <c r="G150" s="1">
        <f t="shared" si="3"/>
        <v>62</v>
      </c>
    </row>
    <row r="151" spans="2:7" x14ac:dyDescent="0.25">
      <c r="B151" s="270" t="s">
        <v>349</v>
      </c>
      <c r="C151" s="302" t="s">
        <v>409</v>
      </c>
      <c r="D151" s="274" t="s">
        <v>400</v>
      </c>
      <c r="E151" s="274" t="s">
        <v>402</v>
      </c>
      <c r="F151" s="291">
        <v>0</v>
      </c>
      <c r="G151" s="1">
        <f t="shared" si="3"/>
        <v>62</v>
      </c>
    </row>
    <row r="152" spans="2:7" x14ac:dyDescent="0.25">
      <c r="B152" s="270" t="s">
        <v>349</v>
      </c>
      <c r="C152" s="302" t="s">
        <v>375</v>
      </c>
      <c r="D152" s="274" t="s">
        <v>385</v>
      </c>
      <c r="E152" s="274" t="s">
        <v>405</v>
      </c>
      <c r="F152" s="291">
        <v>0</v>
      </c>
      <c r="G152" s="1">
        <f t="shared" si="3"/>
        <v>63</v>
      </c>
    </row>
    <row r="153" spans="2:7" x14ac:dyDescent="0.25">
      <c r="B153" s="270" t="s">
        <v>349</v>
      </c>
      <c r="C153" s="302" t="s">
        <v>374</v>
      </c>
      <c r="D153" s="274" t="s">
        <v>402</v>
      </c>
      <c r="E153" s="274" t="s">
        <v>403</v>
      </c>
      <c r="F153" s="291">
        <v>0</v>
      </c>
      <c r="G153" s="1">
        <f t="shared" si="3"/>
        <v>62</v>
      </c>
    </row>
    <row r="154" spans="2:7" x14ac:dyDescent="0.25">
      <c r="B154" s="270" t="s">
        <v>349</v>
      </c>
      <c r="C154" s="302" t="s">
        <v>386</v>
      </c>
      <c r="D154" s="274" t="s">
        <v>387</v>
      </c>
      <c r="E154" s="274" t="s">
        <v>405</v>
      </c>
      <c r="F154" s="291">
        <v>0</v>
      </c>
      <c r="G154" s="1">
        <f t="shared" si="3"/>
        <v>63</v>
      </c>
    </row>
    <row r="155" spans="2:7" x14ac:dyDescent="0.25">
      <c r="B155" s="270" t="s">
        <v>349</v>
      </c>
      <c r="C155" s="302" t="s">
        <v>388</v>
      </c>
      <c r="D155" s="274" t="s">
        <v>389</v>
      </c>
      <c r="E155" s="274" t="s">
        <v>421</v>
      </c>
      <c r="F155" s="291">
        <v>0</v>
      </c>
      <c r="G155" s="1">
        <f t="shared" si="3"/>
        <v>64</v>
      </c>
    </row>
    <row r="156" spans="2:7" x14ac:dyDescent="0.25">
      <c r="B156" s="270" t="s">
        <v>349</v>
      </c>
      <c r="C156" s="302" t="s">
        <v>410</v>
      </c>
      <c r="D156" s="274" t="s">
        <v>411</v>
      </c>
      <c r="E156" s="274" t="s">
        <v>412</v>
      </c>
      <c r="F156" s="291">
        <v>0</v>
      </c>
      <c r="G156" s="1">
        <f t="shared" si="3"/>
        <v>63</v>
      </c>
    </row>
    <row r="157" spans="2:7" x14ac:dyDescent="0.25">
      <c r="B157" s="270" t="s">
        <v>349</v>
      </c>
      <c r="C157" s="302" t="s">
        <v>422</v>
      </c>
      <c r="D157" s="274" t="s">
        <v>412</v>
      </c>
      <c r="E157" s="274" t="s">
        <v>391</v>
      </c>
      <c r="F157" s="291">
        <v>0</v>
      </c>
      <c r="G157" s="1">
        <f t="shared" si="3"/>
        <v>64</v>
      </c>
    </row>
    <row r="158" spans="2:7" x14ac:dyDescent="0.25">
      <c r="B158" s="270" t="s">
        <v>349</v>
      </c>
      <c r="C158" s="302" t="s">
        <v>377</v>
      </c>
      <c r="D158" s="274" t="s">
        <v>390</v>
      </c>
      <c r="E158" s="274" t="s">
        <v>424</v>
      </c>
      <c r="F158" s="291">
        <v>0</v>
      </c>
      <c r="G158" s="1">
        <f t="shared" si="3"/>
        <v>64</v>
      </c>
    </row>
    <row r="159" spans="2:7" x14ac:dyDescent="0.25">
      <c r="B159" s="270" t="s">
        <v>349</v>
      </c>
      <c r="C159" s="302" t="s">
        <v>379</v>
      </c>
      <c r="D159" s="274" t="s">
        <v>391</v>
      </c>
      <c r="E159" s="274"/>
      <c r="F159" s="291">
        <v>0</v>
      </c>
      <c r="G159" s="1">
        <f t="shared" si="3"/>
        <v>0</v>
      </c>
    </row>
    <row r="160" spans="2:7" x14ac:dyDescent="0.25">
      <c r="B160" s="270" t="s">
        <v>349</v>
      </c>
      <c r="C160" s="302" t="s">
        <v>378</v>
      </c>
      <c r="D160" s="274" t="s">
        <v>392</v>
      </c>
      <c r="E160" s="274"/>
      <c r="F160" s="291">
        <v>0</v>
      </c>
      <c r="G160" s="1">
        <f t="shared" si="3"/>
        <v>0</v>
      </c>
    </row>
    <row r="161" spans="2:7" x14ac:dyDescent="0.25">
      <c r="B161" s="270" t="s">
        <v>349</v>
      </c>
      <c r="C161" s="302" t="s">
        <v>414</v>
      </c>
      <c r="D161" s="274" t="s">
        <v>415</v>
      </c>
      <c r="E161" s="274" t="s">
        <v>411</v>
      </c>
      <c r="F161" s="291">
        <v>0</v>
      </c>
      <c r="G161" s="1">
        <f t="shared" si="3"/>
        <v>63</v>
      </c>
    </row>
    <row r="162" spans="2:7" x14ac:dyDescent="0.25">
      <c r="B162" s="270" t="s">
        <v>349</v>
      </c>
      <c r="C162" s="302" t="s">
        <v>416</v>
      </c>
      <c r="D162" s="274" t="s">
        <v>411</v>
      </c>
      <c r="E162" s="274" t="s">
        <v>412</v>
      </c>
      <c r="F162" s="291">
        <v>0</v>
      </c>
      <c r="G162" s="1">
        <f t="shared" si="3"/>
        <v>63</v>
      </c>
    </row>
    <row r="163" spans="2:7" x14ac:dyDescent="0.25">
      <c r="B163" s="270" t="s">
        <v>349</v>
      </c>
      <c r="C163" s="302" t="s">
        <v>417</v>
      </c>
      <c r="D163" s="274" t="s">
        <v>415</v>
      </c>
      <c r="E163" s="274" t="s">
        <v>411</v>
      </c>
      <c r="F163" s="291">
        <v>0</v>
      </c>
      <c r="G163" s="1">
        <f t="shared" si="3"/>
        <v>63</v>
      </c>
    </row>
    <row r="164" spans="2:7" x14ac:dyDescent="0.25">
      <c r="B164" s="270" t="s">
        <v>349</v>
      </c>
      <c r="C164" s="302" t="s">
        <v>418</v>
      </c>
      <c r="D164" s="274" t="s">
        <v>391</v>
      </c>
      <c r="E164" s="274" t="s">
        <v>389</v>
      </c>
      <c r="F164" s="291">
        <v>0</v>
      </c>
      <c r="G164" s="1">
        <f t="shared" si="3"/>
        <v>64</v>
      </c>
    </row>
    <row r="165" spans="2:7" x14ac:dyDescent="0.25">
      <c r="B165" s="270" t="s">
        <v>347</v>
      </c>
      <c r="C165" s="302" t="s">
        <v>380</v>
      </c>
      <c r="D165" s="274" t="s">
        <v>381</v>
      </c>
      <c r="E165" s="274"/>
      <c r="F165" s="291">
        <v>0</v>
      </c>
      <c r="G165" s="1">
        <f t="shared" si="3"/>
        <v>0</v>
      </c>
    </row>
    <row r="166" spans="2:7" x14ac:dyDescent="0.25">
      <c r="B166" s="270" t="s">
        <v>347</v>
      </c>
      <c r="C166" s="302" t="s">
        <v>372</v>
      </c>
      <c r="D166" s="274" t="s">
        <v>382</v>
      </c>
      <c r="E166" s="274"/>
      <c r="F166" s="291">
        <v>0</v>
      </c>
      <c r="G166" s="1">
        <f t="shared" si="3"/>
        <v>0</v>
      </c>
    </row>
    <row r="167" spans="2:7" x14ac:dyDescent="0.25">
      <c r="B167" s="270" t="s">
        <v>347</v>
      </c>
      <c r="C167" s="302" t="s">
        <v>383</v>
      </c>
      <c r="D167" s="274" t="s">
        <v>384</v>
      </c>
      <c r="E167" s="274"/>
      <c r="F167" s="291">
        <v>0</v>
      </c>
      <c r="G167" s="1">
        <f t="shared" si="3"/>
        <v>0</v>
      </c>
    </row>
    <row r="168" spans="2:7" x14ac:dyDescent="0.25">
      <c r="B168" s="270" t="s">
        <v>347</v>
      </c>
      <c r="C168" s="302" t="s">
        <v>375</v>
      </c>
      <c r="D168" s="274" t="s">
        <v>385</v>
      </c>
      <c r="E168" s="274"/>
      <c r="F168" s="291">
        <v>0</v>
      </c>
      <c r="G168" s="1">
        <f t="shared" si="3"/>
        <v>0</v>
      </c>
    </row>
    <row r="169" spans="2:7" x14ac:dyDescent="0.25">
      <c r="B169" s="270" t="s">
        <v>347</v>
      </c>
      <c r="C169" s="302" t="s">
        <v>386</v>
      </c>
      <c r="D169" s="274" t="s">
        <v>387</v>
      </c>
      <c r="E169" s="274"/>
      <c r="F169" s="291">
        <v>0</v>
      </c>
      <c r="G169" s="1">
        <f t="shared" si="3"/>
        <v>0</v>
      </c>
    </row>
    <row r="170" spans="2:7" x14ac:dyDescent="0.25">
      <c r="B170" s="270" t="s">
        <v>347</v>
      </c>
      <c r="C170" s="302" t="s">
        <v>388</v>
      </c>
      <c r="D170" s="274" t="s">
        <v>389</v>
      </c>
      <c r="E170" s="274"/>
      <c r="F170" s="291">
        <v>0</v>
      </c>
      <c r="G170" s="1">
        <f t="shared" si="3"/>
        <v>0</v>
      </c>
    </row>
    <row r="171" spans="2:7" x14ac:dyDescent="0.25">
      <c r="B171" s="270" t="s">
        <v>347</v>
      </c>
      <c r="C171" s="302" t="s">
        <v>377</v>
      </c>
      <c r="D171" s="274" t="s">
        <v>390</v>
      </c>
      <c r="E171" s="274"/>
      <c r="F171" s="291">
        <v>0</v>
      </c>
      <c r="G171" s="1">
        <f t="shared" si="3"/>
        <v>0</v>
      </c>
    </row>
    <row r="172" spans="2:7" x14ac:dyDescent="0.25">
      <c r="B172" s="270" t="s">
        <v>347</v>
      </c>
      <c r="C172" s="302" t="s">
        <v>379</v>
      </c>
      <c r="D172" s="274" t="s">
        <v>391</v>
      </c>
      <c r="E172" s="274"/>
      <c r="F172" s="291">
        <v>0</v>
      </c>
      <c r="G172" s="1">
        <f t="shared" si="3"/>
        <v>0</v>
      </c>
    </row>
    <row r="173" spans="2:7" x14ac:dyDescent="0.25">
      <c r="B173" s="270" t="s">
        <v>347</v>
      </c>
      <c r="C173" s="302" t="s">
        <v>378</v>
      </c>
      <c r="D173" s="274" t="s">
        <v>392</v>
      </c>
      <c r="E173" s="274"/>
      <c r="F173" s="291">
        <v>0</v>
      </c>
      <c r="G173" s="1">
        <f t="shared" si="3"/>
        <v>0</v>
      </c>
    </row>
    <row r="174" spans="2:7" x14ac:dyDescent="0.25">
      <c r="B174" s="270" t="s">
        <v>268</v>
      </c>
      <c r="C174" s="302" t="s">
        <v>380</v>
      </c>
      <c r="D174" s="274" t="s">
        <v>381</v>
      </c>
      <c r="E174" s="274" t="s">
        <v>393</v>
      </c>
      <c r="F174" s="291">
        <v>0</v>
      </c>
      <c r="G174" s="1">
        <f t="shared" si="3"/>
        <v>61</v>
      </c>
    </row>
    <row r="175" spans="2:7" x14ac:dyDescent="0.25">
      <c r="B175" s="270" t="s">
        <v>268</v>
      </c>
      <c r="C175" s="302" t="s">
        <v>394</v>
      </c>
      <c r="D175" s="274" t="s">
        <v>393</v>
      </c>
      <c r="E175" s="274" t="s">
        <v>395</v>
      </c>
      <c r="F175" s="291">
        <v>0</v>
      </c>
      <c r="G175" s="1">
        <f t="shared" si="3"/>
        <v>61</v>
      </c>
    </row>
    <row r="176" spans="2:7" x14ac:dyDescent="0.25">
      <c r="B176" s="270" t="s">
        <v>268</v>
      </c>
      <c r="C176" s="302" t="s">
        <v>423</v>
      </c>
      <c r="D176" s="274" t="s">
        <v>395</v>
      </c>
      <c r="E176" s="274" t="s">
        <v>384</v>
      </c>
      <c r="F176" s="291">
        <v>0</v>
      </c>
      <c r="G176" s="1">
        <f t="shared" si="3"/>
        <v>62</v>
      </c>
    </row>
    <row r="177" spans="2:7" x14ac:dyDescent="0.25">
      <c r="B177" s="270" t="s">
        <v>268</v>
      </c>
      <c r="C177" s="302" t="s">
        <v>396</v>
      </c>
      <c r="D177" s="274" t="s">
        <v>397</v>
      </c>
      <c r="E177" s="274" t="s">
        <v>398</v>
      </c>
      <c r="F177" s="291">
        <v>0</v>
      </c>
      <c r="G177" s="1">
        <f t="shared" si="3"/>
        <v>62</v>
      </c>
    </row>
    <row r="178" spans="2:7" x14ac:dyDescent="0.25">
      <c r="B178" s="270" t="s">
        <v>268</v>
      </c>
      <c r="C178" s="302" t="s">
        <v>399</v>
      </c>
      <c r="D178" s="274" t="s">
        <v>398</v>
      </c>
      <c r="E178" s="274" t="s">
        <v>400</v>
      </c>
      <c r="F178" s="291">
        <v>0</v>
      </c>
      <c r="G178" s="1">
        <f t="shared" si="3"/>
        <v>62</v>
      </c>
    </row>
    <row r="179" spans="2:7" x14ac:dyDescent="0.25">
      <c r="B179" s="270" t="s">
        <v>268</v>
      </c>
      <c r="C179" s="302" t="s">
        <v>401</v>
      </c>
      <c r="D179" s="274" t="s">
        <v>402</v>
      </c>
      <c r="E179" s="274" t="s">
        <v>403</v>
      </c>
      <c r="F179" s="291">
        <v>0</v>
      </c>
      <c r="G179" s="1">
        <f t="shared" si="3"/>
        <v>62</v>
      </c>
    </row>
    <row r="180" spans="2:7" x14ac:dyDescent="0.25">
      <c r="B180" s="270" t="s">
        <v>268</v>
      </c>
      <c r="C180" s="302" t="s">
        <v>419</v>
      </c>
      <c r="D180" s="274" t="s">
        <v>390</v>
      </c>
      <c r="E180" s="274" t="s">
        <v>405</v>
      </c>
      <c r="F180" s="291">
        <v>0</v>
      </c>
      <c r="G180" s="1">
        <f t="shared" si="3"/>
        <v>63</v>
      </c>
    </row>
    <row r="181" spans="2:7" x14ac:dyDescent="0.25">
      <c r="B181" s="270" t="s">
        <v>268</v>
      </c>
      <c r="C181" s="302" t="s">
        <v>404</v>
      </c>
      <c r="D181" s="274" t="s">
        <v>405</v>
      </c>
      <c r="E181" s="274" t="s">
        <v>405</v>
      </c>
      <c r="F181" s="291">
        <v>0</v>
      </c>
      <c r="G181" s="1">
        <f t="shared" si="3"/>
        <v>63</v>
      </c>
    </row>
    <row r="182" spans="2:7" x14ac:dyDescent="0.25">
      <c r="B182" s="270" t="s">
        <v>268</v>
      </c>
      <c r="C182" s="302" t="s">
        <v>372</v>
      </c>
      <c r="D182" s="274" t="s">
        <v>382</v>
      </c>
      <c r="E182" s="274" t="s">
        <v>406</v>
      </c>
      <c r="F182" s="291">
        <v>0</v>
      </c>
      <c r="G182" s="1">
        <f t="shared" si="3"/>
        <v>61</v>
      </c>
    </row>
    <row r="183" spans="2:7" x14ac:dyDescent="0.25">
      <c r="B183" s="270" t="s">
        <v>268</v>
      </c>
      <c r="C183" s="302" t="s">
        <v>407</v>
      </c>
      <c r="D183" s="274" t="s">
        <v>406</v>
      </c>
      <c r="E183" s="274" t="s">
        <v>381</v>
      </c>
      <c r="F183" s="291">
        <v>0</v>
      </c>
      <c r="G183" s="1">
        <f t="shared" si="3"/>
        <v>61</v>
      </c>
    </row>
    <row r="184" spans="2:7" x14ac:dyDescent="0.25">
      <c r="B184" s="270" t="s">
        <v>268</v>
      </c>
      <c r="C184" s="302" t="s">
        <v>383</v>
      </c>
      <c r="D184" s="274" t="s">
        <v>384</v>
      </c>
      <c r="E184" s="274" t="s">
        <v>408</v>
      </c>
      <c r="F184" s="291">
        <v>0</v>
      </c>
      <c r="G184" s="1">
        <f t="shared" si="3"/>
        <v>62</v>
      </c>
    </row>
    <row r="185" spans="2:7" x14ac:dyDescent="0.25">
      <c r="B185" s="270" t="s">
        <v>268</v>
      </c>
      <c r="C185" s="302" t="s">
        <v>420</v>
      </c>
      <c r="D185" s="274" t="s">
        <v>384</v>
      </c>
      <c r="E185" s="274" t="s">
        <v>384</v>
      </c>
      <c r="F185" s="291">
        <v>0</v>
      </c>
      <c r="G185" s="1">
        <f t="shared" si="3"/>
        <v>62</v>
      </c>
    </row>
    <row r="186" spans="2:7" x14ac:dyDescent="0.25">
      <c r="B186" s="270" t="s">
        <v>268</v>
      </c>
      <c r="C186" s="302" t="s">
        <v>373</v>
      </c>
      <c r="D186" s="274" t="s">
        <v>382</v>
      </c>
      <c r="E186" s="274" t="s">
        <v>384</v>
      </c>
      <c r="F186" s="291">
        <v>0</v>
      </c>
      <c r="G186" s="1">
        <f t="shared" si="3"/>
        <v>62</v>
      </c>
    </row>
    <row r="187" spans="2:7" x14ac:dyDescent="0.25">
      <c r="B187" s="270" t="s">
        <v>268</v>
      </c>
      <c r="C187" s="302" t="s">
        <v>409</v>
      </c>
      <c r="D187" s="274" t="s">
        <v>400</v>
      </c>
      <c r="E187" s="274" t="s">
        <v>402</v>
      </c>
      <c r="F187" s="291">
        <v>0</v>
      </c>
      <c r="G187" s="1">
        <f t="shared" si="3"/>
        <v>62</v>
      </c>
    </row>
    <row r="188" spans="2:7" x14ac:dyDescent="0.25">
      <c r="B188" s="270" t="s">
        <v>268</v>
      </c>
      <c r="C188" s="302" t="s">
        <v>375</v>
      </c>
      <c r="D188" s="274" t="s">
        <v>385</v>
      </c>
      <c r="E188" s="274" t="s">
        <v>385</v>
      </c>
      <c r="F188" s="291">
        <v>0</v>
      </c>
      <c r="G188" s="1">
        <f t="shared" si="3"/>
        <v>63</v>
      </c>
    </row>
    <row r="189" spans="2:7" x14ac:dyDescent="0.25">
      <c r="B189" s="270" t="s">
        <v>268</v>
      </c>
      <c r="C189" s="302" t="s">
        <v>374</v>
      </c>
      <c r="D189" s="274" t="s">
        <v>402</v>
      </c>
      <c r="E189" s="274" t="s">
        <v>403</v>
      </c>
      <c r="F189" s="291">
        <v>0</v>
      </c>
      <c r="G189" s="1">
        <f t="shared" si="3"/>
        <v>62</v>
      </c>
    </row>
    <row r="190" spans="2:7" x14ac:dyDescent="0.25">
      <c r="B190" s="270" t="s">
        <v>268</v>
      </c>
      <c r="C190" s="302" t="s">
        <v>386</v>
      </c>
      <c r="D190" s="274" t="s">
        <v>387</v>
      </c>
      <c r="E190" s="274" t="s">
        <v>387</v>
      </c>
      <c r="F190" s="291">
        <v>0</v>
      </c>
      <c r="G190" s="1">
        <f t="shared" si="3"/>
        <v>63</v>
      </c>
    </row>
    <row r="191" spans="2:7" x14ac:dyDescent="0.25">
      <c r="B191" s="270" t="s">
        <v>268</v>
      </c>
      <c r="C191" s="302" t="s">
        <v>388</v>
      </c>
      <c r="D191" s="274" t="s">
        <v>389</v>
      </c>
      <c r="E191" s="274" t="s">
        <v>421</v>
      </c>
      <c r="F191" s="291">
        <v>0</v>
      </c>
      <c r="G191" s="1">
        <f t="shared" si="3"/>
        <v>64</v>
      </c>
    </row>
    <row r="192" spans="2:7" x14ac:dyDescent="0.25">
      <c r="B192" s="270" t="s">
        <v>268</v>
      </c>
      <c r="C192" s="302" t="s">
        <v>410</v>
      </c>
      <c r="D192" s="274" t="s">
        <v>411</v>
      </c>
      <c r="E192" s="274" t="s">
        <v>412</v>
      </c>
      <c r="F192" s="291">
        <v>0</v>
      </c>
      <c r="G192" s="1">
        <f t="shared" si="3"/>
        <v>63</v>
      </c>
    </row>
    <row r="193" spans="2:7" x14ac:dyDescent="0.25">
      <c r="B193" s="270" t="s">
        <v>268</v>
      </c>
      <c r="C193" s="302" t="s">
        <v>422</v>
      </c>
      <c r="D193" s="274" t="s">
        <v>412</v>
      </c>
      <c r="E193" s="274" t="s">
        <v>391</v>
      </c>
      <c r="F193" s="291">
        <v>0</v>
      </c>
      <c r="G193" s="1">
        <f t="shared" si="3"/>
        <v>64</v>
      </c>
    </row>
    <row r="194" spans="2:7" x14ac:dyDescent="0.25">
      <c r="B194" s="270" t="s">
        <v>268</v>
      </c>
      <c r="C194" s="302" t="s">
        <v>377</v>
      </c>
      <c r="D194" s="274" t="s">
        <v>390</v>
      </c>
      <c r="E194" s="274" t="s">
        <v>424</v>
      </c>
      <c r="F194" s="291">
        <v>0</v>
      </c>
      <c r="G194" s="1">
        <f t="shared" si="3"/>
        <v>64</v>
      </c>
    </row>
    <row r="195" spans="2:7" x14ac:dyDescent="0.25">
      <c r="B195" s="270" t="s">
        <v>268</v>
      </c>
      <c r="C195" s="302" t="s">
        <v>379</v>
      </c>
      <c r="D195" s="274" t="s">
        <v>391</v>
      </c>
      <c r="E195" s="274" t="s">
        <v>389</v>
      </c>
      <c r="F195" s="291">
        <v>0</v>
      </c>
      <c r="G195" s="1">
        <f t="shared" si="3"/>
        <v>64</v>
      </c>
    </row>
    <row r="196" spans="2:7" x14ac:dyDescent="0.25">
      <c r="B196" s="270" t="s">
        <v>268</v>
      </c>
      <c r="C196" s="302" t="s">
        <v>378</v>
      </c>
      <c r="D196" s="274" t="s">
        <v>392</v>
      </c>
      <c r="E196" s="274"/>
      <c r="F196" s="291">
        <v>0</v>
      </c>
      <c r="G196" s="1">
        <f t="shared" si="3"/>
        <v>0</v>
      </c>
    </row>
    <row r="197" spans="2:7" x14ac:dyDescent="0.25">
      <c r="B197" s="270" t="s">
        <v>268</v>
      </c>
      <c r="C197" s="302" t="s">
        <v>414</v>
      </c>
      <c r="D197" s="274" t="s">
        <v>415</v>
      </c>
      <c r="E197" s="274" t="s">
        <v>411</v>
      </c>
      <c r="F197" s="291">
        <v>0</v>
      </c>
      <c r="G197" s="1">
        <f t="shared" si="3"/>
        <v>63</v>
      </c>
    </row>
    <row r="198" spans="2:7" x14ac:dyDescent="0.25">
      <c r="B198" s="270" t="s">
        <v>268</v>
      </c>
      <c r="C198" s="302" t="s">
        <v>416</v>
      </c>
      <c r="D198" s="274" t="s">
        <v>411</v>
      </c>
      <c r="E198" s="274" t="s">
        <v>412</v>
      </c>
      <c r="F198" s="291">
        <v>0</v>
      </c>
      <c r="G198" s="1">
        <f t="shared" si="3"/>
        <v>63</v>
      </c>
    </row>
    <row r="199" spans="2:7" x14ac:dyDescent="0.25">
      <c r="B199" s="270" t="s">
        <v>268</v>
      </c>
      <c r="C199" s="302" t="s">
        <v>417</v>
      </c>
      <c r="D199" s="274" t="s">
        <v>415</v>
      </c>
      <c r="E199" s="274" t="s">
        <v>415</v>
      </c>
      <c r="F199" s="291">
        <v>0</v>
      </c>
      <c r="G199" s="1">
        <f t="shared" ref="G199:G262" si="4">IF(ISBLANK(E199),E199,TRUNC((E199-start)/7,0)+1)</f>
        <v>63</v>
      </c>
    </row>
    <row r="200" spans="2:7" x14ac:dyDescent="0.25">
      <c r="B200" s="270" t="s">
        <v>268</v>
      </c>
      <c r="C200" s="302" t="s">
        <v>418</v>
      </c>
      <c r="D200" s="274" t="s">
        <v>391</v>
      </c>
      <c r="E200" s="274" t="s">
        <v>389</v>
      </c>
      <c r="F200" s="291">
        <v>0</v>
      </c>
      <c r="G200" s="1">
        <f t="shared" si="4"/>
        <v>64</v>
      </c>
    </row>
    <row r="201" spans="2:7" x14ac:dyDescent="0.25">
      <c r="B201" s="270" t="s">
        <v>332</v>
      </c>
      <c r="C201" s="302" t="s">
        <v>380</v>
      </c>
      <c r="D201" s="274" t="s">
        <v>381</v>
      </c>
      <c r="E201" s="274" t="s">
        <v>393</v>
      </c>
      <c r="F201" s="291">
        <v>0</v>
      </c>
      <c r="G201" s="1">
        <f t="shared" si="4"/>
        <v>61</v>
      </c>
    </row>
    <row r="202" spans="2:7" x14ac:dyDescent="0.25">
      <c r="B202" s="270" t="s">
        <v>332</v>
      </c>
      <c r="C202" s="302" t="s">
        <v>394</v>
      </c>
      <c r="D202" s="274" t="s">
        <v>393</v>
      </c>
      <c r="E202" s="274" t="s">
        <v>395</v>
      </c>
      <c r="F202" s="291">
        <v>0</v>
      </c>
      <c r="G202" s="1">
        <f t="shared" si="4"/>
        <v>61</v>
      </c>
    </row>
    <row r="203" spans="2:7" x14ac:dyDescent="0.25">
      <c r="B203" s="270" t="s">
        <v>332</v>
      </c>
      <c r="C203" s="302" t="s">
        <v>423</v>
      </c>
      <c r="D203" s="274" t="s">
        <v>395</v>
      </c>
      <c r="E203" s="274" t="s">
        <v>384</v>
      </c>
      <c r="F203" s="291">
        <v>0</v>
      </c>
      <c r="G203" s="1">
        <f t="shared" si="4"/>
        <v>62</v>
      </c>
    </row>
    <row r="204" spans="2:7" x14ac:dyDescent="0.25">
      <c r="B204" s="270" t="s">
        <v>332</v>
      </c>
      <c r="C204" s="302" t="s">
        <v>396</v>
      </c>
      <c r="D204" s="274" t="s">
        <v>397</v>
      </c>
      <c r="E204" s="274" t="s">
        <v>398</v>
      </c>
      <c r="F204" s="291">
        <v>0</v>
      </c>
      <c r="G204" s="1">
        <f t="shared" si="4"/>
        <v>62</v>
      </c>
    </row>
    <row r="205" spans="2:7" x14ac:dyDescent="0.25">
      <c r="B205" s="270" t="s">
        <v>332</v>
      </c>
      <c r="C205" s="302" t="s">
        <v>399</v>
      </c>
      <c r="D205" s="274" t="s">
        <v>398</v>
      </c>
      <c r="E205" s="274" t="s">
        <v>400</v>
      </c>
      <c r="F205" s="291">
        <v>0</v>
      </c>
      <c r="G205" s="1">
        <f t="shared" si="4"/>
        <v>62</v>
      </c>
    </row>
    <row r="206" spans="2:7" x14ac:dyDescent="0.25">
      <c r="B206" s="270" t="s">
        <v>332</v>
      </c>
      <c r="C206" s="302" t="s">
        <v>401</v>
      </c>
      <c r="D206" s="274" t="s">
        <v>402</v>
      </c>
      <c r="E206" s="274" t="s">
        <v>403</v>
      </c>
      <c r="F206" s="291">
        <v>0</v>
      </c>
      <c r="G206" s="1">
        <f t="shared" si="4"/>
        <v>62</v>
      </c>
    </row>
    <row r="207" spans="2:7" x14ac:dyDescent="0.25">
      <c r="B207" s="270" t="s">
        <v>332</v>
      </c>
      <c r="C207" s="302" t="s">
        <v>404</v>
      </c>
      <c r="D207" s="274" t="s">
        <v>405</v>
      </c>
      <c r="E207" s="274" t="s">
        <v>405</v>
      </c>
      <c r="F207" s="291">
        <v>0</v>
      </c>
      <c r="G207" s="1">
        <f t="shared" si="4"/>
        <v>63</v>
      </c>
    </row>
    <row r="208" spans="2:7" x14ac:dyDescent="0.25">
      <c r="B208" s="270" t="s">
        <v>332</v>
      </c>
      <c r="C208" s="302" t="s">
        <v>372</v>
      </c>
      <c r="D208" s="274" t="s">
        <v>382</v>
      </c>
      <c r="E208" s="274"/>
      <c r="F208" s="291">
        <v>0</v>
      </c>
      <c r="G208" s="1">
        <f t="shared" si="4"/>
        <v>0</v>
      </c>
    </row>
    <row r="209" spans="2:7" x14ac:dyDescent="0.25">
      <c r="B209" s="270" t="s">
        <v>332</v>
      </c>
      <c r="C209" s="302" t="s">
        <v>407</v>
      </c>
      <c r="D209" s="274" t="s">
        <v>406</v>
      </c>
      <c r="E209" s="274" t="s">
        <v>381</v>
      </c>
      <c r="F209" s="291">
        <v>0</v>
      </c>
      <c r="G209" s="1">
        <f t="shared" si="4"/>
        <v>61</v>
      </c>
    </row>
    <row r="210" spans="2:7" x14ac:dyDescent="0.25">
      <c r="B210" s="270" t="s">
        <v>332</v>
      </c>
      <c r="C210" s="302" t="s">
        <v>383</v>
      </c>
      <c r="D210" s="274" t="s">
        <v>384</v>
      </c>
      <c r="E210" s="274" t="s">
        <v>408</v>
      </c>
      <c r="F210" s="291">
        <v>0</v>
      </c>
      <c r="G210" s="1">
        <f t="shared" si="4"/>
        <v>62</v>
      </c>
    </row>
    <row r="211" spans="2:7" x14ac:dyDescent="0.25">
      <c r="B211" s="270" t="s">
        <v>332</v>
      </c>
      <c r="C211" s="302" t="s">
        <v>420</v>
      </c>
      <c r="D211" s="274" t="s">
        <v>384</v>
      </c>
      <c r="E211" s="274" t="s">
        <v>384</v>
      </c>
      <c r="F211" s="291">
        <v>0</v>
      </c>
      <c r="G211" s="1">
        <f t="shared" si="4"/>
        <v>62</v>
      </c>
    </row>
    <row r="212" spans="2:7" x14ac:dyDescent="0.25">
      <c r="B212" s="270" t="s">
        <v>332</v>
      </c>
      <c r="C212" s="302" t="s">
        <v>373</v>
      </c>
      <c r="D212" s="274" t="s">
        <v>382</v>
      </c>
      <c r="E212" s="274" t="s">
        <v>408</v>
      </c>
      <c r="F212" s="291">
        <v>0</v>
      </c>
      <c r="G212" s="1">
        <f t="shared" si="4"/>
        <v>62</v>
      </c>
    </row>
    <row r="213" spans="2:7" x14ac:dyDescent="0.25">
      <c r="B213" s="270" t="s">
        <v>332</v>
      </c>
      <c r="C213" s="302" t="s">
        <v>409</v>
      </c>
      <c r="D213" s="274" t="s">
        <v>400</v>
      </c>
      <c r="E213" s="274" t="s">
        <v>402</v>
      </c>
      <c r="F213" s="291">
        <v>0</v>
      </c>
      <c r="G213" s="1">
        <f t="shared" si="4"/>
        <v>62</v>
      </c>
    </row>
    <row r="214" spans="2:7" x14ac:dyDescent="0.25">
      <c r="B214" s="270" t="s">
        <v>332</v>
      </c>
      <c r="C214" s="302" t="s">
        <v>375</v>
      </c>
      <c r="D214" s="274" t="s">
        <v>385</v>
      </c>
      <c r="E214" s="274" t="s">
        <v>390</v>
      </c>
      <c r="F214" s="291">
        <v>0</v>
      </c>
      <c r="G214" s="1">
        <f t="shared" si="4"/>
        <v>63</v>
      </c>
    </row>
    <row r="215" spans="2:7" x14ac:dyDescent="0.25">
      <c r="B215" s="270" t="s">
        <v>332</v>
      </c>
      <c r="C215" s="302" t="s">
        <v>374</v>
      </c>
      <c r="D215" s="274" t="s">
        <v>402</v>
      </c>
      <c r="E215" s="274" t="s">
        <v>403</v>
      </c>
      <c r="F215" s="291">
        <v>0</v>
      </c>
      <c r="G215" s="1">
        <f t="shared" si="4"/>
        <v>62</v>
      </c>
    </row>
    <row r="216" spans="2:7" x14ac:dyDescent="0.25">
      <c r="B216" s="270" t="s">
        <v>332</v>
      </c>
      <c r="C216" s="302" t="s">
        <v>386</v>
      </c>
      <c r="D216" s="274" t="s">
        <v>387</v>
      </c>
      <c r="E216" s="274" t="s">
        <v>390</v>
      </c>
      <c r="F216" s="291">
        <v>0</v>
      </c>
      <c r="G216" s="1">
        <f t="shared" si="4"/>
        <v>63</v>
      </c>
    </row>
    <row r="217" spans="2:7" x14ac:dyDescent="0.25">
      <c r="B217" s="270" t="s">
        <v>332</v>
      </c>
      <c r="C217" s="302" t="s">
        <v>388</v>
      </c>
      <c r="D217" s="274" t="s">
        <v>389</v>
      </c>
      <c r="E217" s="274" t="s">
        <v>421</v>
      </c>
      <c r="F217" s="291">
        <v>0</v>
      </c>
      <c r="G217" s="1">
        <f t="shared" si="4"/>
        <v>64</v>
      </c>
    </row>
    <row r="218" spans="2:7" x14ac:dyDescent="0.25">
      <c r="B218" s="270" t="s">
        <v>332</v>
      </c>
      <c r="C218" s="302" t="s">
        <v>410</v>
      </c>
      <c r="D218" s="274" t="s">
        <v>411</v>
      </c>
      <c r="E218" s="274" t="s">
        <v>412</v>
      </c>
      <c r="F218" s="291">
        <v>0</v>
      </c>
      <c r="G218" s="1">
        <f t="shared" si="4"/>
        <v>63</v>
      </c>
    </row>
    <row r="219" spans="2:7" x14ac:dyDescent="0.25">
      <c r="B219" s="270" t="s">
        <v>332</v>
      </c>
      <c r="C219" s="302" t="s">
        <v>422</v>
      </c>
      <c r="D219" s="274" t="s">
        <v>412</v>
      </c>
      <c r="E219" s="274" t="s">
        <v>391</v>
      </c>
      <c r="F219" s="291">
        <v>0</v>
      </c>
      <c r="G219" s="1">
        <f t="shared" si="4"/>
        <v>64</v>
      </c>
    </row>
    <row r="220" spans="2:7" x14ac:dyDescent="0.25">
      <c r="B220" s="270" t="s">
        <v>332</v>
      </c>
      <c r="C220" s="302" t="s">
        <v>377</v>
      </c>
      <c r="D220" s="274" t="s">
        <v>390</v>
      </c>
      <c r="E220" s="274"/>
      <c r="F220" s="291">
        <v>0</v>
      </c>
      <c r="G220" s="1">
        <f t="shared" si="4"/>
        <v>0</v>
      </c>
    </row>
    <row r="221" spans="2:7" x14ac:dyDescent="0.25">
      <c r="B221" s="270" t="s">
        <v>332</v>
      </c>
      <c r="C221" s="302" t="s">
        <v>379</v>
      </c>
      <c r="D221" s="274" t="s">
        <v>391</v>
      </c>
      <c r="E221" s="274" t="s">
        <v>413</v>
      </c>
      <c r="F221" s="291">
        <v>0</v>
      </c>
      <c r="G221" s="1">
        <f t="shared" si="4"/>
        <v>64</v>
      </c>
    </row>
    <row r="222" spans="2:7" x14ac:dyDescent="0.25">
      <c r="B222" s="270" t="s">
        <v>332</v>
      </c>
      <c r="C222" s="302" t="s">
        <v>378</v>
      </c>
      <c r="D222" s="274" t="s">
        <v>392</v>
      </c>
      <c r="E222" s="274"/>
      <c r="F222" s="291">
        <v>0</v>
      </c>
      <c r="G222" s="1">
        <f t="shared" si="4"/>
        <v>0</v>
      </c>
    </row>
    <row r="223" spans="2:7" x14ac:dyDescent="0.25">
      <c r="B223" s="270" t="s">
        <v>332</v>
      </c>
      <c r="C223" s="302" t="s">
        <v>414</v>
      </c>
      <c r="D223" s="274" t="s">
        <v>415</v>
      </c>
      <c r="E223" s="274" t="s">
        <v>411</v>
      </c>
      <c r="F223" s="291">
        <v>0</v>
      </c>
      <c r="G223" s="1">
        <f t="shared" si="4"/>
        <v>63</v>
      </c>
    </row>
    <row r="224" spans="2:7" x14ac:dyDescent="0.25">
      <c r="B224" s="270" t="s">
        <v>332</v>
      </c>
      <c r="C224" s="302" t="s">
        <v>416</v>
      </c>
      <c r="D224" s="274" t="s">
        <v>411</v>
      </c>
      <c r="E224" s="274" t="s">
        <v>412</v>
      </c>
      <c r="F224" s="291">
        <v>0</v>
      </c>
      <c r="G224" s="1">
        <f t="shared" si="4"/>
        <v>63</v>
      </c>
    </row>
    <row r="225" spans="2:7" x14ac:dyDescent="0.25">
      <c r="B225" s="270" t="s">
        <v>332</v>
      </c>
      <c r="C225" s="302" t="s">
        <v>417</v>
      </c>
      <c r="D225" s="274" t="s">
        <v>415</v>
      </c>
      <c r="E225" s="274" t="s">
        <v>411</v>
      </c>
      <c r="F225" s="291">
        <v>0</v>
      </c>
      <c r="G225" s="1">
        <f t="shared" si="4"/>
        <v>63</v>
      </c>
    </row>
    <row r="226" spans="2:7" x14ac:dyDescent="0.25">
      <c r="B226" s="270" t="s">
        <v>332</v>
      </c>
      <c r="C226" s="302" t="s">
        <v>418</v>
      </c>
      <c r="D226" s="274" t="s">
        <v>391</v>
      </c>
      <c r="E226" s="274" t="s">
        <v>389</v>
      </c>
      <c r="F226" s="291">
        <v>0</v>
      </c>
      <c r="G226" s="1">
        <f t="shared" si="4"/>
        <v>64</v>
      </c>
    </row>
    <row r="227" spans="2:7" x14ac:dyDescent="0.25">
      <c r="B227" s="270" t="s">
        <v>334</v>
      </c>
      <c r="C227" s="302" t="s">
        <v>380</v>
      </c>
      <c r="D227" s="274" t="s">
        <v>381</v>
      </c>
      <c r="E227" s="274" t="s">
        <v>381</v>
      </c>
      <c r="F227" s="291">
        <v>0</v>
      </c>
      <c r="G227" s="1">
        <f t="shared" si="4"/>
        <v>61</v>
      </c>
    </row>
    <row r="228" spans="2:7" x14ac:dyDescent="0.25">
      <c r="B228" s="270" t="s">
        <v>334</v>
      </c>
      <c r="C228" s="302" t="s">
        <v>394</v>
      </c>
      <c r="D228" s="274" t="s">
        <v>393</v>
      </c>
      <c r="E228" s="274" t="s">
        <v>395</v>
      </c>
      <c r="F228" s="291">
        <v>0</v>
      </c>
      <c r="G228" s="1">
        <f t="shared" si="4"/>
        <v>61</v>
      </c>
    </row>
    <row r="229" spans="2:7" x14ac:dyDescent="0.25">
      <c r="B229" s="270" t="s">
        <v>334</v>
      </c>
      <c r="C229" s="302" t="s">
        <v>423</v>
      </c>
      <c r="D229" s="274" t="s">
        <v>395</v>
      </c>
      <c r="E229" s="274" t="s">
        <v>395</v>
      </c>
      <c r="F229" s="291">
        <v>0</v>
      </c>
      <c r="G229" s="1">
        <f t="shared" si="4"/>
        <v>61</v>
      </c>
    </row>
    <row r="230" spans="2:7" x14ac:dyDescent="0.25">
      <c r="B230" s="270" t="s">
        <v>334</v>
      </c>
      <c r="C230" s="302" t="s">
        <v>396</v>
      </c>
      <c r="D230" s="274" t="s">
        <v>397</v>
      </c>
      <c r="E230" s="274" t="s">
        <v>398</v>
      </c>
      <c r="F230" s="291">
        <v>0</v>
      </c>
      <c r="G230" s="1">
        <f t="shared" si="4"/>
        <v>62</v>
      </c>
    </row>
    <row r="231" spans="2:7" x14ac:dyDescent="0.25">
      <c r="B231" s="270" t="s">
        <v>334</v>
      </c>
      <c r="C231" s="302" t="s">
        <v>399</v>
      </c>
      <c r="D231" s="274" t="s">
        <v>398</v>
      </c>
      <c r="E231" s="274" t="s">
        <v>398</v>
      </c>
      <c r="F231" s="291">
        <v>0</v>
      </c>
      <c r="G231" s="1">
        <f t="shared" si="4"/>
        <v>62</v>
      </c>
    </row>
    <row r="232" spans="2:7" x14ac:dyDescent="0.25">
      <c r="B232" s="270" t="s">
        <v>334</v>
      </c>
      <c r="C232" s="302" t="s">
        <v>401</v>
      </c>
      <c r="D232" s="274" t="s">
        <v>402</v>
      </c>
      <c r="E232" s="274" t="s">
        <v>402</v>
      </c>
      <c r="F232" s="291">
        <v>0</v>
      </c>
      <c r="G232" s="1">
        <f t="shared" si="4"/>
        <v>62</v>
      </c>
    </row>
    <row r="233" spans="2:7" x14ac:dyDescent="0.25">
      <c r="B233" s="270" t="s">
        <v>334</v>
      </c>
      <c r="C233" s="302" t="s">
        <v>404</v>
      </c>
      <c r="D233" s="274" t="s">
        <v>405</v>
      </c>
      <c r="E233" s="274" t="s">
        <v>405</v>
      </c>
      <c r="F233" s="291">
        <v>0</v>
      </c>
      <c r="G233" s="1">
        <f t="shared" si="4"/>
        <v>63</v>
      </c>
    </row>
    <row r="234" spans="2:7" x14ac:dyDescent="0.25">
      <c r="B234" s="270" t="s">
        <v>334</v>
      </c>
      <c r="C234" s="302" t="s">
        <v>372</v>
      </c>
      <c r="D234" s="274" t="s">
        <v>382</v>
      </c>
      <c r="E234" s="274" t="s">
        <v>406</v>
      </c>
      <c r="F234" s="291">
        <v>0</v>
      </c>
      <c r="G234" s="1">
        <f t="shared" si="4"/>
        <v>61</v>
      </c>
    </row>
    <row r="235" spans="2:7" x14ac:dyDescent="0.25">
      <c r="B235" s="270" t="s">
        <v>334</v>
      </c>
      <c r="C235" s="302" t="s">
        <v>407</v>
      </c>
      <c r="D235" s="274" t="s">
        <v>406</v>
      </c>
      <c r="E235" s="274" t="s">
        <v>381</v>
      </c>
      <c r="F235" s="291">
        <v>0</v>
      </c>
      <c r="G235" s="1">
        <f t="shared" si="4"/>
        <v>61</v>
      </c>
    </row>
    <row r="236" spans="2:7" x14ac:dyDescent="0.25">
      <c r="B236" s="270" t="s">
        <v>334</v>
      </c>
      <c r="C236" s="302" t="s">
        <v>383</v>
      </c>
      <c r="D236" s="274" t="s">
        <v>384</v>
      </c>
      <c r="E236" s="274" t="s">
        <v>397</v>
      </c>
      <c r="F236" s="291">
        <v>0</v>
      </c>
      <c r="G236" s="1">
        <f t="shared" si="4"/>
        <v>62</v>
      </c>
    </row>
    <row r="237" spans="2:7" x14ac:dyDescent="0.25">
      <c r="B237" s="270" t="s">
        <v>334</v>
      </c>
      <c r="C237" s="302" t="s">
        <v>420</v>
      </c>
      <c r="D237" s="274" t="s">
        <v>384</v>
      </c>
      <c r="E237" s="274" t="s">
        <v>384</v>
      </c>
      <c r="F237" s="291">
        <v>0</v>
      </c>
      <c r="G237" s="1">
        <f t="shared" si="4"/>
        <v>62</v>
      </c>
    </row>
    <row r="238" spans="2:7" x14ac:dyDescent="0.25">
      <c r="B238" s="270" t="s">
        <v>334</v>
      </c>
      <c r="C238" s="302" t="s">
        <v>373</v>
      </c>
      <c r="D238" s="274" t="s">
        <v>382</v>
      </c>
      <c r="E238" s="274" t="s">
        <v>397</v>
      </c>
      <c r="F238" s="291">
        <v>0</v>
      </c>
      <c r="G238" s="1">
        <f t="shared" si="4"/>
        <v>62</v>
      </c>
    </row>
    <row r="239" spans="2:7" x14ac:dyDescent="0.25">
      <c r="B239" s="270" t="s">
        <v>334</v>
      </c>
      <c r="C239" s="302" t="s">
        <v>409</v>
      </c>
      <c r="D239" s="274" t="s">
        <v>400</v>
      </c>
      <c r="E239" s="274" t="s">
        <v>400</v>
      </c>
      <c r="F239" s="291">
        <v>0</v>
      </c>
      <c r="G239" s="1">
        <f t="shared" si="4"/>
        <v>62</v>
      </c>
    </row>
    <row r="240" spans="2:7" x14ac:dyDescent="0.25">
      <c r="B240" s="270" t="s">
        <v>334</v>
      </c>
      <c r="C240" s="302" t="s">
        <v>375</v>
      </c>
      <c r="D240" s="274" t="s">
        <v>385</v>
      </c>
      <c r="E240" s="274" t="s">
        <v>390</v>
      </c>
      <c r="F240" s="291">
        <v>0</v>
      </c>
      <c r="G240" s="1">
        <f t="shared" si="4"/>
        <v>63</v>
      </c>
    </row>
    <row r="241" spans="2:7" x14ac:dyDescent="0.25">
      <c r="B241" s="270" t="s">
        <v>334</v>
      </c>
      <c r="C241" s="302" t="s">
        <v>374</v>
      </c>
      <c r="D241" s="274" t="s">
        <v>402</v>
      </c>
      <c r="E241" s="274" t="s">
        <v>403</v>
      </c>
      <c r="F241" s="291">
        <v>0</v>
      </c>
      <c r="G241" s="1">
        <f t="shared" si="4"/>
        <v>62</v>
      </c>
    </row>
    <row r="242" spans="2:7" x14ac:dyDescent="0.25">
      <c r="B242" s="270" t="s">
        <v>334</v>
      </c>
      <c r="C242" s="302" t="s">
        <v>386</v>
      </c>
      <c r="D242" s="274" t="s">
        <v>387</v>
      </c>
      <c r="E242" s="274" t="s">
        <v>387</v>
      </c>
      <c r="F242" s="291">
        <v>0</v>
      </c>
      <c r="G242" s="1">
        <f t="shared" si="4"/>
        <v>63</v>
      </c>
    </row>
    <row r="243" spans="2:7" x14ac:dyDescent="0.25">
      <c r="B243" s="270" t="s">
        <v>334</v>
      </c>
      <c r="C243" s="302" t="s">
        <v>388</v>
      </c>
      <c r="D243" s="274" t="s">
        <v>389</v>
      </c>
      <c r="E243" s="274" t="s">
        <v>421</v>
      </c>
      <c r="F243" s="291">
        <v>0</v>
      </c>
      <c r="G243" s="1">
        <f t="shared" si="4"/>
        <v>64</v>
      </c>
    </row>
    <row r="244" spans="2:7" x14ac:dyDescent="0.25">
      <c r="B244" s="270" t="s">
        <v>334</v>
      </c>
      <c r="C244" s="302" t="s">
        <v>410</v>
      </c>
      <c r="D244" s="274" t="s">
        <v>411</v>
      </c>
      <c r="E244" s="274" t="s">
        <v>412</v>
      </c>
      <c r="F244" s="291">
        <v>0</v>
      </c>
      <c r="G244" s="1">
        <f t="shared" si="4"/>
        <v>63</v>
      </c>
    </row>
    <row r="245" spans="2:7" x14ac:dyDescent="0.25">
      <c r="B245" s="270" t="s">
        <v>334</v>
      </c>
      <c r="C245" s="302" t="s">
        <v>422</v>
      </c>
      <c r="D245" s="274" t="s">
        <v>412</v>
      </c>
      <c r="E245" s="274" t="s">
        <v>391</v>
      </c>
      <c r="F245" s="291">
        <v>0</v>
      </c>
      <c r="G245" s="1">
        <f t="shared" si="4"/>
        <v>64</v>
      </c>
    </row>
    <row r="246" spans="2:7" x14ac:dyDescent="0.25">
      <c r="B246" s="270" t="s">
        <v>334</v>
      </c>
      <c r="C246" s="302" t="s">
        <v>377</v>
      </c>
      <c r="D246" s="274" t="s">
        <v>390</v>
      </c>
      <c r="E246" s="274"/>
      <c r="F246" s="291">
        <v>0</v>
      </c>
      <c r="G246" s="1">
        <f t="shared" si="4"/>
        <v>0</v>
      </c>
    </row>
    <row r="247" spans="2:7" x14ac:dyDescent="0.25">
      <c r="B247" s="270" t="s">
        <v>334</v>
      </c>
      <c r="C247" s="302" t="s">
        <v>379</v>
      </c>
      <c r="D247" s="274" t="s">
        <v>391</v>
      </c>
      <c r="E247" s="274" t="s">
        <v>413</v>
      </c>
      <c r="F247" s="291">
        <v>0</v>
      </c>
      <c r="G247" s="1">
        <f t="shared" si="4"/>
        <v>64</v>
      </c>
    </row>
    <row r="248" spans="2:7" x14ac:dyDescent="0.25">
      <c r="B248" s="270" t="s">
        <v>334</v>
      </c>
      <c r="C248" s="302" t="s">
        <v>378</v>
      </c>
      <c r="D248" s="274" t="s">
        <v>392</v>
      </c>
      <c r="E248" s="274"/>
      <c r="F248" s="291">
        <v>0</v>
      </c>
      <c r="G248" s="1">
        <f t="shared" si="4"/>
        <v>0</v>
      </c>
    </row>
    <row r="249" spans="2:7" x14ac:dyDescent="0.25">
      <c r="B249" s="270" t="s">
        <v>334</v>
      </c>
      <c r="C249" s="302" t="s">
        <v>414</v>
      </c>
      <c r="D249" s="274" t="s">
        <v>415</v>
      </c>
      <c r="E249" s="274" t="s">
        <v>411</v>
      </c>
      <c r="F249" s="291">
        <v>0</v>
      </c>
      <c r="G249" s="1">
        <f t="shared" si="4"/>
        <v>63</v>
      </c>
    </row>
    <row r="250" spans="2:7" x14ac:dyDescent="0.25">
      <c r="B250" s="270" t="s">
        <v>334</v>
      </c>
      <c r="C250" s="302" t="s">
        <v>416</v>
      </c>
      <c r="D250" s="274" t="s">
        <v>411</v>
      </c>
      <c r="E250" s="274" t="s">
        <v>412</v>
      </c>
      <c r="F250" s="291">
        <v>0</v>
      </c>
      <c r="G250" s="1">
        <f t="shared" si="4"/>
        <v>63</v>
      </c>
    </row>
    <row r="251" spans="2:7" x14ac:dyDescent="0.25">
      <c r="B251" s="270" t="s">
        <v>334</v>
      </c>
      <c r="C251" s="302" t="s">
        <v>417</v>
      </c>
      <c r="D251" s="274" t="s">
        <v>415</v>
      </c>
      <c r="E251" s="274" t="s">
        <v>411</v>
      </c>
      <c r="F251" s="291">
        <v>0</v>
      </c>
      <c r="G251" s="1">
        <f t="shared" si="4"/>
        <v>63</v>
      </c>
    </row>
    <row r="252" spans="2:7" x14ac:dyDescent="0.25">
      <c r="B252" s="270" t="s">
        <v>334</v>
      </c>
      <c r="C252" s="302" t="s">
        <v>418</v>
      </c>
      <c r="D252" s="274" t="s">
        <v>391</v>
      </c>
      <c r="E252" s="274" t="s">
        <v>389</v>
      </c>
      <c r="F252" s="291">
        <v>0</v>
      </c>
      <c r="G252" s="1">
        <f t="shared" si="4"/>
        <v>64</v>
      </c>
    </row>
    <row r="253" spans="2:7" x14ac:dyDescent="0.25">
      <c r="B253" s="270" t="s">
        <v>344</v>
      </c>
      <c r="C253" s="302" t="s">
        <v>380</v>
      </c>
      <c r="D253" s="274" t="s">
        <v>381</v>
      </c>
      <c r="E253" s="274"/>
      <c r="F253" s="291">
        <v>0</v>
      </c>
      <c r="G253" s="1">
        <f t="shared" si="4"/>
        <v>0</v>
      </c>
    </row>
    <row r="254" spans="2:7" x14ac:dyDescent="0.25">
      <c r="B254" s="270" t="s">
        <v>344</v>
      </c>
      <c r="C254" s="302" t="s">
        <v>394</v>
      </c>
      <c r="D254" s="274" t="s">
        <v>393</v>
      </c>
      <c r="E254" s="274" t="s">
        <v>395</v>
      </c>
      <c r="F254" s="291">
        <v>0</v>
      </c>
      <c r="G254" s="1">
        <f t="shared" si="4"/>
        <v>61</v>
      </c>
    </row>
    <row r="255" spans="2:7" x14ac:dyDescent="0.25">
      <c r="B255" s="270" t="s">
        <v>344</v>
      </c>
      <c r="C255" s="302" t="s">
        <v>423</v>
      </c>
      <c r="D255" s="274" t="s">
        <v>395</v>
      </c>
      <c r="E255" s="274" t="s">
        <v>384</v>
      </c>
      <c r="F255" s="291">
        <v>0</v>
      </c>
      <c r="G255" s="1">
        <f t="shared" si="4"/>
        <v>62</v>
      </c>
    </row>
    <row r="256" spans="2:7" x14ac:dyDescent="0.25">
      <c r="B256" s="270" t="s">
        <v>344</v>
      </c>
      <c r="C256" s="302" t="s">
        <v>396</v>
      </c>
      <c r="D256" s="274" t="s">
        <v>397</v>
      </c>
      <c r="E256" s="274" t="s">
        <v>398</v>
      </c>
      <c r="F256" s="291">
        <v>0</v>
      </c>
      <c r="G256" s="1">
        <f t="shared" si="4"/>
        <v>62</v>
      </c>
    </row>
    <row r="257" spans="2:7" x14ac:dyDescent="0.25">
      <c r="B257" s="270" t="s">
        <v>344</v>
      </c>
      <c r="C257" s="302" t="s">
        <v>399</v>
      </c>
      <c r="D257" s="274" t="s">
        <v>398</v>
      </c>
      <c r="E257" s="274" t="s">
        <v>400</v>
      </c>
      <c r="F257" s="291">
        <v>0</v>
      </c>
      <c r="G257" s="1">
        <f t="shared" si="4"/>
        <v>62</v>
      </c>
    </row>
    <row r="258" spans="2:7" x14ac:dyDescent="0.25">
      <c r="B258" s="270" t="s">
        <v>344</v>
      </c>
      <c r="C258" s="302" t="s">
        <v>401</v>
      </c>
      <c r="D258" s="274" t="s">
        <v>402</v>
      </c>
      <c r="E258" s="274" t="s">
        <v>403</v>
      </c>
      <c r="F258" s="291">
        <v>0</v>
      </c>
      <c r="G258" s="1">
        <f t="shared" si="4"/>
        <v>62</v>
      </c>
    </row>
    <row r="259" spans="2:7" x14ac:dyDescent="0.25">
      <c r="B259" s="270" t="s">
        <v>344</v>
      </c>
      <c r="C259" s="302" t="s">
        <v>404</v>
      </c>
      <c r="D259" s="274" t="s">
        <v>405</v>
      </c>
      <c r="E259" s="274" t="s">
        <v>405</v>
      </c>
      <c r="F259" s="291">
        <v>0</v>
      </c>
      <c r="G259" s="1">
        <f t="shared" si="4"/>
        <v>63</v>
      </c>
    </row>
    <row r="260" spans="2:7" x14ac:dyDescent="0.25">
      <c r="B260" s="270" t="s">
        <v>344</v>
      </c>
      <c r="C260" s="302" t="s">
        <v>372</v>
      </c>
      <c r="D260" s="274" t="s">
        <v>382</v>
      </c>
      <c r="E260" s="274" t="s">
        <v>406</v>
      </c>
      <c r="F260" s="291">
        <v>0</v>
      </c>
      <c r="G260" s="1">
        <f t="shared" si="4"/>
        <v>61</v>
      </c>
    </row>
    <row r="261" spans="2:7" x14ac:dyDescent="0.25">
      <c r="B261" s="270" t="s">
        <v>344</v>
      </c>
      <c r="C261" s="302" t="s">
        <v>407</v>
      </c>
      <c r="D261" s="274" t="s">
        <v>406</v>
      </c>
      <c r="E261" s="274" t="s">
        <v>381</v>
      </c>
      <c r="F261" s="291">
        <v>0</v>
      </c>
      <c r="G261" s="1">
        <f t="shared" si="4"/>
        <v>61</v>
      </c>
    </row>
    <row r="262" spans="2:7" x14ac:dyDescent="0.25">
      <c r="B262" s="270" t="s">
        <v>344</v>
      </c>
      <c r="C262" s="302" t="s">
        <v>383</v>
      </c>
      <c r="D262" s="274" t="s">
        <v>384</v>
      </c>
      <c r="E262" s="274" t="s">
        <v>397</v>
      </c>
      <c r="F262" s="291">
        <v>0</v>
      </c>
      <c r="G262" s="1">
        <f t="shared" si="4"/>
        <v>62</v>
      </c>
    </row>
    <row r="263" spans="2:7" x14ac:dyDescent="0.25">
      <c r="B263" s="270" t="s">
        <v>344</v>
      </c>
      <c r="C263" s="302" t="s">
        <v>420</v>
      </c>
      <c r="D263" s="274" t="s">
        <v>384</v>
      </c>
      <c r="E263" s="274" t="s">
        <v>384</v>
      </c>
      <c r="F263" s="291">
        <v>0</v>
      </c>
      <c r="G263" s="1">
        <f t="shared" ref="G263:G326" si="5">IF(ISBLANK(E263),E263,TRUNC((E263-start)/7,0)+1)</f>
        <v>62</v>
      </c>
    </row>
    <row r="264" spans="2:7" x14ac:dyDescent="0.25">
      <c r="B264" s="270" t="s">
        <v>344</v>
      </c>
      <c r="C264" s="302" t="s">
        <v>373</v>
      </c>
      <c r="D264" s="274" t="s">
        <v>382</v>
      </c>
      <c r="E264" s="274" t="s">
        <v>397</v>
      </c>
      <c r="F264" s="291">
        <v>0</v>
      </c>
      <c r="G264" s="1">
        <f t="shared" si="5"/>
        <v>62</v>
      </c>
    </row>
    <row r="265" spans="2:7" x14ac:dyDescent="0.25">
      <c r="B265" s="270" t="s">
        <v>344</v>
      </c>
      <c r="C265" s="302" t="s">
        <v>409</v>
      </c>
      <c r="D265" s="274" t="s">
        <v>400</v>
      </c>
      <c r="E265" s="274" t="s">
        <v>402</v>
      </c>
      <c r="F265" s="291">
        <v>0</v>
      </c>
      <c r="G265" s="1">
        <f t="shared" si="5"/>
        <v>62</v>
      </c>
    </row>
    <row r="266" spans="2:7" x14ac:dyDescent="0.25">
      <c r="B266" s="270" t="s">
        <v>344</v>
      </c>
      <c r="C266" s="302" t="s">
        <v>375</v>
      </c>
      <c r="D266" s="274" t="s">
        <v>385</v>
      </c>
      <c r="E266" s="274" t="s">
        <v>390</v>
      </c>
      <c r="F266" s="291">
        <v>0</v>
      </c>
      <c r="G266" s="1">
        <f t="shared" si="5"/>
        <v>63</v>
      </c>
    </row>
    <row r="267" spans="2:7" x14ac:dyDescent="0.25">
      <c r="B267" s="270" t="s">
        <v>344</v>
      </c>
      <c r="C267" s="302" t="s">
        <v>386</v>
      </c>
      <c r="D267" s="274" t="s">
        <v>387</v>
      </c>
      <c r="E267" s="274"/>
      <c r="F267" s="291">
        <v>0</v>
      </c>
      <c r="G267" s="1">
        <f t="shared" si="5"/>
        <v>0</v>
      </c>
    </row>
    <row r="268" spans="2:7" x14ac:dyDescent="0.25">
      <c r="B268" s="270" t="s">
        <v>344</v>
      </c>
      <c r="C268" s="302" t="s">
        <v>388</v>
      </c>
      <c r="D268" s="274" t="s">
        <v>389</v>
      </c>
      <c r="E268" s="274" t="s">
        <v>421</v>
      </c>
      <c r="F268" s="291">
        <v>0</v>
      </c>
      <c r="G268" s="1">
        <f t="shared" si="5"/>
        <v>64</v>
      </c>
    </row>
    <row r="269" spans="2:7" x14ac:dyDescent="0.25">
      <c r="B269" s="270" t="s">
        <v>344</v>
      </c>
      <c r="C269" s="302" t="s">
        <v>410</v>
      </c>
      <c r="D269" s="274" t="s">
        <v>411</v>
      </c>
      <c r="E269" s="274" t="s">
        <v>412</v>
      </c>
      <c r="F269" s="291">
        <v>0</v>
      </c>
      <c r="G269" s="1">
        <f t="shared" si="5"/>
        <v>63</v>
      </c>
    </row>
    <row r="270" spans="2:7" x14ac:dyDescent="0.25">
      <c r="B270" s="270" t="s">
        <v>344</v>
      </c>
      <c r="C270" s="302" t="s">
        <v>422</v>
      </c>
      <c r="D270" s="274" t="s">
        <v>412</v>
      </c>
      <c r="E270" s="274" t="s">
        <v>391</v>
      </c>
      <c r="F270" s="291">
        <v>0</v>
      </c>
      <c r="G270" s="1">
        <f t="shared" si="5"/>
        <v>64</v>
      </c>
    </row>
    <row r="271" spans="2:7" x14ac:dyDescent="0.25">
      <c r="B271" s="270" t="s">
        <v>344</v>
      </c>
      <c r="C271" s="302" t="s">
        <v>377</v>
      </c>
      <c r="D271" s="274" t="s">
        <v>390</v>
      </c>
      <c r="E271" s="274" t="s">
        <v>424</v>
      </c>
      <c r="F271" s="291">
        <v>0</v>
      </c>
      <c r="G271" s="1">
        <f t="shared" si="5"/>
        <v>64</v>
      </c>
    </row>
    <row r="272" spans="2:7" x14ac:dyDescent="0.25">
      <c r="B272" s="270" t="s">
        <v>344</v>
      </c>
      <c r="C272" s="302" t="s">
        <v>379</v>
      </c>
      <c r="D272" s="274" t="s">
        <v>391</v>
      </c>
      <c r="E272" s="274" t="s">
        <v>413</v>
      </c>
      <c r="F272" s="291">
        <v>0</v>
      </c>
      <c r="G272" s="1">
        <f t="shared" si="5"/>
        <v>64</v>
      </c>
    </row>
    <row r="273" spans="2:7" x14ac:dyDescent="0.25">
      <c r="B273" s="270" t="s">
        <v>344</v>
      </c>
      <c r="C273" s="302" t="s">
        <v>378</v>
      </c>
      <c r="D273" s="274" t="s">
        <v>392</v>
      </c>
      <c r="E273" s="274"/>
      <c r="F273" s="291">
        <v>0</v>
      </c>
      <c r="G273" s="1">
        <f t="shared" si="5"/>
        <v>0</v>
      </c>
    </row>
    <row r="274" spans="2:7" x14ac:dyDescent="0.25">
      <c r="B274" s="270" t="s">
        <v>344</v>
      </c>
      <c r="C274" s="302" t="s">
        <v>414</v>
      </c>
      <c r="D274" s="274" t="s">
        <v>415</v>
      </c>
      <c r="E274" s="274" t="s">
        <v>411</v>
      </c>
      <c r="F274" s="291">
        <v>0</v>
      </c>
      <c r="G274" s="1">
        <f t="shared" si="5"/>
        <v>63</v>
      </c>
    </row>
    <row r="275" spans="2:7" x14ac:dyDescent="0.25">
      <c r="B275" s="270" t="s">
        <v>344</v>
      </c>
      <c r="C275" s="302" t="s">
        <v>417</v>
      </c>
      <c r="D275" s="274" t="s">
        <v>415</v>
      </c>
      <c r="E275" s="274" t="s">
        <v>411</v>
      </c>
      <c r="F275" s="291">
        <v>0</v>
      </c>
      <c r="G275" s="1">
        <f t="shared" si="5"/>
        <v>63</v>
      </c>
    </row>
    <row r="276" spans="2:7" x14ac:dyDescent="0.25">
      <c r="B276" s="270" t="s">
        <v>344</v>
      </c>
      <c r="C276" s="302" t="s">
        <v>418</v>
      </c>
      <c r="D276" s="274" t="s">
        <v>391</v>
      </c>
      <c r="E276" s="274" t="s">
        <v>389</v>
      </c>
      <c r="F276" s="291">
        <v>0</v>
      </c>
      <c r="G276" s="1">
        <f t="shared" si="5"/>
        <v>64</v>
      </c>
    </row>
    <row r="277" spans="2:7" x14ac:dyDescent="0.25">
      <c r="B277" s="270" t="s">
        <v>325</v>
      </c>
      <c r="C277" s="302" t="s">
        <v>380</v>
      </c>
      <c r="D277" s="274" t="s">
        <v>381</v>
      </c>
      <c r="E277" s="274" t="s">
        <v>393</v>
      </c>
      <c r="F277" s="291">
        <v>0</v>
      </c>
      <c r="G277" s="1">
        <f t="shared" si="5"/>
        <v>61</v>
      </c>
    </row>
    <row r="278" spans="2:7" x14ac:dyDescent="0.25">
      <c r="B278" s="270" t="s">
        <v>325</v>
      </c>
      <c r="C278" s="302" t="s">
        <v>394</v>
      </c>
      <c r="D278" s="274" t="s">
        <v>393</v>
      </c>
      <c r="E278" s="274" t="s">
        <v>395</v>
      </c>
      <c r="F278" s="291">
        <v>0</v>
      </c>
      <c r="G278" s="1">
        <f t="shared" si="5"/>
        <v>61</v>
      </c>
    </row>
    <row r="279" spans="2:7" x14ac:dyDescent="0.25">
      <c r="B279" s="270" t="s">
        <v>325</v>
      </c>
      <c r="C279" s="302" t="s">
        <v>423</v>
      </c>
      <c r="D279" s="274" t="s">
        <v>395</v>
      </c>
      <c r="E279" s="274" t="s">
        <v>395</v>
      </c>
      <c r="F279" s="291">
        <v>0</v>
      </c>
      <c r="G279" s="1">
        <f t="shared" si="5"/>
        <v>61</v>
      </c>
    </row>
    <row r="280" spans="2:7" x14ac:dyDescent="0.25">
      <c r="B280" s="270" t="s">
        <v>325</v>
      </c>
      <c r="C280" s="302" t="s">
        <v>396</v>
      </c>
      <c r="D280" s="274" t="s">
        <v>397</v>
      </c>
      <c r="E280" s="274" t="s">
        <v>398</v>
      </c>
      <c r="F280" s="291">
        <v>0</v>
      </c>
      <c r="G280" s="1">
        <f t="shared" si="5"/>
        <v>62</v>
      </c>
    </row>
    <row r="281" spans="2:7" x14ac:dyDescent="0.25">
      <c r="B281" s="270" t="s">
        <v>325</v>
      </c>
      <c r="C281" s="302" t="s">
        <v>399</v>
      </c>
      <c r="D281" s="274" t="s">
        <v>398</v>
      </c>
      <c r="E281" s="274" t="s">
        <v>400</v>
      </c>
      <c r="F281" s="291">
        <v>0</v>
      </c>
      <c r="G281" s="1">
        <f t="shared" si="5"/>
        <v>62</v>
      </c>
    </row>
    <row r="282" spans="2:7" x14ac:dyDescent="0.25">
      <c r="B282" s="270" t="s">
        <v>325</v>
      </c>
      <c r="C282" s="302" t="s">
        <v>401</v>
      </c>
      <c r="D282" s="274" t="s">
        <v>402</v>
      </c>
      <c r="E282" s="274" t="s">
        <v>403</v>
      </c>
      <c r="F282" s="291">
        <v>0</v>
      </c>
      <c r="G282" s="1">
        <f t="shared" si="5"/>
        <v>62</v>
      </c>
    </row>
    <row r="283" spans="2:7" x14ac:dyDescent="0.25">
      <c r="B283" s="270" t="s">
        <v>325</v>
      </c>
      <c r="C283" s="302" t="s">
        <v>419</v>
      </c>
      <c r="D283" s="274" t="s">
        <v>390</v>
      </c>
      <c r="E283" s="274" t="s">
        <v>415</v>
      </c>
      <c r="F283" s="291">
        <v>0</v>
      </c>
      <c r="G283" s="1">
        <f t="shared" si="5"/>
        <v>63</v>
      </c>
    </row>
    <row r="284" spans="2:7" x14ac:dyDescent="0.25">
      <c r="B284" s="270" t="s">
        <v>325</v>
      </c>
      <c r="C284" s="302" t="s">
        <v>404</v>
      </c>
      <c r="D284" s="274" t="s">
        <v>405</v>
      </c>
      <c r="E284" s="274" t="s">
        <v>415</v>
      </c>
      <c r="F284" s="291">
        <v>0</v>
      </c>
      <c r="G284" s="1">
        <f t="shared" si="5"/>
        <v>63</v>
      </c>
    </row>
    <row r="285" spans="2:7" x14ac:dyDescent="0.25">
      <c r="B285" s="270" t="s">
        <v>325</v>
      </c>
      <c r="C285" s="302" t="s">
        <v>372</v>
      </c>
      <c r="D285" s="274" t="s">
        <v>382</v>
      </c>
      <c r="E285" s="274" t="s">
        <v>406</v>
      </c>
      <c r="F285" s="291">
        <v>0</v>
      </c>
      <c r="G285" s="1">
        <f t="shared" si="5"/>
        <v>61</v>
      </c>
    </row>
    <row r="286" spans="2:7" x14ac:dyDescent="0.25">
      <c r="B286" s="270" t="s">
        <v>325</v>
      </c>
      <c r="C286" s="302" t="s">
        <v>407</v>
      </c>
      <c r="D286" s="274" t="s">
        <v>406</v>
      </c>
      <c r="E286" s="274" t="s">
        <v>381</v>
      </c>
      <c r="F286" s="291">
        <v>0</v>
      </c>
      <c r="G286" s="1">
        <f t="shared" si="5"/>
        <v>61</v>
      </c>
    </row>
    <row r="287" spans="2:7" x14ac:dyDescent="0.25">
      <c r="B287" s="270" t="s">
        <v>325</v>
      </c>
      <c r="C287" s="302" t="s">
        <v>383</v>
      </c>
      <c r="D287" s="274" t="s">
        <v>384</v>
      </c>
      <c r="E287" s="274" t="s">
        <v>408</v>
      </c>
      <c r="F287" s="291">
        <v>0</v>
      </c>
      <c r="G287" s="1">
        <f t="shared" si="5"/>
        <v>62</v>
      </c>
    </row>
    <row r="288" spans="2:7" x14ac:dyDescent="0.25">
      <c r="B288" s="270" t="s">
        <v>325</v>
      </c>
      <c r="C288" s="302" t="s">
        <v>420</v>
      </c>
      <c r="D288" s="274" t="s">
        <v>384</v>
      </c>
      <c r="E288" s="274" t="s">
        <v>384</v>
      </c>
      <c r="F288" s="291">
        <v>0</v>
      </c>
      <c r="G288" s="1">
        <f t="shared" si="5"/>
        <v>62</v>
      </c>
    </row>
    <row r="289" spans="2:7" x14ac:dyDescent="0.25">
      <c r="B289" s="270" t="s">
        <v>325</v>
      </c>
      <c r="C289" s="302" t="s">
        <v>373</v>
      </c>
      <c r="D289" s="274" t="s">
        <v>382</v>
      </c>
      <c r="E289" s="274" t="s">
        <v>408</v>
      </c>
      <c r="F289" s="291">
        <v>0</v>
      </c>
      <c r="G289" s="1">
        <f t="shared" si="5"/>
        <v>62</v>
      </c>
    </row>
    <row r="290" spans="2:7" x14ac:dyDescent="0.25">
      <c r="B290" s="270" t="s">
        <v>325</v>
      </c>
      <c r="C290" s="302" t="s">
        <v>409</v>
      </c>
      <c r="D290" s="274" t="s">
        <v>400</v>
      </c>
      <c r="E290" s="274" t="s">
        <v>402</v>
      </c>
      <c r="F290" s="291">
        <v>0</v>
      </c>
      <c r="G290" s="1">
        <f t="shared" si="5"/>
        <v>62</v>
      </c>
    </row>
    <row r="291" spans="2:7" x14ac:dyDescent="0.25">
      <c r="B291" s="270" t="s">
        <v>325</v>
      </c>
      <c r="C291" s="302" t="s">
        <v>375</v>
      </c>
      <c r="D291" s="274" t="s">
        <v>385</v>
      </c>
      <c r="E291" s="274" t="s">
        <v>390</v>
      </c>
      <c r="F291" s="291">
        <v>0</v>
      </c>
      <c r="G291" s="1">
        <f t="shared" si="5"/>
        <v>63</v>
      </c>
    </row>
    <row r="292" spans="2:7" x14ac:dyDescent="0.25">
      <c r="B292" s="270" t="s">
        <v>325</v>
      </c>
      <c r="C292" s="302" t="s">
        <v>374</v>
      </c>
      <c r="D292" s="274" t="s">
        <v>402</v>
      </c>
      <c r="E292" s="274" t="s">
        <v>403</v>
      </c>
      <c r="F292" s="291">
        <v>0</v>
      </c>
      <c r="G292" s="1">
        <f t="shared" si="5"/>
        <v>62</v>
      </c>
    </row>
    <row r="293" spans="2:7" x14ac:dyDescent="0.25">
      <c r="B293" s="270" t="s">
        <v>325</v>
      </c>
      <c r="C293" s="302" t="s">
        <v>386</v>
      </c>
      <c r="D293" s="274" t="s">
        <v>387</v>
      </c>
      <c r="E293" s="274" t="s">
        <v>390</v>
      </c>
      <c r="F293" s="291">
        <v>0</v>
      </c>
      <c r="G293" s="1">
        <f t="shared" si="5"/>
        <v>63</v>
      </c>
    </row>
    <row r="294" spans="2:7" x14ac:dyDescent="0.25">
      <c r="B294" s="270" t="s">
        <v>325</v>
      </c>
      <c r="C294" s="302" t="s">
        <v>388</v>
      </c>
      <c r="D294" s="274" t="s">
        <v>389</v>
      </c>
      <c r="E294" s="274" t="s">
        <v>421</v>
      </c>
      <c r="F294" s="291">
        <v>0</v>
      </c>
      <c r="G294" s="1">
        <f t="shared" si="5"/>
        <v>64</v>
      </c>
    </row>
    <row r="295" spans="2:7" x14ac:dyDescent="0.25">
      <c r="B295" s="270" t="s">
        <v>325</v>
      </c>
      <c r="C295" s="302" t="s">
        <v>410</v>
      </c>
      <c r="D295" s="274" t="s">
        <v>411</v>
      </c>
      <c r="E295" s="274" t="s">
        <v>412</v>
      </c>
      <c r="F295" s="291">
        <v>0</v>
      </c>
      <c r="G295" s="1">
        <f t="shared" si="5"/>
        <v>63</v>
      </c>
    </row>
    <row r="296" spans="2:7" x14ac:dyDescent="0.25">
      <c r="B296" s="270" t="s">
        <v>325</v>
      </c>
      <c r="C296" s="302" t="s">
        <v>422</v>
      </c>
      <c r="D296" s="274" t="s">
        <v>412</v>
      </c>
      <c r="E296" s="274" t="s">
        <v>391</v>
      </c>
      <c r="F296" s="291">
        <v>0</v>
      </c>
      <c r="G296" s="1">
        <f t="shared" si="5"/>
        <v>64</v>
      </c>
    </row>
    <row r="297" spans="2:7" x14ac:dyDescent="0.25">
      <c r="B297" s="270" t="s">
        <v>325</v>
      </c>
      <c r="C297" s="302" t="s">
        <v>377</v>
      </c>
      <c r="D297" s="274" t="s">
        <v>390</v>
      </c>
      <c r="E297" s="274" t="s">
        <v>424</v>
      </c>
      <c r="F297" s="291">
        <v>0</v>
      </c>
      <c r="G297" s="1">
        <f t="shared" si="5"/>
        <v>64</v>
      </c>
    </row>
    <row r="298" spans="2:7" x14ac:dyDescent="0.25">
      <c r="B298" s="270" t="s">
        <v>325</v>
      </c>
      <c r="C298" s="302" t="s">
        <v>379</v>
      </c>
      <c r="D298" s="274" t="s">
        <v>391</v>
      </c>
      <c r="E298" s="274" t="s">
        <v>413</v>
      </c>
      <c r="F298" s="291">
        <v>0</v>
      </c>
      <c r="G298" s="1">
        <f t="shared" si="5"/>
        <v>64</v>
      </c>
    </row>
    <row r="299" spans="2:7" x14ac:dyDescent="0.25">
      <c r="B299" s="270" t="s">
        <v>325</v>
      </c>
      <c r="C299" s="302" t="s">
        <v>378</v>
      </c>
      <c r="D299" s="274" t="s">
        <v>392</v>
      </c>
      <c r="E299" s="274"/>
      <c r="F299" s="291">
        <v>0</v>
      </c>
      <c r="G299" s="1">
        <f t="shared" si="5"/>
        <v>0</v>
      </c>
    </row>
    <row r="300" spans="2:7" x14ac:dyDescent="0.25">
      <c r="B300" s="270" t="s">
        <v>325</v>
      </c>
      <c r="C300" s="302" t="s">
        <v>414</v>
      </c>
      <c r="D300" s="274" t="s">
        <v>415</v>
      </c>
      <c r="E300" s="274" t="s">
        <v>411</v>
      </c>
      <c r="F300" s="291">
        <v>0</v>
      </c>
      <c r="G300" s="1">
        <f t="shared" si="5"/>
        <v>63</v>
      </c>
    </row>
    <row r="301" spans="2:7" x14ac:dyDescent="0.25">
      <c r="B301" s="270" t="s">
        <v>325</v>
      </c>
      <c r="C301" s="302" t="s">
        <v>416</v>
      </c>
      <c r="D301" s="274" t="s">
        <v>411</v>
      </c>
      <c r="E301" s="274" t="s">
        <v>412</v>
      </c>
      <c r="F301" s="291">
        <v>0</v>
      </c>
      <c r="G301" s="1">
        <f t="shared" si="5"/>
        <v>63</v>
      </c>
    </row>
    <row r="302" spans="2:7" x14ac:dyDescent="0.25">
      <c r="B302" s="270" t="s">
        <v>325</v>
      </c>
      <c r="C302" s="302" t="s">
        <v>417</v>
      </c>
      <c r="D302" s="274" t="s">
        <v>415</v>
      </c>
      <c r="E302" s="274" t="s">
        <v>411</v>
      </c>
      <c r="F302" s="291">
        <v>0</v>
      </c>
      <c r="G302" s="1">
        <f t="shared" si="5"/>
        <v>63</v>
      </c>
    </row>
    <row r="303" spans="2:7" x14ac:dyDescent="0.25">
      <c r="B303" s="270" t="s">
        <v>325</v>
      </c>
      <c r="C303" s="302" t="s">
        <v>418</v>
      </c>
      <c r="D303" s="274" t="s">
        <v>391</v>
      </c>
      <c r="E303" s="274" t="s">
        <v>389</v>
      </c>
      <c r="F303" s="291">
        <v>0</v>
      </c>
      <c r="G303" s="1">
        <f t="shared" si="5"/>
        <v>64</v>
      </c>
    </row>
    <row r="304" spans="2:7" x14ac:dyDescent="0.25">
      <c r="B304" s="270" t="s">
        <v>351</v>
      </c>
      <c r="C304" s="302" t="s">
        <v>380</v>
      </c>
      <c r="D304" s="274" t="s">
        <v>381</v>
      </c>
      <c r="E304" s="274" t="s">
        <v>393</v>
      </c>
      <c r="F304" s="291">
        <v>0</v>
      </c>
      <c r="G304" s="1">
        <f t="shared" si="5"/>
        <v>61</v>
      </c>
    </row>
    <row r="305" spans="2:7" x14ac:dyDescent="0.25">
      <c r="B305" s="270" t="s">
        <v>351</v>
      </c>
      <c r="C305" s="302" t="s">
        <v>394</v>
      </c>
      <c r="D305" s="274" t="s">
        <v>393</v>
      </c>
      <c r="E305" s="274" t="s">
        <v>395</v>
      </c>
      <c r="F305" s="291">
        <v>0</v>
      </c>
      <c r="G305" s="1">
        <f t="shared" si="5"/>
        <v>61</v>
      </c>
    </row>
    <row r="306" spans="2:7" x14ac:dyDescent="0.25">
      <c r="B306" s="270" t="s">
        <v>351</v>
      </c>
      <c r="C306" s="302" t="s">
        <v>423</v>
      </c>
      <c r="D306" s="274" t="s">
        <v>395</v>
      </c>
      <c r="E306" s="274" t="s">
        <v>384</v>
      </c>
      <c r="F306" s="291">
        <v>0</v>
      </c>
      <c r="G306" s="1">
        <f t="shared" si="5"/>
        <v>62</v>
      </c>
    </row>
    <row r="307" spans="2:7" x14ac:dyDescent="0.25">
      <c r="B307" s="270" t="s">
        <v>351</v>
      </c>
      <c r="C307" s="302" t="s">
        <v>396</v>
      </c>
      <c r="D307" s="274" t="s">
        <v>397</v>
      </c>
      <c r="E307" s="274" t="s">
        <v>398</v>
      </c>
      <c r="F307" s="291">
        <v>0</v>
      </c>
      <c r="G307" s="1">
        <f t="shared" si="5"/>
        <v>62</v>
      </c>
    </row>
    <row r="308" spans="2:7" x14ac:dyDescent="0.25">
      <c r="B308" s="270" t="s">
        <v>351</v>
      </c>
      <c r="C308" s="302" t="s">
        <v>399</v>
      </c>
      <c r="D308" s="274" t="s">
        <v>398</v>
      </c>
      <c r="E308" s="274" t="s">
        <v>400</v>
      </c>
      <c r="F308" s="291">
        <v>0</v>
      </c>
      <c r="G308" s="1">
        <f t="shared" si="5"/>
        <v>62</v>
      </c>
    </row>
    <row r="309" spans="2:7" x14ac:dyDescent="0.25">
      <c r="B309" s="270" t="s">
        <v>351</v>
      </c>
      <c r="C309" s="302" t="s">
        <v>401</v>
      </c>
      <c r="D309" s="274" t="s">
        <v>402</v>
      </c>
      <c r="E309" s="274" t="s">
        <v>403</v>
      </c>
      <c r="F309" s="291">
        <v>0</v>
      </c>
      <c r="G309" s="1">
        <f t="shared" si="5"/>
        <v>62</v>
      </c>
    </row>
    <row r="310" spans="2:7" x14ac:dyDescent="0.25">
      <c r="B310" s="270" t="s">
        <v>351</v>
      </c>
      <c r="C310" s="302" t="s">
        <v>419</v>
      </c>
      <c r="D310" s="274" t="s">
        <v>390</v>
      </c>
      <c r="E310" s="274" t="s">
        <v>405</v>
      </c>
      <c r="F310" s="291">
        <v>0</v>
      </c>
      <c r="G310" s="1">
        <f t="shared" si="5"/>
        <v>63</v>
      </c>
    </row>
    <row r="311" spans="2:7" x14ac:dyDescent="0.25">
      <c r="B311" s="270" t="s">
        <v>351</v>
      </c>
      <c r="C311" s="302" t="s">
        <v>404</v>
      </c>
      <c r="D311" s="274" t="s">
        <v>405</v>
      </c>
      <c r="E311" s="274" t="s">
        <v>405</v>
      </c>
      <c r="F311" s="291">
        <v>0</v>
      </c>
      <c r="G311" s="1">
        <f t="shared" si="5"/>
        <v>63</v>
      </c>
    </row>
    <row r="312" spans="2:7" x14ac:dyDescent="0.25">
      <c r="B312" s="270" t="s">
        <v>351</v>
      </c>
      <c r="C312" s="302" t="s">
        <v>372</v>
      </c>
      <c r="D312" s="274" t="s">
        <v>382</v>
      </c>
      <c r="E312" s="274" t="s">
        <v>406</v>
      </c>
      <c r="F312" s="291">
        <v>0</v>
      </c>
      <c r="G312" s="1">
        <f t="shared" si="5"/>
        <v>61</v>
      </c>
    </row>
    <row r="313" spans="2:7" x14ac:dyDescent="0.25">
      <c r="B313" s="270" t="s">
        <v>351</v>
      </c>
      <c r="C313" s="302" t="s">
        <v>407</v>
      </c>
      <c r="D313" s="274" t="s">
        <v>406</v>
      </c>
      <c r="E313" s="274" t="s">
        <v>381</v>
      </c>
      <c r="F313" s="291">
        <v>0</v>
      </c>
      <c r="G313" s="1">
        <f t="shared" si="5"/>
        <v>61</v>
      </c>
    </row>
    <row r="314" spans="2:7" x14ac:dyDescent="0.25">
      <c r="B314" s="270" t="s">
        <v>351</v>
      </c>
      <c r="C314" s="302" t="s">
        <v>383</v>
      </c>
      <c r="D314" s="274" t="s">
        <v>384</v>
      </c>
      <c r="E314" s="274" t="s">
        <v>397</v>
      </c>
      <c r="F314" s="291">
        <v>0</v>
      </c>
      <c r="G314" s="1">
        <f t="shared" si="5"/>
        <v>62</v>
      </c>
    </row>
    <row r="315" spans="2:7" x14ac:dyDescent="0.25">
      <c r="B315" s="270" t="s">
        <v>351</v>
      </c>
      <c r="C315" s="302" t="s">
        <v>420</v>
      </c>
      <c r="D315" s="274" t="s">
        <v>384</v>
      </c>
      <c r="E315" s="274" t="s">
        <v>384</v>
      </c>
      <c r="F315" s="291">
        <v>0</v>
      </c>
      <c r="G315" s="1">
        <f t="shared" si="5"/>
        <v>62</v>
      </c>
    </row>
    <row r="316" spans="2:7" x14ac:dyDescent="0.25">
      <c r="B316" s="270" t="s">
        <v>351</v>
      </c>
      <c r="C316" s="302" t="s">
        <v>373</v>
      </c>
      <c r="D316" s="274" t="s">
        <v>382</v>
      </c>
      <c r="E316" s="274" t="s">
        <v>408</v>
      </c>
      <c r="F316" s="291">
        <v>0</v>
      </c>
      <c r="G316" s="1">
        <f t="shared" si="5"/>
        <v>62</v>
      </c>
    </row>
    <row r="317" spans="2:7" x14ac:dyDescent="0.25">
      <c r="B317" s="270" t="s">
        <v>351</v>
      </c>
      <c r="C317" s="302" t="s">
        <v>409</v>
      </c>
      <c r="D317" s="274" t="s">
        <v>400</v>
      </c>
      <c r="E317" s="274" t="s">
        <v>402</v>
      </c>
      <c r="F317" s="291">
        <v>0</v>
      </c>
      <c r="G317" s="1">
        <f t="shared" si="5"/>
        <v>62</v>
      </c>
    </row>
    <row r="318" spans="2:7" x14ac:dyDescent="0.25">
      <c r="B318" s="270" t="s">
        <v>351</v>
      </c>
      <c r="C318" s="302" t="s">
        <v>375</v>
      </c>
      <c r="D318" s="274" t="s">
        <v>385</v>
      </c>
      <c r="E318" s="274" t="s">
        <v>387</v>
      </c>
      <c r="F318" s="291">
        <v>0</v>
      </c>
      <c r="G318" s="1">
        <f t="shared" si="5"/>
        <v>63</v>
      </c>
    </row>
    <row r="319" spans="2:7" x14ac:dyDescent="0.25">
      <c r="B319" s="270" t="s">
        <v>351</v>
      </c>
      <c r="C319" s="302" t="s">
        <v>374</v>
      </c>
      <c r="D319" s="274" t="s">
        <v>402</v>
      </c>
      <c r="E319" s="274" t="s">
        <v>403</v>
      </c>
      <c r="F319" s="291">
        <v>0</v>
      </c>
      <c r="G319" s="1">
        <f t="shared" si="5"/>
        <v>62</v>
      </c>
    </row>
    <row r="320" spans="2:7" x14ac:dyDescent="0.25">
      <c r="B320" s="270" t="s">
        <v>351</v>
      </c>
      <c r="C320" s="302" t="s">
        <v>386</v>
      </c>
      <c r="D320" s="274" t="s">
        <v>387</v>
      </c>
      <c r="E320" s="274" t="s">
        <v>387</v>
      </c>
      <c r="F320" s="291">
        <v>0</v>
      </c>
      <c r="G320" s="1">
        <f t="shared" si="5"/>
        <v>63</v>
      </c>
    </row>
    <row r="321" spans="2:7" x14ac:dyDescent="0.25">
      <c r="B321" s="270" t="s">
        <v>351</v>
      </c>
      <c r="C321" s="302" t="s">
        <v>388</v>
      </c>
      <c r="D321" s="274" t="s">
        <v>389</v>
      </c>
      <c r="E321" s="274" t="s">
        <v>421</v>
      </c>
      <c r="F321" s="291">
        <v>0</v>
      </c>
      <c r="G321" s="1">
        <f t="shared" si="5"/>
        <v>64</v>
      </c>
    </row>
    <row r="322" spans="2:7" x14ac:dyDescent="0.25">
      <c r="B322" s="270" t="s">
        <v>351</v>
      </c>
      <c r="C322" s="302" t="s">
        <v>410</v>
      </c>
      <c r="D322" s="274" t="s">
        <v>411</v>
      </c>
      <c r="E322" s="274" t="s">
        <v>412</v>
      </c>
      <c r="F322" s="291">
        <v>0</v>
      </c>
      <c r="G322" s="1">
        <f t="shared" si="5"/>
        <v>63</v>
      </c>
    </row>
    <row r="323" spans="2:7" x14ac:dyDescent="0.25">
      <c r="B323" s="270" t="s">
        <v>351</v>
      </c>
      <c r="C323" s="302" t="s">
        <v>422</v>
      </c>
      <c r="D323" s="274" t="s">
        <v>412</v>
      </c>
      <c r="E323" s="274" t="s">
        <v>391</v>
      </c>
      <c r="F323" s="291">
        <v>0</v>
      </c>
      <c r="G323" s="1">
        <f t="shared" si="5"/>
        <v>64</v>
      </c>
    </row>
    <row r="324" spans="2:7" x14ac:dyDescent="0.25">
      <c r="B324" s="270" t="s">
        <v>351</v>
      </c>
      <c r="C324" s="302" t="s">
        <v>377</v>
      </c>
      <c r="D324" s="274" t="s">
        <v>390</v>
      </c>
      <c r="E324" s="274"/>
      <c r="F324" s="291">
        <v>0</v>
      </c>
      <c r="G324" s="1">
        <f t="shared" si="5"/>
        <v>0</v>
      </c>
    </row>
    <row r="325" spans="2:7" x14ac:dyDescent="0.25">
      <c r="B325" s="270" t="s">
        <v>351</v>
      </c>
      <c r="C325" s="302" t="s">
        <v>379</v>
      </c>
      <c r="D325" s="274" t="s">
        <v>391</v>
      </c>
      <c r="E325" s="274" t="s">
        <v>413</v>
      </c>
      <c r="F325" s="291">
        <v>0</v>
      </c>
      <c r="G325" s="1">
        <f t="shared" si="5"/>
        <v>64</v>
      </c>
    </row>
    <row r="326" spans="2:7" x14ac:dyDescent="0.25">
      <c r="B326" s="270" t="s">
        <v>351</v>
      </c>
      <c r="C326" s="302" t="s">
        <v>378</v>
      </c>
      <c r="D326" s="274" t="s">
        <v>392</v>
      </c>
      <c r="E326" s="274"/>
      <c r="F326" s="291">
        <v>0</v>
      </c>
      <c r="G326" s="1">
        <f t="shared" si="5"/>
        <v>0</v>
      </c>
    </row>
    <row r="327" spans="2:7" x14ac:dyDescent="0.25">
      <c r="B327" s="270" t="s">
        <v>351</v>
      </c>
      <c r="C327" s="302" t="s">
        <v>414</v>
      </c>
      <c r="D327" s="274" t="s">
        <v>415</v>
      </c>
      <c r="E327" s="274" t="s">
        <v>415</v>
      </c>
      <c r="F327" s="291">
        <v>0</v>
      </c>
      <c r="G327" s="1">
        <f t="shared" ref="G327:G390" si="6">IF(ISBLANK(E327),E327,TRUNC((E327-start)/7,0)+1)</f>
        <v>63</v>
      </c>
    </row>
    <row r="328" spans="2:7" x14ac:dyDescent="0.25">
      <c r="B328" s="270" t="s">
        <v>351</v>
      </c>
      <c r="C328" s="302" t="s">
        <v>416</v>
      </c>
      <c r="D328" s="274" t="s">
        <v>411</v>
      </c>
      <c r="E328" s="274" t="s">
        <v>412</v>
      </c>
      <c r="F328" s="291">
        <v>0</v>
      </c>
      <c r="G328" s="1">
        <f t="shared" si="6"/>
        <v>63</v>
      </c>
    </row>
    <row r="329" spans="2:7" x14ac:dyDescent="0.25">
      <c r="B329" s="270" t="s">
        <v>351</v>
      </c>
      <c r="C329" s="302" t="s">
        <v>417</v>
      </c>
      <c r="D329" s="274" t="s">
        <v>415</v>
      </c>
      <c r="E329" s="274" t="s">
        <v>411</v>
      </c>
      <c r="F329" s="291">
        <v>0</v>
      </c>
      <c r="G329" s="1">
        <f t="shared" si="6"/>
        <v>63</v>
      </c>
    </row>
    <row r="330" spans="2:7" x14ac:dyDescent="0.25">
      <c r="B330" s="270" t="s">
        <v>351</v>
      </c>
      <c r="C330" s="302" t="s">
        <v>418</v>
      </c>
      <c r="D330" s="274" t="s">
        <v>391</v>
      </c>
      <c r="E330" s="274" t="s">
        <v>389</v>
      </c>
      <c r="F330" s="291">
        <v>0</v>
      </c>
      <c r="G330" s="1">
        <f t="shared" si="6"/>
        <v>64</v>
      </c>
    </row>
    <row r="331" spans="2:7" x14ac:dyDescent="0.25">
      <c r="B331" s="270" t="s">
        <v>361</v>
      </c>
      <c r="C331" s="302" t="s">
        <v>380</v>
      </c>
      <c r="D331" s="274" t="s">
        <v>381</v>
      </c>
      <c r="E331" s="274" t="s">
        <v>393</v>
      </c>
      <c r="F331" s="291">
        <v>0</v>
      </c>
      <c r="G331" s="1">
        <f t="shared" si="6"/>
        <v>61</v>
      </c>
    </row>
    <row r="332" spans="2:7" x14ac:dyDescent="0.25">
      <c r="B332" s="270" t="s">
        <v>361</v>
      </c>
      <c r="C332" s="302" t="s">
        <v>394</v>
      </c>
      <c r="D332" s="274" t="s">
        <v>393</v>
      </c>
      <c r="E332" s="274" t="s">
        <v>395</v>
      </c>
      <c r="F332" s="291">
        <v>0</v>
      </c>
      <c r="G332" s="1">
        <f t="shared" si="6"/>
        <v>61</v>
      </c>
    </row>
    <row r="333" spans="2:7" x14ac:dyDescent="0.25">
      <c r="B333" s="270" t="s">
        <v>361</v>
      </c>
      <c r="C333" s="302" t="s">
        <v>423</v>
      </c>
      <c r="D333" s="274" t="s">
        <v>395</v>
      </c>
      <c r="E333" s="274" t="s">
        <v>395</v>
      </c>
      <c r="F333" s="291">
        <v>0</v>
      </c>
      <c r="G333" s="1">
        <f t="shared" si="6"/>
        <v>61</v>
      </c>
    </row>
    <row r="334" spans="2:7" x14ac:dyDescent="0.25">
      <c r="B334" s="270" t="s">
        <v>361</v>
      </c>
      <c r="C334" s="302" t="s">
        <v>396</v>
      </c>
      <c r="D334" s="274" t="s">
        <v>397</v>
      </c>
      <c r="E334" s="274" t="s">
        <v>398</v>
      </c>
      <c r="F334" s="291">
        <v>0</v>
      </c>
      <c r="G334" s="1">
        <f t="shared" si="6"/>
        <v>62</v>
      </c>
    </row>
    <row r="335" spans="2:7" x14ac:dyDescent="0.25">
      <c r="B335" s="270" t="s">
        <v>361</v>
      </c>
      <c r="C335" s="302" t="s">
        <v>399</v>
      </c>
      <c r="D335" s="274" t="s">
        <v>398</v>
      </c>
      <c r="E335" s="274" t="s">
        <v>398</v>
      </c>
      <c r="F335" s="291">
        <v>0</v>
      </c>
      <c r="G335" s="1">
        <f t="shared" si="6"/>
        <v>62</v>
      </c>
    </row>
    <row r="336" spans="2:7" x14ac:dyDescent="0.25">
      <c r="B336" s="270" t="s">
        <v>361</v>
      </c>
      <c r="C336" s="302" t="s">
        <v>401</v>
      </c>
      <c r="D336" s="274" t="s">
        <v>402</v>
      </c>
      <c r="E336" s="274" t="s">
        <v>402</v>
      </c>
      <c r="F336" s="291">
        <v>0</v>
      </c>
      <c r="G336" s="1">
        <f t="shared" si="6"/>
        <v>62</v>
      </c>
    </row>
    <row r="337" spans="2:7" x14ac:dyDescent="0.25">
      <c r="B337" s="270" t="s">
        <v>361</v>
      </c>
      <c r="C337" s="302" t="s">
        <v>419</v>
      </c>
      <c r="D337" s="274" t="s">
        <v>390</v>
      </c>
      <c r="E337" s="274" t="s">
        <v>415</v>
      </c>
      <c r="F337" s="291">
        <v>0</v>
      </c>
      <c r="G337" s="1">
        <f t="shared" si="6"/>
        <v>63</v>
      </c>
    </row>
    <row r="338" spans="2:7" x14ac:dyDescent="0.25">
      <c r="B338" s="270" t="s">
        <v>361</v>
      </c>
      <c r="C338" s="302" t="s">
        <v>404</v>
      </c>
      <c r="D338" s="274" t="s">
        <v>405</v>
      </c>
      <c r="E338" s="274" t="s">
        <v>415</v>
      </c>
      <c r="F338" s="291">
        <v>0</v>
      </c>
      <c r="G338" s="1">
        <f t="shared" si="6"/>
        <v>63</v>
      </c>
    </row>
    <row r="339" spans="2:7" x14ac:dyDescent="0.25">
      <c r="B339" s="270" t="s">
        <v>361</v>
      </c>
      <c r="C339" s="302" t="s">
        <v>372</v>
      </c>
      <c r="D339" s="274" t="s">
        <v>382</v>
      </c>
      <c r="E339" s="274" t="s">
        <v>406</v>
      </c>
      <c r="F339" s="291">
        <v>0</v>
      </c>
      <c r="G339" s="1">
        <f t="shared" si="6"/>
        <v>61</v>
      </c>
    </row>
    <row r="340" spans="2:7" x14ac:dyDescent="0.25">
      <c r="B340" s="270" t="s">
        <v>361</v>
      </c>
      <c r="C340" s="302" t="s">
        <v>407</v>
      </c>
      <c r="D340" s="274" t="s">
        <v>406</v>
      </c>
      <c r="E340" s="274" t="s">
        <v>381</v>
      </c>
      <c r="F340" s="291">
        <v>0</v>
      </c>
      <c r="G340" s="1">
        <f t="shared" si="6"/>
        <v>61</v>
      </c>
    </row>
    <row r="341" spans="2:7" x14ac:dyDescent="0.25">
      <c r="B341" s="270" t="s">
        <v>361</v>
      </c>
      <c r="C341" s="302" t="s">
        <v>383</v>
      </c>
      <c r="D341" s="274" t="s">
        <v>384</v>
      </c>
      <c r="E341" s="274" t="s">
        <v>397</v>
      </c>
      <c r="F341" s="291">
        <v>0</v>
      </c>
      <c r="G341" s="1">
        <f t="shared" si="6"/>
        <v>62</v>
      </c>
    </row>
    <row r="342" spans="2:7" x14ac:dyDescent="0.25">
      <c r="B342" s="270" t="s">
        <v>361</v>
      </c>
      <c r="C342" s="302" t="s">
        <v>420</v>
      </c>
      <c r="D342" s="274" t="s">
        <v>384</v>
      </c>
      <c r="E342" s="274" t="s">
        <v>384</v>
      </c>
      <c r="F342" s="291">
        <v>0</v>
      </c>
      <c r="G342" s="1">
        <f t="shared" si="6"/>
        <v>62</v>
      </c>
    </row>
    <row r="343" spans="2:7" x14ac:dyDescent="0.25">
      <c r="B343" s="270" t="s">
        <v>361</v>
      </c>
      <c r="C343" s="302" t="s">
        <v>373</v>
      </c>
      <c r="D343" s="274" t="s">
        <v>382</v>
      </c>
      <c r="E343" s="274" t="s">
        <v>397</v>
      </c>
      <c r="F343" s="291">
        <v>0</v>
      </c>
      <c r="G343" s="1">
        <f t="shared" si="6"/>
        <v>62</v>
      </c>
    </row>
    <row r="344" spans="2:7" x14ac:dyDescent="0.25">
      <c r="B344" s="270" t="s">
        <v>361</v>
      </c>
      <c r="C344" s="302" t="s">
        <v>409</v>
      </c>
      <c r="D344" s="274" t="s">
        <v>400</v>
      </c>
      <c r="E344" s="274" t="s">
        <v>402</v>
      </c>
      <c r="F344" s="291">
        <v>0</v>
      </c>
      <c r="G344" s="1">
        <f t="shared" si="6"/>
        <v>62</v>
      </c>
    </row>
    <row r="345" spans="2:7" x14ac:dyDescent="0.25">
      <c r="B345" s="270" t="s">
        <v>361</v>
      </c>
      <c r="C345" s="302" t="s">
        <v>375</v>
      </c>
      <c r="D345" s="274" t="s">
        <v>385</v>
      </c>
      <c r="E345" s="274" t="s">
        <v>390</v>
      </c>
      <c r="F345" s="291">
        <v>0</v>
      </c>
      <c r="G345" s="1">
        <f t="shared" si="6"/>
        <v>63</v>
      </c>
    </row>
    <row r="346" spans="2:7" x14ac:dyDescent="0.25">
      <c r="B346" s="270" t="s">
        <v>361</v>
      </c>
      <c r="C346" s="302" t="s">
        <v>374</v>
      </c>
      <c r="D346" s="274" t="s">
        <v>402</v>
      </c>
      <c r="E346" s="274" t="s">
        <v>403</v>
      </c>
      <c r="F346" s="291">
        <v>0</v>
      </c>
      <c r="G346" s="1">
        <f t="shared" si="6"/>
        <v>62</v>
      </c>
    </row>
    <row r="347" spans="2:7" x14ac:dyDescent="0.25">
      <c r="B347" s="270" t="s">
        <v>361</v>
      </c>
      <c r="C347" s="302" t="s">
        <v>386</v>
      </c>
      <c r="D347" s="274" t="s">
        <v>387</v>
      </c>
      <c r="E347" s="274" t="s">
        <v>390</v>
      </c>
      <c r="F347" s="291">
        <v>0</v>
      </c>
      <c r="G347" s="1">
        <f t="shared" si="6"/>
        <v>63</v>
      </c>
    </row>
    <row r="348" spans="2:7" x14ac:dyDescent="0.25">
      <c r="B348" s="270" t="s">
        <v>361</v>
      </c>
      <c r="C348" s="302" t="s">
        <v>388</v>
      </c>
      <c r="D348" s="274" t="s">
        <v>389</v>
      </c>
      <c r="E348" s="274" t="s">
        <v>421</v>
      </c>
      <c r="F348" s="291">
        <v>0</v>
      </c>
      <c r="G348" s="1">
        <f t="shared" si="6"/>
        <v>64</v>
      </c>
    </row>
    <row r="349" spans="2:7" x14ac:dyDescent="0.25">
      <c r="B349" s="270" t="s">
        <v>361</v>
      </c>
      <c r="C349" s="302" t="s">
        <v>410</v>
      </c>
      <c r="D349" s="274" t="s">
        <v>411</v>
      </c>
      <c r="E349" s="274" t="s">
        <v>412</v>
      </c>
      <c r="F349" s="291">
        <v>0</v>
      </c>
      <c r="G349" s="1">
        <f t="shared" si="6"/>
        <v>63</v>
      </c>
    </row>
    <row r="350" spans="2:7" x14ac:dyDescent="0.25">
      <c r="B350" s="270" t="s">
        <v>361</v>
      </c>
      <c r="C350" s="302" t="s">
        <v>422</v>
      </c>
      <c r="D350" s="274" t="s">
        <v>412</v>
      </c>
      <c r="E350" s="274" t="s">
        <v>391</v>
      </c>
      <c r="F350" s="291">
        <v>0</v>
      </c>
      <c r="G350" s="1">
        <f t="shared" si="6"/>
        <v>64</v>
      </c>
    </row>
    <row r="351" spans="2:7" x14ac:dyDescent="0.25">
      <c r="B351" s="270" t="s">
        <v>361</v>
      </c>
      <c r="C351" s="302" t="s">
        <v>377</v>
      </c>
      <c r="D351" s="274" t="s">
        <v>390</v>
      </c>
      <c r="E351" s="274" t="s">
        <v>424</v>
      </c>
      <c r="F351" s="291">
        <v>0</v>
      </c>
      <c r="G351" s="1">
        <f t="shared" si="6"/>
        <v>64</v>
      </c>
    </row>
    <row r="352" spans="2:7" x14ac:dyDescent="0.25">
      <c r="B352" s="270" t="s">
        <v>361</v>
      </c>
      <c r="C352" s="302" t="s">
        <v>379</v>
      </c>
      <c r="D352" s="274" t="s">
        <v>391</v>
      </c>
      <c r="E352" s="274" t="s">
        <v>413</v>
      </c>
      <c r="F352" s="291">
        <v>0</v>
      </c>
      <c r="G352" s="1">
        <f t="shared" si="6"/>
        <v>64</v>
      </c>
    </row>
    <row r="353" spans="2:7" x14ac:dyDescent="0.25">
      <c r="B353" s="270" t="s">
        <v>361</v>
      </c>
      <c r="C353" s="302" t="s">
        <v>378</v>
      </c>
      <c r="D353" s="274" t="s">
        <v>392</v>
      </c>
      <c r="E353" s="274"/>
      <c r="F353" s="291">
        <v>0</v>
      </c>
      <c r="G353" s="1">
        <f t="shared" si="6"/>
        <v>0</v>
      </c>
    </row>
    <row r="354" spans="2:7" x14ac:dyDescent="0.25">
      <c r="B354" s="270" t="s">
        <v>361</v>
      </c>
      <c r="C354" s="302" t="s">
        <v>414</v>
      </c>
      <c r="D354" s="274" t="s">
        <v>415</v>
      </c>
      <c r="E354" s="274" t="s">
        <v>411</v>
      </c>
      <c r="F354" s="291">
        <v>0</v>
      </c>
      <c r="G354" s="1">
        <f t="shared" si="6"/>
        <v>63</v>
      </c>
    </row>
    <row r="355" spans="2:7" x14ac:dyDescent="0.25">
      <c r="B355" s="270" t="s">
        <v>361</v>
      </c>
      <c r="C355" s="302" t="s">
        <v>416</v>
      </c>
      <c r="D355" s="274" t="s">
        <v>411</v>
      </c>
      <c r="E355" s="274" t="s">
        <v>411</v>
      </c>
      <c r="F355" s="291">
        <v>0</v>
      </c>
      <c r="G355" s="1">
        <f t="shared" si="6"/>
        <v>63</v>
      </c>
    </row>
    <row r="356" spans="2:7" x14ac:dyDescent="0.25">
      <c r="B356" s="270" t="s">
        <v>361</v>
      </c>
      <c r="C356" s="302" t="s">
        <v>417</v>
      </c>
      <c r="D356" s="274" t="s">
        <v>415</v>
      </c>
      <c r="E356" s="274" t="s">
        <v>411</v>
      </c>
      <c r="F356" s="291">
        <v>0</v>
      </c>
      <c r="G356" s="1">
        <f t="shared" si="6"/>
        <v>63</v>
      </c>
    </row>
    <row r="357" spans="2:7" x14ac:dyDescent="0.25">
      <c r="B357" s="270" t="s">
        <v>361</v>
      </c>
      <c r="C357" s="302" t="s">
        <v>418</v>
      </c>
      <c r="D357" s="274" t="s">
        <v>391</v>
      </c>
      <c r="E357" s="274" t="s">
        <v>389</v>
      </c>
      <c r="F357" s="291">
        <v>0</v>
      </c>
      <c r="G357" s="1">
        <f t="shared" si="6"/>
        <v>64</v>
      </c>
    </row>
    <row r="358" spans="2:7" x14ac:dyDescent="0.25">
      <c r="B358" s="270" t="s">
        <v>338</v>
      </c>
      <c r="C358" s="302" t="s">
        <v>380</v>
      </c>
      <c r="D358" s="274" t="s">
        <v>381</v>
      </c>
      <c r="E358" s="274" t="s">
        <v>393</v>
      </c>
      <c r="F358" s="291">
        <v>0</v>
      </c>
      <c r="G358" s="1">
        <f t="shared" si="6"/>
        <v>61</v>
      </c>
    </row>
    <row r="359" spans="2:7" x14ac:dyDescent="0.25">
      <c r="B359" s="270" t="s">
        <v>338</v>
      </c>
      <c r="C359" s="302" t="s">
        <v>394</v>
      </c>
      <c r="D359" s="274" t="s">
        <v>393</v>
      </c>
      <c r="E359" s="274" t="s">
        <v>395</v>
      </c>
      <c r="F359" s="291">
        <v>0</v>
      </c>
      <c r="G359" s="1">
        <f t="shared" si="6"/>
        <v>61</v>
      </c>
    </row>
    <row r="360" spans="2:7" x14ac:dyDescent="0.25">
      <c r="B360" s="270" t="s">
        <v>338</v>
      </c>
      <c r="C360" s="302" t="s">
        <v>423</v>
      </c>
      <c r="D360" s="274" t="s">
        <v>395</v>
      </c>
      <c r="E360" s="274" t="s">
        <v>384</v>
      </c>
      <c r="F360" s="291">
        <v>0</v>
      </c>
      <c r="G360" s="1">
        <f t="shared" si="6"/>
        <v>62</v>
      </c>
    </row>
    <row r="361" spans="2:7" x14ac:dyDescent="0.25">
      <c r="B361" s="270" t="s">
        <v>338</v>
      </c>
      <c r="C361" s="302" t="s">
        <v>396</v>
      </c>
      <c r="D361" s="274" t="s">
        <v>397</v>
      </c>
      <c r="E361" s="274" t="s">
        <v>398</v>
      </c>
      <c r="F361" s="291">
        <v>0</v>
      </c>
      <c r="G361" s="1">
        <f t="shared" si="6"/>
        <v>62</v>
      </c>
    </row>
    <row r="362" spans="2:7" x14ac:dyDescent="0.25">
      <c r="B362" s="270" t="s">
        <v>338</v>
      </c>
      <c r="C362" s="302" t="s">
        <v>399</v>
      </c>
      <c r="D362" s="274" t="s">
        <v>398</v>
      </c>
      <c r="E362" s="274" t="s">
        <v>400</v>
      </c>
      <c r="F362" s="291">
        <v>0</v>
      </c>
      <c r="G362" s="1">
        <f t="shared" si="6"/>
        <v>62</v>
      </c>
    </row>
    <row r="363" spans="2:7" x14ac:dyDescent="0.25">
      <c r="B363" s="270" t="s">
        <v>338</v>
      </c>
      <c r="C363" s="302" t="s">
        <v>401</v>
      </c>
      <c r="D363" s="274" t="s">
        <v>402</v>
      </c>
      <c r="E363" s="274" t="s">
        <v>402</v>
      </c>
      <c r="F363" s="291">
        <v>0</v>
      </c>
      <c r="G363" s="1">
        <f t="shared" si="6"/>
        <v>62</v>
      </c>
    </row>
    <row r="364" spans="2:7" x14ac:dyDescent="0.25">
      <c r="B364" s="270" t="s">
        <v>338</v>
      </c>
      <c r="C364" s="302" t="s">
        <v>404</v>
      </c>
      <c r="D364" s="274" t="s">
        <v>405</v>
      </c>
      <c r="E364" s="274" t="s">
        <v>415</v>
      </c>
      <c r="F364" s="291">
        <v>0</v>
      </c>
      <c r="G364" s="1">
        <f t="shared" si="6"/>
        <v>63</v>
      </c>
    </row>
    <row r="365" spans="2:7" x14ac:dyDescent="0.25">
      <c r="B365" s="270" t="s">
        <v>338</v>
      </c>
      <c r="C365" s="302" t="s">
        <v>372</v>
      </c>
      <c r="D365" s="274" t="s">
        <v>382</v>
      </c>
      <c r="E365" s="274" t="s">
        <v>382</v>
      </c>
      <c r="F365" s="291">
        <v>0</v>
      </c>
      <c r="G365" s="1">
        <f t="shared" si="6"/>
        <v>61</v>
      </c>
    </row>
    <row r="366" spans="2:7" x14ac:dyDescent="0.25">
      <c r="B366" s="270" t="s">
        <v>338</v>
      </c>
      <c r="C366" s="302" t="s">
        <v>407</v>
      </c>
      <c r="D366" s="274" t="s">
        <v>406</v>
      </c>
      <c r="E366" s="274" t="s">
        <v>381</v>
      </c>
      <c r="F366" s="291">
        <v>0</v>
      </c>
      <c r="G366" s="1">
        <f t="shared" si="6"/>
        <v>61</v>
      </c>
    </row>
    <row r="367" spans="2:7" x14ac:dyDescent="0.25">
      <c r="B367" s="270" t="s">
        <v>338</v>
      </c>
      <c r="C367" s="302" t="s">
        <v>383</v>
      </c>
      <c r="D367" s="274" t="s">
        <v>384</v>
      </c>
      <c r="E367" s="274" t="s">
        <v>398</v>
      </c>
      <c r="F367" s="291">
        <v>0</v>
      </c>
      <c r="G367" s="1">
        <f t="shared" si="6"/>
        <v>62</v>
      </c>
    </row>
    <row r="368" spans="2:7" x14ac:dyDescent="0.25">
      <c r="B368" s="270" t="s">
        <v>338</v>
      </c>
      <c r="C368" s="302" t="s">
        <v>420</v>
      </c>
      <c r="D368" s="274" t="s">
        <v>384</v>
      </c>
      <c r="E368" s="274" t="s">
        <v>384</v>
      </c>
      <c r="F368" s="291">
        <v>0</v>
      </c>
      <c r="G368" s="1">
        <f t="shared" si="6"/>
        <v>62</v>
      </c>
    </row>
    <row r="369" spans="2:7" x14ac:dyDescent="0.25">
      <c r="B369" s="270" t="s">
        <v>338</v>
      </c>
      <c r="C369" s="302" t="s">
        <v>373</v>
      </c>
      <c r="D369" s="274" t="s">
        <v>382</v>
      </c>
      <c r="E369" s="274" t="s">
        <v>397</v>
      </c>
      <c r="F369" s="291">
        <v>0</v>
      </c>
      <c r="G369" s="1">
        <f t="shared" si="6"/>
        <v>62</v>
      </c>
    </row>
    <row r="370" spans="2:7" x14ac:dyDescent="0.25">
      <c r="B370" s="270" t="s">
        <v>338</v>
      </c>
      <c r="C370" s="302" t="s">
        <v>409</v>
      </c>
      <c r="D370" s="274" t="s">
        <v>400</v>
      </c>
      <c r="E370" s="274" t="s">
        <v>402</v>
      </c>
      <c r="F370" s="291">
        <v>0</v>
      </c>
      <c r="G370" s="1">
        <f t="shared" si="6"/>
        <v>62</v>
      </c>
    </row>
    <row r="371" spans="2:7" x14ac:dyDescent="0.25">
      <c r="B371" s="270" t="s">
        <v>338</v>
      </c>
      <c r="C371" s="302" t="s">
        <v>375</v>
      </c>
      <c r="D371" s="274" t="s">
        <v>385</v>
      </c>
      <c r="E371" s="274" t="s">
        <v>390</v>
      </c>
      <c r="F371" s="291">
        <v>0</v>
      </c>
      <c r="G371" s="1">
        <f t="shared" si="6"/>
        <v>63</v>
      </c>
    </row>
    <row r="372" spans="2:7" x14ac:dyDescent="0.25">
      <c r="B372" s="270" t="s">
        <v>338</v>
      </c>
      <c r="C372" s="302" t="s">
        <v>374</v>
      </c>
      <c r="D372" s="274" t="s">
        <v>402</v>
      </c>
      <c r="E372" s="274" t="s">
        <v>403</v>
      </c>
      <c r="F372" s="291">
        <v>0</v>
      </c>
      <c r="G372" s="1">
        <f t="shared" si="6"/>
        <v>62</v>
      </c>
    </row>
    <row r="373" spans="2:7" x14ac:dyDescent="0.25">
      <c r="B373" s="270" t="s">
        <v>338</v>
      </c>
      <c r="C373" s="302" t="s">
        <v>386</v>
      </c>
      <c r="D373" s="274" t="s">
        <v>387</v>
      </c>
      <c r="E373" s="274" t="s">
        <v>387</v>
      </c>
      <c r="F373" s="291">
        <v>0</v>
      </c>
      <c r="G373" s="1">
        <f t="shared" si="6"/>
        <v>63</v>
      </c>
    </row>
    <row r="374" spans="2:7" x14ac:dyDescent="0.25">
      <c r="B374" s="270" t="s">
        <v>338</v>
      </c>
      <c r="C374" s="302" t="s">
        <v>388</v>
      </c>
      <c r="D374" s="274" t="s">
        <v>389</v>
      </c>
      <c r="E374" s="274" t="s">
        <v>421</v>
      </c>
      <c r="F374" s="291">
        <v>0</v>
      </c>
      <c r="G374" s="1">
        <f t="shared" si="6"/>
        <v>64</v>
      </c>
    </row>
    <row r="375" spans="2:7" x14ac:dyDescent="0.25">
      <c r="B375" s="270" t="s">
        <v>338</v>
      </c>
      <c r="C375" s="302" t="s">
        <v>410</v>
      </c>
      <c r="D375" s="274" t="s">
        <v>411</v>
      </c>
      <c r="E375" s="274" t="s">
        <v>412</v>
      </c>
      <c r="F375" s="291">
        <v>0</v>
      </c>
      <c r="G375" s="1">
        <f t="shared" si="6"/>
        <v>63</v>
      </c>
    </row>
    <row r="376" spans="2:7" x14ac:dyDescent="0.25">
      <c r="B376" s="270" t="s">
        <v>338</v>
      </c>
      <c r="C376" s="302" t="s">
        <v>422</v>
      </c>
      <c r="D376" s="274" t="s">
        <v>412</v>
      </c>
      <c r="E376" s="274" t="s">
        <v>391</v>
      </c>
      <c r="F376" s="291">
        <v>0</v>
      </c>
      <c r="G376" s="1">
        <f t="shared" si="6"/>
        <v>64</v>
      </c>
    </row>
    <row r="377" spans="2:7" x14ac:dyDescent="0.25">
      <c r="B377" s="270" t="s">
        <v>338</v>
      </c>
      <c r="C377" s="302" t="s">
        <v>377</v>
      </c>
      <c r="D377" s="274" t="s">
        <v>390</v>
      </c>
      <c r="E377" s="274" t="s">
        <v>424</v>
      </c>
      <c r="F377" s="291">
        <v>0</v>
      </c>
      <c r="G377" s="1">
        <f t="shared" si="6"/>
        <v>64</v>
      </c>
    </row>
    <row r="378" spans="2:7" x14ac:dyDescent="0.25">
      <c r="B378" s="270" t="s">
        <v>338</v>
      </c>
      <c r="C378" s="302" t="s">
        <v>379</v>
      </c>
      <c r="D378" s="274" t="s">
        <v>391</v>
      </c>
      <c r="E378" s="274" t="s">
        <v>413</v>
      </c>
      <c r="F378" s="291">
        <v>0</v>
      </c>
      <c r="G378" s="1">
        <f t="shared" si="6"/>
        <v>64</v>
      </c>
    </row>
    <row r="379" spans="2:7" x14ac:dyDescent="0.25">
      <c r="B379" s="270" t="s">
        <v>338</v>
      </c>
      <c r="C379" s="302" t="s">
        <v>378</v>
      </c>
      <c r="D379" s="274" t="s">
        <v>392</v>
      </c>
      <c r="E379" s="274"/>
      <c r="F379" s="291">
        <v>0</v>
      </c>
      <c r="G379" s="1">
        <f t="shared" si="6"/>
        <v>0</v>
      </c>
    </row>
    <row r="380" spans="2:7" x14ac:dyDescent="0.25">
      <c r="B380" s="270" t="s">
        <v>338</v>
      </c>
      <c r="C380" s="302" t="s">
        <v>414</v>
      </c>
      <c r="D380" s="274" t="s">
        <v>415</v>
      </c>
      <c r="E380" s="274" t="s">
        <v>411</v>
      </c>
      <c r="F380" s="291">
        <v>0</v>
      </c>
      <c r="G380" s="1">
        <f t="shared" si="6"/>
        <v>63</v>
      </c>
    </row>
    <row r="381" spans="2:7" x14ac:dyDescent="0.25">
      <c r="B381" s="270" t="s">
        <v>338</v>
      </c>
      <c r="C381" s="302" t="s">
        <v>416</v>
      </c>
      <c r="D381" s="274" t="s">
        <v>411</v>
      </c>
      <c r="E381" s="274" t="s">
        <v>412</v>
      </c>
      <c r="F381" s="291">
        <v>0</v>
      </c>
      <c r="G381" s="1">
        <f t="shared" si="6"/>
        <v>63</v>
      </c>
    </row>
    <row r="382" spans="2:7" x14ac:dyDescent="0.25">
      <c r="B382" s="270" t="s">
        <v>338</v>
      </c>
      <c r="C382" s="302" t="s">
        <v>417</v>
      </c>
      <c r="D382" s="274" t="s">
        <v>415</v>
      </c>
      <c r="E382" s="274" t="s">
        <v>411</v>
      </c>
      <c r="F382" s="291">
        <v>0</v>
      </c>
      <c r="G382" s="1">
        <f t="shared" si="6"/>
        <v>63</v>
      </c>
    </row>
    <row r="383" spans="2:7" x14ac:dyDescent="0.25">
      <c r="B383" s="270" t="s">
        <v>338</v>
      </c>
      <c r="C383" s="302" t="s">
        <v>418</v>
      </c>
      <c r="D383" s="274" t="s">
        <v>391</v>
      </c>
      <c r="E383" s="274" t="s">
        <v>389</v>
      </c>
      <c r="F383" s="291">
        <v>0</v>
      </c>
      <c r="G383" s="1">
        <f t="shared" si="6"/>
        <v>64</v>
      </c>
    </row>
    <row r="384" spans="2:7" x14ac:dyDescent="0.25">
      <c r="B384" s="270" t="s">
        <v>323</v>
      </c>
      <c r="C384" s="302" t="s">
        <v>380</v>
      </c>
      <c r="D384" s="274" t="s">
        <v>381</v>
      </c>
      <c r="E384" s="274" t="s">
        <v>393</v>
      </c>
      <c r="F384" s="291">
        <v>0</v>
      </c>
      <c r="G384" s="1">
        <f t="shared" si="6"/>
        <v>61</v>
      </c>
    </row>
    <row r="385" spans="2:7" x14ac:dyDescent="0.25">
      <c r="B385" s="270" t="s">
        <v>323</v>
      </c>
      <c r="C385" s="302" t="s">
        <v>394</v>
      </c>
      <c r="D385" s="274" t="s">
        <v>393</v>
      </c>
      <c r="E385" s="274" t="s">
        <v>395</v>
      </c>
      <c r="F385" s="291">
        <v>0</v>
      </c>
      <c r="G385" s="1">
        <f t="shared" si="6"/>
        <v>61</v>
      </c>
    </row>
    <row r="386" spans="2:7" x14ac:dyDescent="0.25">
      <c r="B386" s="270" t="s">
        <v>323</v>
      </c>
      <c r="C386" s="302" t="s">
        <v>423</v>
      </c>
      <c r="D386" s="274" t="s">
        <v>395</v>
      </c>
      <c r="E386" s="274" t="s">
        <v>395</v>
      </c>
      <c r="F386" s="291">
        <v>0</v>
      </c>
      <c r="G386" s="1">
        <f t="shared" si="6"/>
        <v>61</v>
      </c>
    </row>
    <row r="387" spans="2:7" x14ac:dyDescent="0.25">
      <c r="B387" s="270" t="s">
        <v>323</v>
      </c>
      <c r="C387" s="302" t="s">
        <v>396</v>
      </c>
      <c r="D387" s="274" t="s">
        <v>397</v>
      </c>
      <c r="E387" s="274" t="s">
        <v>398</v>
      </c>
      <c r="F387" s="291">
        <v>0</v>
      </c>
      <c r="G387" s="1">
        <f t="shared" si="6"/>
        <v>62</v>
      </c>
    </row>
    <row r="388" spans="2:7" x14ac:dyDescent="0.25">
      <c r="B388" s="270" t="s">
        <v>323</v>
      </c>
      <c r="C388" s="302" t="s">
        <v>399</v>
      </c>
      <c r="D388" s="274" t="s">
        <v>398</v>
      </c>
      <c r="E388" s="274" t="s">
        <v>400</v>
      </c>
      <c r="F388" s="291">
        <v>0</v>
      </c>
      <c r="G388" s="1">
        <f t="shared" si="6"/>
        <v>62</v>
      </c>
    </row>
    <row r="389" spans="2:7" x14ac:dyDescent="0.25">
      <c r="B389" s="270" t="s">
        <v>323</v>
      </c>
      <c r="C389" s="302" t="s">
        <v>401</v>
      </c>
      <c r="D389" s="274" t="s">
        <v>402</v>
      </c>
      <c r="E389" s="274" t="s">
        <v>403</v>
      </c>
      <c r="F389" s="291">
        <v>0</v>
      </c>
      <c r="G389" s="1">
        <f t="shared" si="6"/>
        <v>62</v>
      </c>
    </row>
    <row r="390" spans="2:7" x14ac:dyDescent="0.25">
      <c r="B390" s="270" t="s">
        <v>323</v>
      </c>
      <c r="C390" s="302" t="s">
        <v>419</v>
      </c>
      <c r="D390" s="274" t="s">
        <v>390</v>
      </c>
      <c r="E390" s="274" t="s">
        <v>405</v>
      </c>
      <c r="F390" s="291">
        <v>0</v>
      </c>
      <c r="G390" s="1">
        <f t="shared" si="6"/>
        <v>63</v>
      </c>
    </row>
    <row r="391" spans="2:7" x14ac:dyDescent="0.25">
      <c r="B391" s="270" t="s">
        <v>323</v>
      </c>
      <c r="C391" s="302" t="s">
        <v>404</v>
      </c>
      <c r="D391" s="274" t="s">
        <v>405</v>
      </c>
      <c r="E391" s="274" t="s">
        <v>415</v>
      </c>
      <c r="F391" s="291">
        <v>0</v>
      </c>
      <c r="G391" s="1">
        <f t="shared" ref="G391:G454" si="7">IF(ISBLANK(E391),E391,TRUNC((E391-start)/7,0)+1)</f>
        <v>63</v>
      </c>
    </row>
    <row r="392" spans="2:7" x14ac:dyDescent="0.25">
      <c r="B392" s="270" t="s">
        <v>323</v>
      </c>
      <c r="C392" s="302" t="s">
        <v>372</v>
      </c>
      <c r="D392" s="274" t="s">
        <v>382</v>
      </c>
      <c r="E392" s="274" t="s">
        <v>406</v>
      </c>
      <c r="F392" s="291">
        <v>0</v>
      </c>
      <c r="G392" s="1">
        <f t="shared" si="7"/>
        <v>61</v>
      </c>
    </row>
    <row r="393" spans="2:7" x14ac:dyDescent="0.25">
      <c r="B393" s="270" t="s">
        <v>323</v>
      </c>
      <c r="C393" s="302" t="s">
        <v>407</v>
      </c>
      <c r="D393" s="274" t="s">
        <v>406</v>
      </c>
      <c r="E393" s="274" t="s">
        <v>381</v>
      </c>
      <c r="F393" s="291">
        <v>0</v>
      </c>
      <c r="G393" s="1">
        <f t="shared" si="7"/>
        <v>61</v>
      </c>
    </row>
    <row r="394" spans="2:7" x14ac:dyDescent="0.25">
      <c r="B394" s="270" t="s">
        <v>323</v>
      </c>
      <c r="C394" s="302" t="s">
        <v>383</v>
      </c>
      <c r="D394" s="274" t="s">
        <v>384</v>
      </c>
      <c r="E394" s="274" t="s">
        <v>397</v>
      </c>
      <c r="F394" s="291">
        <v>0</v>
      </c>
      <c r="G394" s="1">
        <f t="shared" si="7"/>
        <v>62</v>
      </c>
    </row>
    <row r="395" spans="2:7" x14ac:dyDescent="0.25">
      <c r="B395" s="270" t="s">
        <v>323</v>
      </c>
      <c r="C395" s="302" t="s">
        <v>420</v>
      </c>
      <c r="D395" s="274" t="s">
        <v>384</v>
      </c>
      <c r="E395" s="274" t="s">
        <v>384</v>
      </c>
      <c r="F395" s="291">
        <v>0</v>
      </c>
      <c r="G395" s="1">
        <f t="shared" si="7"/>
        <v>62</v>
      </c>
    </row>
    <row r="396" spans="2:7" x14ac:dyDescent="0.25">
      <c r="B396" s="270" t="s">
        <v>323</v>
      </c>
      <c r="C396" s="302" t="s">
        <v>373</v>
      </c>
      <c r="D396" s="274" t="s">
        <v>382</v>
      </c>
      <c r="E396" s="274" t="s">
        <v>397</v>
      </c>
      <c r="F396" s="291">
        <v>0</v>
      </c>
      <c r="G396" s="1">
        <f t="shared" si="7"/>
        <v>62</v>
      </c>
    </row>
    <row r="397" spans="2:7" x14ac:dyDescent="0.25">
      <c r="B397" s="270" t="s">
        <v>323</v>
      </c>
      <c r="C397" s="302" t="s">
        <v>409</v>
      </c>
      <c r="D397" s="274" t="s">
        <v>400</v>
      </c>
      <c r="E397" s="274" t="s">
        <v>402</v>
      </c>
      <c r="F397" s="291">
        <v>0</v>
      </c>
      <c r="G397" s="1">
        <f t="shared" si="7"/>
        <v>62</v>
      </c>
    </row>
    <row r="398" spans="2:7" x14ac:dyDescent="0.25">
      <c r="B398" s="270" t="s">
        <v>323</v>
      </c>
      <c r="C398" s="302" t="s">
        <v>375</v>
      </c>
      <c r="D398" s="274" t="s">
        <v>385</v>
      </c>
      <c r="E398" s="274" t="s">
        <v>390</v>
      </c>
      <c r="F398" s="291">
        <v>0</v>
      </c>
      <c r="G398" s="1">
        <f t="shared" si="7"/>
        <v>63</v>
      </c>
    </row>
    <row r="399" spans="2:7" x14ac:dyDescent="0.25">
      <c r="B399" s="270" t="s">
        <v>323</v>
      </c>
      <c r="C399" s="302" t="s">
        <v>374</v>
      </c>
      <c r="D399" s="274" t="s">
        <v>402</v>
      </c>
      <c r="E399" s="274" t="s">
        <v>403</v>
      </c>
      <c r="F399" s="291">
        <v>0</v>
      </c>
      <c r="G399" s="1">
        <f t="shared" si="7"/>
        <v>62</v>
      </c>
    </row>
    <row r="400" spans="2:7" x14ac:dyDescent="0.25">
      <c r="B400" s="270" t="s">
        <v>323</v>
      </c>
      <c r="C400" s="302" t="s">
        <v>386</v>
      </c>
      <c r="D400" s="274" t="s">
        <v>387</v>
      </c>
      <c r="E400" s="274" t="s">
        <v>390</v>
      </c>
      <c r="F400" s="291">
        <v>0</v>
      </c>
      <c r="G400" s="1">
        <f t="shared" si="7"/>
        <v>63</v>
      </c>
    </row>
    <row r="401" spans="2:7" x14ac:dyDescent="0.25">
      <c r="B401" s="270" t="s">
        <v>323</v>
      </c>
      <c r="C401" s="302" t="s">
        <v>388</v>
      </c>
      <c r="D401" s="274" t="s">
        <v>389</v>
      </c>
      <c r="E401" s="274" t="s">
        <v>421</v>
      </c>
      <c r="F401" s="291">
        <v>0</v>
      </c>
      <c r="G401" s="1">
        <f t="shared" si="7"/>
        <v>64</v>
      </c>
    </row>
    <row r="402" spans="2:7" x14ac:dyDescent="0.25">
      <c r="B402" s="270" t="s">
        <v>323</v>
      </c>
      <c r="C402" s="302" t="s">
        <v>410</v>
      </c>
      <c r="D402" s="274" t="s">
        <v>411</v>
      </c>
      <c r="E402" s="274" t="s">
        <v>412</v>
      </c>
      <c r="F402" s="291">
        <v>0</v>
      </c>
      <c r="G402" s="1">
        <f t="shared" si="7"/>
        <v>63</v>
      </c>
    </row>
    <row r="403" spans="2:7" x14ac:dyDescent="0.25">
      <c r="B403" s="270" t="s">
        <v>323</v>
      </c>
      <c r="C403" s="302" t="s">
        <v>422</v>
      </c>
      <c r="D403" s="274" t="s">
        <v>412</v>
      </c>
      <c r="E403" s="274" t="s">
        <v>391</v>
      </c>
      <c r="F403" s="291">
        <v>0</v>
      </c>
      <c r="G403" s="1">
        <f t="shared" si="7"/>
        <v>64</v>
      </c>
    </row>
    <row r="404" spans="2:7" x14ac:dyDescent="0.25">
      <c r="B404" s="270" t="s">
        <v>323</v>
      </c>
      <c r="C404" s="302" t="s">
        <v>377</v>
      </c>
      <c r="D404" s="274" t="s">
        <v>390</v>
      </c>
      <c r="E404" s="274" t="s">
        <v>424</v>
      </c>
      <c r="F404" s="291">
        <v>0</v>
      </c>
      <c r="G404" s="1">
        <f t="shared" si="7"/>
        <v>64</v>
      </c>
    </row>
    <row r="405" spans="2:7" x14ac:dyDescent="0.25">
      <c r="B405" s="270" t="s">
        <v>323</v>
      </c>
      <c r="C405" s="302" t="s">
        <v>379</v>
      </c>
      <c r="D405" s="274" t="s">
        <v>391</v>
      </c>
      <c r="E405" s="274" t="s">
        <v>413</v>
      </c>
      <c r="F405" s="291">
        <v>0</v>
      </c>
      <c r="G405" s="1">
        <f t="shared" si="7"/>
        <v>64</v>
      </c>
    </row>
    <row r="406" spans="2:7" x14ac:dyDescent="0.25">
      <c r="B406" s="270" t="s">
        <v>323</v>
      </c>
      <c r="C406" s="302" t="s">
        <v>378</v>
      </c>
      <c r="D406" s="274" t="s">
        <v>392</v>
      </c>
      <c r="E406" s="274"/>
      <c r="F406" s="291">
        <v>0</v>
      </c>
      <c r="G406" s="1">
        <f t="shared" si="7"/>
        <v>0</v>
      </c>
    </row>
    <row r="407" spans="2:7" x14ac:dyDescent="0.25">
      <c r="B407" s="270" t="s">
        <v>323</v>
      </c>
      <c r="C407" s="302" t="s">
        <v>414</v>
      </c>
      <c r="D407" s="274" t="s">
        <v>415</v>
      </c>
      <c r="E407" s="274" t="s">
        <v>411</v>
      </c>
      <c r="F407" s="291">
        <v>0</v>
      </c>
      <c r="G407" s="1">
        <f t="shared" si="7"/>
        <v>63</v>
      </c>
    </row>
    <row r="408" spans="2:7" x14ac:dyDescent="0.25">
      <c r="B408" s="270" t="s">
        <v>323</v>
      </c>
      <c r="C408" s="302" t="s">
        <v>416</v>
      </c>
      <c r="D408" s="274" t="s">
        <v>411</v>
      </c>
      <c r="E408" s="274" t="s">
        <v>412</v>
      </c>
      <c r="F408" s="291">
        <v>0</v>
      </c>
      <c r="G408" s="1">
        <f t="shared" si="7"/>
        <v>63</v>
      </c>
    </row>
    <row r="409" spans="2:7" x14ac:dyDescent="0.25">
      <c r="B409" s="270" t="s">
        <v>323</v>
      </c>
      <c r="C409" s="302" t="s">
        <v>417</v>
      </c>
      <c r="D409" s="274" t="s">
        <v>415</v>
      </c>
      <c r="E409" s="274" t="s">
        <v>411</v>
      </c>
      <c r="F409" s="291">
        <v>0</v>
      </c>
      <c r="G409" s="1">
        <f t="shared" si="7"/>
        <v>63</v>
      </c>
    </row>
    <row r="410" spans="2:7" x14ac:dyDescent="0.25">
      <c r="B410" s="270" t="s">
        <v>323</v>
      </c>
      <c r="C410" s="302" t="s">
        <v>418</v>
      </c>
      <c r="D410" s="274" t="s">
        <v>391</v>
      </c>
      <c r="E410" s="274" t="s">
        <v>389</v>
      </c>
      <c r="F410" s="291">
        <v>0</v>
      </c>
      <c r="G410" s="1">
        <f t="shared" si="7"/>
        <v>64</v>
      </c>
    </row>
    <row r="411" spans="2:7" x14ac:dyDescent="0.25">
      <c r="B411" s="270" t="s">
        <v>336</v>
      </c>
      <c r="C411" s="302" t="s">
        <v>380</v>
      </c>
      <c r="D411" s="274" t="s">
        <v>381</v>
      </c>
      <c r="E411" s="274" t="s">
        <v>393</v>
      </c>
      <c r="F411" s="291">
        <v>0</v>
      </c>
      <c r="G411" s="1">
        <f t="shared" si="7"/>
        <v>61</v>
      </c>
    </row>
    <row r="412" spans="2:7" x14ac:dyDescent="0.25">
      <c r="B412" s="270" t="s">
        <v>336</v>
      </c>
      <c r="C412" s="302" t="s">
        <v>394</v>
      </c>
      <c r="D412" s="274" t="s">
        <v>393</v>
      </c>
      <c r="E412" s="274" t="s">
        <v>395</v>
      </c>
      <c r="F412" s="291">
        <v>0</v>
      </c>
      <c r="G412" s="1">
        <f t="shared" si="7"/>
        <v>61</v>
      </c>
    </row>
    <row r="413" spans="2:7" x14ac:dyDescent="0.25">
      <c r="B413" s="270" t="s">
        <v>336</v>
      </c>
      <c r="C413" s="302" t="s">
        <v>423</v>
      </c>
      <c r="D413" s="274" t="s">
        <v>395</v>
      </c>
      <c r="E413" s="274" t="s">
        <v>395</v>
      </c>
      <c r="F413" s="291">
        <v>0</v>
      </c>
      <c r="G413" s="1">
        <f t="shared" si="7"/>
        <v>61</v>
      </c>
    </row>
    <row r="414" spans="2:7" x14ac:dyDescent="0.25">
      <c r="B414" s="270" t="s">
        <v>336</v>
      </c>
      <c r="C414" s="302" t="s">
        <v>396</v>
      </c>
      <c r="D414" s="274" t="s">
        <v>397</v>
      </c>
      <c r="E414" s="274" t="s">
        <v>398</v>
      </c>
      <c r="F414" s="291">
        <v>0</v>
      </c>
      <c r="G414" s="1">
        <f t="shared" si="7"/>
        <v>62</v>
      </c>
    </row>
    <row r="415" spans="2:7" x14ac:dyDescent="0.25">
      <c r="B415" s="270" t="s">
        <v>336</v>
      </c>
      <c r="C415" s="302" t="s">
        <v>399</v>
      </c>
      <c r="D415" s="274" t="s">
        <v>398</v>
      </c>
      <c r="E415" s="274" t="s">
        <v>400</v>
      </c>
      <c r="F415" s="291">
        <v>0</v>
      </c>
      <c r="G415" s="1">
        <f t="shared" si="7"/>
        <v>62</v>
      </c>
    </row>
    <row r="416" spans="2:7" x14ac:dyDescent="0.25">
      <c r="B416" s="270" t="s">
        <v>336</v>
      </c>
      <c r="C416" s="302" t="s">
        <v>401</v>
      </c>
      <c r="D416" s="274" t="s">
        <v>402</v>
      </c>
      <c r="E416" s="274" t="s">
        <v>403</v>
      </c>
      <c r="F416" s="291">
        <v>0</v>
      </c>
      <c r="G416" s="1">
        <f t="shared" si="7"/>
        <v>62</v>
      </c>
    </row>
    <row r="417" spans="2:7" x14ac:dyDescent="0.25">
      <c r="B417" s="270" t="s">
        <v>336</v>
      </c>
      <c r="C417" s="302" t="s">
        <v>419</v>
      </c>
      <c r="D417" s="274" t="s">
        <v>390</v>
      </c>
      <c r="E417" s="274" t="s">
        <v>405</v>
      </c>
      <c r="F417" s="291">
        <v>0</v>
      </c>
      <c r="G417" s="1">
        <f t="shared" si="7"/>
        <v>63</v>
      </c>
    </row>
    <row r="418" spans="2:7" x14ac:dyDescent="0.25">
      <c r="B418" s="270" t="s">
        <v>336</v>
      </c>
      <c r="C418" s="302" t="s">
        <v>404</v>
      </c>
      <c r="D418" s="274" t="s">
        <v>405</v>
      </c>
      <c r="E418" s="274" t="s">
        <v>415</v>
      </c>
      <c r="F418" s="291">
        <v>0</v>
      </c>
      <c r="G418" s="1">
        <f t="shared" si="7"/>
        <v>63</v>
      </c>
    </row>
    <row r="419" spans="2:7" x14ac:dyDescent="0.25">
      <c r="B419" s="270" t="s">
        <v>336</v>
      </c>
      <c r="C419" s="302" t="s">
        <v>372</v>
      </c>
      <c r="D419" s="274" t="s">
        <v>382</v>
      </c>
      <c r="E419" s="274" t="s">
        <v>406</v>
      </c>
      <c r="F419" s="291">
        <v>0</v>
      </c>
      <c r="G419" s="1">
        <f t="shared" si="7"/>
        <v>61</v>
      </c>
    </row>
    <row r="420" spans="2:7" x14ac:dyDescent="0.25">
      <c r="B420" s="270" t="s">
        <v>336</v>
      </c>
      <c r="C420" s="302" t="s">
        <v>407</v>
      </c>
      <c r="D420" s="274" t="s">
        <v>406</v>
      </c>
      <c r="E420" s="274" t="s">
        <v>381</v>
      </c>
      <c r="F420" s="291">
        <v>0</v>
      </c>
      <c r="G420" s="1">
        <f t="shared" si="7"/>
        <v>61</v>
      </c>
    </row>
    <row r="421" spans="2:7" x14ac:dyDescent="0.25">
      <c r="B421" s="270" t="s">
        <v>336</v>
      </c>
      <c r="C421" s="302" t="s">
        <v>383</v>
      </c>
      <c r="D421" s="274" t="s">
        <v>384</v>
      </c>
      <c r="E421" s="274" t="s">
        <v>397</v>
      </c>
      <c r="F421" s="291">
        <v>0</v>
      </c>
      <c r="G421" s="1">
        <f t="shared" si="7"/>
        <v>62</v>
      </c>
    </row>
    <row r="422" spans="2:7" x14ac:dyDescent="0.25">
      <c r="B422" s="270" t="s">
        <v>336</v>
      </c>
      <c r="C422" s="302" t="s">
        <v>420</v>
      </c>
      <c r="D422" s="274" t="s">
        <v>384</v>
      </c>
      <c r="E422" s="274" t="s">
        <v>384</v>
      </c>
      <c r="F422" s="291">
        <v>0</v>
      </c>
      <c r="G422" s="1">
        <f t="shared" si="7"/>
        <v>62</v>
      </c>
    </row>
    <row r="423" spans="2:7" x14ac:dyDescent="0.25">
      <c r="B423" s="270" t="s">
        <v>336</v>
      </c>
      <c r="C423" s="302" t="s">
        <v>373</v>
      </c>
      <c r="D423" s="274" t="s">
        <v>382</v>
      </c>
      <c r="E423" s="274" t="s">
        <v>397</v>
      </c>
      <c r="F423" s="291">
        <v>0</v>
      </c>
      <c r="G423" s="1">
        <f t="shared" si="7"/>
        <v>62</v>
      </c>
    </row>
    <row r="424" spans="2:7" x14ac:dyDescent="0.25">
      <c r="B424" s="270" t="s">
        <v>336</v>
      </c>
      <c r="C424" s="302" t="s">
        <v>409</v>
      </c>
      <c r="D424" s="274" t="s">
        <v>400</v>
      </c>
      <c r="E424" s="274" t="s">
        <v>402</v>
      </c>
      <c r="F424" s="291">
        <v>0</v>
      </c>
      <c r="G424" s="1">
        <f t="shared" si="7"/>
        <v>62</v>
      </c>
    </row>
    <row r="425" spans="2:7" x14ac:dyDescent="0.25">
      <c r="B425" s="270" t="s">
        <v>336</v>
      </c>
      <c r="C425" s="302" t="s">
        <v>375</v>
      </c>
      <c r="D425" s="274" t="s">
        <v>385</v>
      </c>
      <c r="E425" s="274" t="s">
        <v>390</v>
      </c>
      <c r="F425" s="291">
        <v>0</v>
      </c>
      <c r="G425" s="1">
        <f t="shared" si="7"/>
        <v>63</v>
      </c>
    </row>
    <row r="426" spans="2:7" x14ac:dyDescent="0.25">
      <c r="B426" s="270" t="s">
        <v>336</v>
      </c>
      <c r="C426" s="302" t="s">
        <v>374</v>
      </c>
      <c r="D426" s="274" t="s">
        <v>402</v>
      </c>
      <c r="E426" s="274" t="s">
        <v>403</v>
      </c>
      <c r="F426" s="291">
        <v>0</v>
      </c>
      <c r="G426" s="1">
        <f t="shared" si="7"/>
        <v>62</v>
      </c>
    </row>
    <row r="427" spans="2:7" x14ac:dyDescent="0.25">
      <c r="B427" s="270" t="s">
        <v>336</v>
      </c>
      <c r="C427" s="302" t="s">
        <v>386</v>
      </c>
      <c r="D427" s="274" t="s">
        <v>387</v>
      </c>
      <c r="E427" s="274" t="s">
        <v>387</v>
      </c>
      <c r="F427" s="291">
        <v>0</v>
      </c>
      <c r="G427" s="1">
        <f t="shared" si="7"/>
        <v>63</v>
      </c>
    </row>
    <row r="428" spans="2:7" x14ac:dyDescent="0.25">
      <c r="B428" s="270" t="s">
        <v>336</v>
      </c>
      <c r="C428" s="302" t="s">
        <v>388</v>
      </c>
      <c r="D428" s="274" t="s">
        <v>389</v>
      </c>
      <c r="E428" s="274" t="s">
        <v>421</v>
      </c>
      <c r="F428" s="291">
        <v>0</v>
      </c>
      <c r="G428" s="1">
        <f t="shared" si="7"/>
        <v>64</v>
      </c>
    </row>
    <row r="429" spans="2:7" x14ac:dyDescent="0.25">
      <c r="B429" s="270" t="s">
        <v>336</v>
      </c>
      <c r="C429" s="302" t="s">
        <v>410</v>
      </c>
      <c r="D429" s="274" t="s">
        <v>411</v>
      </c>
      <c r="E429" s="274" t="s">
        <v>412</v>
      </c>
      <c r="F429" s="291">
        <v>0</v>
      </c>
      <c r="G429" s="1">
        <f t="shared" si="7"/>
        <v>63</v>
      </c>
    </row>
    <row r="430" spans="2:7" x14ac:dyDescent="0.25">
      <c r="B430" s="270" t="s">
        <v>336</v>
      </c>
      <c r="C430" s="302" t="s">
        <v>422</v>
      </c>
      <c r="D430" s="274" t="s">
        <v>412</v>
      </c>
      <c r="E430" s="274" t="s">
        <v>391</v>
      </c>
      <c r="F430" s="291">
        <v>0</v>
      </c>
      <c r="G430" s="1">
        <f t="shared" si="7"/>
        <v>64</v>
      </c>
    </row>
    <row r="431" spans="2:7" x14ac:dyDescent="0.25">
      <c r="B431" s="270" t="s">
        <v>336</v>
      </c>
      <c r="C431" s="302" t="s">
        <v>377</v>
      </c>
      <c r="D431" s="274" t="s">
        <v>390</v>
      </c>
      <c r="E431" s="274" t="s">
        <v>424</v>
      </c>
      <c r="F431" s="291">
        <v>0</v>
      </c>
      <c r="G431" s="1">
        <f t="shared" si="7"/>
        <v>64</v>
      </c>
    </row>
    <row r="432" spans="2:7" x14ac:dyDescent="0.25">
      <c r="B432" s="270" t="s">
        <v>336</v>
      </c>
      <c r="C432" s="302" t="s">
        <v>379</v>
      </c>
      <c r="D432" s="274" t="s">
        <v>391</v>
      </c>
      <c r="E432" s="274" t="s">
        <v>413</v>
      </c>
      <c r="F432" s="291">
        <v>0</v>
      </c>
      <c r="G432" s="1">
        <f t="shared" si="7"/>
        <v>64</v>
      </c>
    </row>
    <row r="433" spans="2:7" x14ac:dyDescent="0.25">
      <c r="B433" s="270" t="s">
        <v>336</v>
      </c>
      <c r="C433" s="302" t="s">
        <v>378</v>
      </c>
      <c r="D433" s="274" t="s">
        <v>392</v>
      </c>
      <c r="E433" s="274"/>
      <c r="F433" s="291">
        <v>0</v>
      </c>
      <c r="G433" s="1">
        <f t="shared" si="7"/>
        <v>0</v>
      </c>
    </row>
    <row r="434" spans="2:7" x14ac:dyDescent="0.25">
      <c r="B434" s="270" t="s">
        <v>336</v>
      </c>
      <c r="C434" s="302" t="s">
        <v>414</v>
      </c>
      <c r="D434" s="274" t="s">
        <v>415</v>
      </c>
      <c r="E434" s="274" t="s">
        <v>411</v>
      </c>
      <c r="F434" s="291">
        <v>0</v>
      </c>
      <c r="G434" s="1">
        <f t="shared" si="7"/>
        <v>63</v>
      </c>
    </row>
    <row r="435" spans="2:7" x14ac:dyDescent="0.25">
      <c r="B435" s="270" t="s">
        <v>336</v>
      </c>
      <c r="C435" s="302" t="s">
        <v>416</v>
      </c>
      <c r="D435" s="274" t="s">
        <v>411</v>
      </c>
      <c r="E435" s="274" t="s">
        <v>411</v>
      </c>
      <c r="F435" s="291">
        <v>0</v>
      </c>
      <c r="G435" s="1">
        <f t="shared" si="7"/>
        <v>63</v>
      </c>
    </row>
    <row r="436" spans="2:7" x14ac:dyDescent="0.25">
      <c r="B436" s="270" t="s">
        <v>336</v>
      </c>
      <c r="C436" s="302" t="s">
        <v>417</v>
      </c>
      <c r="D436" s="274" t="s">
        <v>415</v>
      </c>
      <c r="E436" s="274" t="s">
        <v>411</v>
      </c>
      <c r="F436" s="291">
        <v>0</v>
      </c>
      <c r="G436" s="1">
        <f t="shared" si="7"/>
        <v>63</v>
      </c>
    </row>
    <row r="437" spans="2:7" x14ac:dyDescent="0.25">
      <c r="B437" s="270" t="s">
        <v>336</v>
      </c>
      <c r="C437" s="302" t="s">
        <v>418</v>
      </c>
      <c r="D437" s="274" t="s">
        <v>391</v>
      </c>
      <c r="E437" s="274" t="s">
        <v>389</v>
      </c>
      <c r="F437" s="291">
        <v>0</v>
      </c>
      <c r="G437" s="1">
        <f t="shared" si="7"/>
        <v>64</v>
      </c>
    </row>
    <row r="438" spans="2:7" x14ac:dyDescent="0.25">
      <c r="B438" s="270" t="s">
        <v>321</v>
      </c>
      <c r="C438" s="302" t="s">
        <v>380</v>
      </c>
      <c r="D438" s="274" t="s">
        <v>381</v>
      </c>
      <c r="E438" s="274" t="s">
        <v>381</v>
      </c>
      <c r="F438" s="291">
        <v>0</v>
      </c>
      <c r="G438" s="1">
        <f t="shared" si="7"/>
        <v>61</v>
      </c>
    </row>
    <row r="439" spans="2:7" x14ac:dyDescent="0.25">
      <c r="B439" s="270" t="s">
        <v>321</v>
      </c>
      <c r="C439" s="302" t="s">
        <v>394</v>
      </c>
      <c r="D439" s="274" t="s">
        <v>393</v>
      </c>
      <c r="E439" s="274" t="s">
        <v>395</v>
      </c>
      <c r="F439" s="291">
        <v>0</v>
      </c>
      <c r="G439" s="1">
        <f t="shared" si="7"/>
        <v>61</v>
      </c>
    </row>
    <row r="440" spans="2:7" x14ac:dyDescent="0.25">
      <c r="B440" s="270" t="s">
        <v>321</v>
      </c>
      <c r="C440" s="302" t="s">
        <v>423</v>
      </c>
      <c r="D440" s="274" t="s">
        <v>395</v>
      </c>
      <c r="E440" s="274" t="s">
        <v>384</v>
      </c>
      <c r="F440" s="291">
        <v>0</v>
      </c>
      <c r="G440" s="1">
        <f t="shared" si="7"/>
        <v>62</v>
      </c>
    </row>
    <row r="441" spans="2:7" x14ac:dyDescent="0.25">
      <c r="B441" s="270" t="s">
        <v>321</v>
      </c>
      <c r="C441" s="302" t="s">
        <v>396</v>
      </c>
      <c r="D441" s="274" t="s">
        <v>397</v>
      </c>
      <c r="E441" s="274" t="s">
        <v>398</v>
      </c>
      <c r="F441" s="291">
        <v>0</v>
      </c>
      <c r="G441" s="1">
        <f t="shared" si="7"/>
        <v>62</v>
      </c>
    </row>
    <row r="442" spans="2:7" x14ac:dyDescent="0.25">
      <c r="B442" s="270" t="s">
        <v>321</v>
      </c>
      <c r="C442" s="302" t="s">
        <v>399</v>
      </c>
      <c r="D442" s="274" t="s">
        <v>398</v>
      </c>
      <c r="E442" s="274" t="s">
        <v>400</v>
      </c>
      <c r="F442" s="291">
        <v>0</v>
      </c>
      <c r="G442" s="1">
        <f t="shared" si="7"/>
        <v>62</v>
      </c>
    </row>
    <row r="443" spans="2:7" x14ac:dyDescent="0.25">
      <c r="B443" s="270" t="s">
        <v>321</v>
      </c>
      <c r="C443" s="302" t="s">
        <v>401</v>
      </c>
      <c r="D443" s="274" t="s">
        <v>402</v>
      </c>
      <c r="E443" s="274" t="s">
        <v>402</v>
      </c>
      <c r="F443" s="291">
        <v>0</v>
      </c>
      <c r="G443" s="1">
        <f t="shared" si="7"/>
        <v>62</v>
      </c>
    </row>
    <row r="444" spans="2:7" x14ac:dyDescent="0.25">
      <c r="B444" s="270" t="s">
        <v>321</v>
      </c>
      <c r="C444" s="302" t="s">
        <v>419</v>
      </c>
      <c r="D444" s="274" t="s">
        <v>390</v>
      </c>
      <c r="E444" s="274" t="s">
        <v>405</v>
      </c>
      <c r="F444" s="291">
        <v>0</v>
      </c>
      <c r="G444" s="1">
        <f t="shared" si="7"/>
        <v>63</v>
      </c>
    </row>
    <row r="445" spans="2:7" x14ac:dyDescent="0.25">
      <c r="B445" s="270" t="s">
        <v>321</v>
      </c>
      <c r="C445" s="302" t="s">
        <v>404</v>
      </c>
      <c r="D445" s="274" t="s">
        <v>405</v>
      </c>
      <c r="E445" s="274" t="s">
        <v>405</v>
      </c>
      <c r="F445" s="291">
        <v>0</v>
      </c>
      <c r="G445" s="1">
        <f t="shared" si="7"/>
        <v>63</v>
      </c>
    </row>
    <row r="446" spans="2:7" x14ac:dyDescent="0.25">
      <c r="B446" s="270" t="s">
        <v>321</v>
      </c>
      <c r="C446" s="302" t="s">
        <v>372</v>
      </c>
      <c r="D446" s="274" t="s">
        <v>382</v>
      </c>
      <c r="E446" s="274" t="s">
        <v>406</v>
      </c>
      <c r="F446" s="291">
        <v>0</v>
      </c>
      <c r="G446" s="1">
        <f t="shared" si="7"/>
        <v>61</v>
      </c>
    </row>
    <row r="447" spans="2:7" x14ac:dyDescent="0.25">
      <c r="B447" s="270" t="s">
        <v>321</v>
      </c>
      <c r="C447" s="302" t="s">
        <v>407</v>
      </c>
      <c r="D447" s="274" t="s">
        <v>406</v>
      </c>
      <c r="E447" s="274" t="s">
        <v>406</v>
      </c>
      <c r="F447" s="291">
        <v>0</v>
      </c>
      <c r="G447" s="1">
        <f t="shared" si="7"/>
        <v>61</v>
      </c>
    </row>
    <row r="448" spans="2:7" x14ac:dyDescent="0.25">
      <c r="B448" s="270" t="s">
        <v>321</v>
      </c>
      <c r="C448" s="302" t="s">
        <v>383</v>
      </c>
      <c r="D448" s="274" t="s">
        <v>384</v>
      </c>
      <c r="E448" s="274" t="s">
        <v>397</v>
      </c>
      <c r="F448" s="291">
        <v>0</v>
      </c>
      <c r="G448" s="1">
        <f t="shared" si="7"/>
        <v>62</v>
      </c>
    </row>
    <row r="449" spans="2:7" x14ac:dyDescent="0.25">
      <c r="B449" s="270" t="s">
        <v>321</v>
      </c>
      <c r="C449" s="302" t="s">
        <v>420</v>
      </c>
      <c r="D449" s="274" t="s">
        <v>384</v>
      </c>
      <c r="E449" s="274" t="s">
        <v>384</v>
      </c>
      <c r="F449" s="291">
        <v>0</v>
      </c>
      <c r="G449" s="1">
        <f t="shared" si="7"/>
        <v>62</v>
      </c>
    </row>
    <row r="450" spans="2:7" x14ac:dyDescent="0.25">
      <c r="B450" s="270" t="s">
        <v>321</v>
      </c>
      <c r="C450" s="302" t="s">
        <v>373</v>
      </c>
      <c r="D450" s="274" t="s">
        <v>382</v>
      </c>
      <c r="E450" s="274" t="s">
        <v>397</v>
      </c>
      <c r="F450" s="291">
        <v>0</v>
      </c>
      <c r="G450" s="1">
        <f t="shared" si="7"/>
        <v>62</v>
      </c>
    </row>
    <row r="451" spans="2:7" x14ac:dyDescent="0.25">
      <c r="B451" s="270" t="s">
        <v>321</v>
      </c>
      <c r="C451" s="302" t="s">
        <v>409</v>
      </c>
      <c r="D451" s="274" t="s">
        <v>400</v>
      </c>
      <c r="E451" s="274" t="s">
        <v>402</v>
      </c>
      <c r="F451" s="291">
        <v>0</v>
      </c>
      <c r="G451" s="1">
        <f t="shared" si="7"/>
        <v>62</v>
      </c>
    </row>
    <row r="452" spans="2:7" x14ac:dyDescent="0.25">
      <c r="B452" s="270" t="s">
        <v>321</v>
      </c>
      <c r="C452" s="302" t="s">
        <v>375</v>
      </c>
      <c r="D452" s="274" t="s">
        <v>385</v>
      </c>
      <c r="E452" s="274" t="s">
        <v>390</v>
      </c>
      <c r="F452" s="291">
        <v>0</v>
      </c>
      <c r="G452" s="1">
        <f t="shared" si="7"/>
        <v>63</v>
      </c>
    </row>
    <row r="453" spans="2:7" x14ac:dyDescent="0.25">
      <c r="B453" s="270" t="s">
        <v>321</v>
      </c>
      <c r="C453" s="302" t="s">
        <v>374</v>
      </c>
      <c r="D453" s="274" t="s">
        <v>402</v>
      </c>
      <c r="E453" s="274" t="s">
        <v>403</v>
      </c>
      <c r="F453" s="291">
        <v>0</v>
      </c>
      <c r="G453" s="1">
        <f t="shared" si="7"/>
        <v>62</v>
      </c>
    </row>
    <row r="454" spans="2:7" x14ac:dyDescent="0.25">
      <c r="B454" s="270" t="s">
        <v>321</v>
      </c>
      <c r="C454" s="302" t="s">
        <v>386</v>
      </c>
      <c r="D454" s="274" t="s">
        <v>387</v>
      </c>
      <c r="E454" s="274" t="s">
        <v>390</v>
      </c>
      <c r="F454" s="291">
        <v>0</v>
      </c>
      <c r="G454" s="1">
        <f t="shared" si="7"/>
        <v>63</v>
      </c>
    </row>
    <row r="455" spans="2:7" x14ac:dyDescent="0.25">
      <c r="B455" s="270" t="s">
        <v>321</v>
      </c>
      <c r="C455" s="302" t="s">
        <v>388</v>
      </c>
      <c r="D455" s="274" t="s">
        <v>389</v>
      </c>
      <c r="E455" s="274" t="s">
        <v>421</v>
      </c>
      <c r="F455" s="291">
        <v>0</v>
      </c>
      <c r="G455" s="1">
        <f t="shared" ref="G455:G518" si="8">IF(ISBLANK(E455),E455,TRUNC((E455-start)/7,0)+1)</f>
        <v>64</v>
      </c>
    </row>
    <row r="456" spans="2:7" x14ac:dyDescent="0.25">
      <c r="B456" s="270" t="s">
        <v>321</v>
      </c>
      <c r="C456" s="302" t="s">
        <v>410</v>
      </c>
      <c r="D456" s="274" t="s">
        <v>411</v>
      </c>
      <c r="E456" s="274" t="s">
        <v>412</v>
      </c>
      <c r="F456" s="291">
        <v>0</v>
      </c>
      <c r="G456" s="1">
        <f t="shared" si="8"/>
        <v>63</v>
      </c>
    </row>
    <row r="457" spans="2:7" x14ac:dyDescent="0.25">
      <c r="B457" s="270" t="s">
        <v>321</v>
      </c>
      <c r="C457" s="302" t="s">
        <v>422</v>
      </c>
      <c r="D457" s="274" t="s">
        <v>412</v>
      </c>
      <c r="E457" s="274" t="s">
        <v>391</v>
      </c>
      <c r="F457" s="291">
        <v>0</v>
      </c>
      <c r="G457" s="1">
        <f t="shared" si="8"/>
        <v>64</v>
      </c>
    </row>
    <row r="458" spans="2:7" x14ac:dyDescent="0.25">
      <c r="B458" s="270" t="s">
        <v>321</v>
      </c>
      <c r="C458" s="302" t="s">
        <v>377</v>
      </c>
      <c r="D458" s="274" t="s">
        <v>390</v>
      </c>
      <c r="E458" s="274"/>
      <c r="F458" s="291">
        <v>0</v>
      </c>
      <c r="G458" s="1">
        <f t="shared" si="8"/>
        <v>0</v>
      </c>
    </row>
    <row r="459" spans="2:7" x14ac:dyDescent="0.25">
      <c r="B459" s="270" t="s">
        <v>321</v>
      </c>
      <c r="C459" s="302" t="s">
        <v>379</v>
      </c>
      <c r="D459" s="274" t="s">
        <v>391</v>
      </c>
      <c r="E459" s="274" t="s">
        <v>413</v>
      </c>
      <c r="F459" s="291">
        <v>0</v>
      </c>
      <c r="G459" s="1">
        <f t="shared" si="8"/>
        <v>64</v>
      </c>
    </row>
    <row r="460" spans="2:7" x14ac:dyDescent="0.25">
      <c r="B460" s="270" t="s">
        <v>321</v>
      </c>
      <c r="C460" s="302" t="s">
        <v>378</v>
      </c>
      <c r="D460" s="274" t="s">
        <v>392</v>
      </c>
      <c r="E460" s="274"/>
      <c r="F460" s="291">
        <v>0</v>
      </c>
      <c r="G460" s="1">
        <f t="shared" si="8"/>
        <v>0</v>
      </c>
    </row>
    <row r="461" spans="2:7" x14ac:dyDescent="0.25">
      <c r="B461" s="270" t="s">
        <v>321</v>
      </c>
      <c r="C461" s="302" t="s">
        <v>414</v>
      </c>
      <c r="D461" s="274" t="s">
        <v>415</v>
      </c>
      <c r="E461" s="274" t="s">
        <v>411</v>
      </c>
      <c r="F461" s="291">
        <v>0</v>
      </c>
      <c r="G461" s="1">
        <f t="shared" si="8"/>
        <v>63</v>
      </c>
    </row>
    <row r="462" spans="2:7" x14ac:dyDescent="0.25">
      <c r="B462" s="270" t="s">
        <v>321</v>
      </c>
      <c r="C462" s="302" t="s">
        <v>416</v>
      </c>
      <c r="D462" s="274" t="s">
        <v>411</v>
      </c>
      <c r="E462" s="274" t="s">
        <v>412</v>
      </c>
      <c r="F462" s="291">
        <v>0</v>
      </c>
      <c r="G462" s="1">
        <f t="shared" si="8"/>
        <v>63</v>
      </c>
    </row>
    <row r="463" spans="2:7" x14ac:dyDescent="0.25">
      <c r="B463" s="270" t="s">
        <v>321</v>
      </c>
      <c r="C463" s="302" t="s">
        <v>417</v>
      </c>
      <c r="D463" s="274" t="s">
        <v>415</v>
      </c>
      <c r="E463" s="274" t="s">
        <v>411</v>
      </c>
      <c r="F463" s="291">
        <v>0</v>
      </c>
      <c r="G463" s="1">
        <f t="shared" si="8"/>
        <v>63</v>
      </c>
    </row>
    <row r="464" spans="2:7" x14ac:dyDescent="0.25">
      <c r="B464" s="270" t="s">
        <v>321</v>
      </c>
      <c r="C464" s="302" t="s">
        <v>418</v>
      </c>
      <c r="D464" s="274" t="s">
        <v>391</v>
      </c>
      <c r="E464" s="274" t="s">
        <v>389</v>
      </c>
      <c r="F464" s="291">
        <v>0</v>
      </c>
      <c r="G464" s="1">
        <f t="shared" si="8"/>
        <v>64</v>
      </c>
    </row>
    <row r="465" spans="2:7" x14ac:dyDescent="0.25">
      <c r="B465" s="270" t="s">
        <v>355</v>
      </c>
      <c r="C465" s="302" t="s">
        <v>380</v>
      </c>
      <c r="D465" s="274" t="s">
        <v>381</v>
      </c>
      <c r="E465" s="274" t="s">
        <v>393</v>
      </c>
      <c r="F465" s="291">
        <v>0</v>
      </c>
      <c r="G465" s="1">
        <f t="shared" si="8"/>
        <v>61</v>
      </c>
    </row>
    <row r="466" spans="2:7" x14ac:dyDescent="0.25">
      <c r="B466" s="270" t="s">
        <v>355</v>
      </c>
      <c r="C466" s="302" t="s">
        <v>423</v>
      </c>
      <c r="D466" s="274" t="s">
        <v>395</v>
      </c>
      <c r="E466" s="274" t="s">
        <v>384</v>
      </c>
      <c r="F466" s="291">
        <v>0</v>
      </c>
      <c r="G466" s="1">
        <f t="shared" si="8"/>
        <v>62</v>
      </c>
    </row>
    <row r="467" spans="2:7" x14ac:dyDescent="0.25">
      <c r="B467" s="270" t="s">
        <v>355</v>
      </c>
      <c r="C467" s="302" t="s">
        <v>396</v>
      </c>
      <c r="D467" s="274" t="s">
        <v>397</v>
      </c>
      <c r="E467" s="274" t="s">
        <v>398</v>
      </c>
      <c r="F467" s="291">
        <v>0</v>
      </c>
      <c r="G467" s="1">
        <f t="shared" si="8"/>
        <v>62</v>
      </c>
    </row>
    <row r="468" spans="2:7" x14ac:dyDescent="0.25">
      <c r="B468" s="270" t="s">
        <v>355</v>
      </c>
      <c r="C468" s="302" t="s">
        <v>419</v>
      </c>
      <c r="D468" s="274" t="s">
        <v>390</v>
      </c>
      <c r="E468" s="274" t="s">
        <v>405</v>
      </c>
      <c r="F468" s="291">
        <v>0</v>
      </c>
      <c r="G468" s="1">
        <f t="shared" si="8"/>
        <v>63</v>
      </c>
    </row>
    <row r="469" spans="2:7" x14ac:dyDescent="0.25">
      <c r="B469" s="270" t="s">
        <v>355</v>
      </c>
      <c r="C469" s="302" t="s">
        <v>404</v>
      </c>
      <c r="D469" s="274" t="s">
        <v>405</v>
      </c>
      <c r="E469" s="274" t="s">
        <v>405</v>
      </c>
      <c r="F469" s="291">
        <v>0</v>
      </c>
      <c r="G469" s="1">
        <f t="shared" si="8"/>
        <v>63</v>
      </c>
    </row>
    <row r="470" spans="2:7" x14ac:dyDescent="0.25">
      <c r="B470" s="270" t="s">
        <v>355</v>
      </c>
      <c r="C470" s="302" t="s">
        <v>372</v>
      </c>
      <c r="D470" s="274" t="s">
        <v>382</v>
      </c>
      <c r="E470" s="274" t="s">
        <v>406</v>
      </c>
      <c r="F470" s="291">
        <v>0</v>
      </c>
      <c r="G470" s="1">
        <f t="shared" si="8"/>
        <v>61</v>
      </c>
    </row>
    <row r="471" spans="2:7" x14ac:dyDescent="0.25">
      <c r="B471" s="270" t="s">
        <v>355</v>
      </c>
      <c r="C471" s="302" t="s">
        <v>407</v>
      </c>
      <c r="D471" s="274" t="s">
        <v>406</v>
      </c>
      <c r="E471" s="274" t="s">
        <v>381</v>
      </c>
      <c r="F471" s="291">
        <v>0</v>
      </c>
      <c r="G471" s="1">
        <f t="shared" si="8"/>
        <v>61</v>
      </c>
    </row>
    <row r="472" spans="2:7" x14ac:dyDescent="0.25">
      <c r="B472" s="270" t="s">
        <v>355</v>
      </c>
      <c r="C472" s="302" t="s">
        <v>383</v>
      </c>
      <c r="D472" s="274" t="s">
        <v>384</v>
      </c>
      <c r="E472" s="274" t="s">
        <v>397</v>
      </c>
      <c r="F472" s="291">
        <v>0</v>
      </c>
      <c r="G472" s="1">
        <f t="shared" si="8"/>
        <v>62</v>
      </c>
    </row>
    <row r="473" spans="2:7" x14ac:dyDescent="0.25">
      <c r="B473" s="270" t="s">
        <v>355</v>
      </c>
      <c r="C473" s="302" t="s">
        <v>420</v>
      </c>
      <c r="D473" s="274" t="s">
        <v>384</v>
      </c>
      <c r="E473" s="274" t="s">
        <v>384</v>
      </c>
      <c r="F473" s="291">
        <v>0</v>
      </c>
      <c r="G473" s="1">
        <f t="shared" si="8"/>
        <v>62</v>
      </c>
    </row>
    <row r="474" spans="2:7" x14ac:dyDescent="0.25">
      <c r="B474" s="270" t="s">
        <v>355</v>
      </c>
      <c r="C474" s="302" t="s">
        <v>373</v>
      </c>
      <c r="D474" s="274" t="s">
        <v>382</v>
      </c>
      <c r="E474" s="274" t="s">
        <v>397</v>
      </c>
      <c r="F474" s="291">
        <v>0</v>
      </c>
      <c r="G474" s="1">
        <f t="shared" si="8"/>
        <v>62</v>
      </c>
    </row>
    <row r="475" spans="2:7" x14ac:dyDescent="0.25">
      <c r="B475" s="270" t="s">
        <v>355</v>
      </c>
      <c r="C475" s="302" t="s">
        <v>375</v>
      </c>
      <c r="D475" s="274" t="s">
        <v>385</v>
      </c>
      <c r="E475" s="274" t="s">
        <v>390</v>
      </c>
      <c r="F475" s="291">
        <v>0</v>
      </c>
      <c r="G475" s="1">
        <f t="shared" si="8"/>
        <v>63</v>
      </c>
    </row>
    <row r="476" spans="2:7" x14ac:dyDescent="0.25">
      <c r="B476" s="270" t="s">
        <v>355</v>
      </c>
      <c r="C476" s="302" t="s">
        <v>374</v>
      </c>
      <c r="D476" s="274" t="s">
        <v>402</v>
      </c>
      <c r="E476" s="274" t="s">
        <v>403</v>
      </c>
      <c r="F476" s="291">
        <v>0</v>
      </c>
      <c r="G476" s="1">
        <f t="shared" si="8"/>
        <v>62</v>
      </c>
    </row>
    <row r="477" spans="2:7" x14ac:dyDescent="0.25">
      <c r="B477" s="270" t="s">
        <v>355</v>
      </c>
      <c r="C477" s="302" t="s">
        <v>386</v>
      </c>
      <c r="D477" s="274" t="s">
        <v>387</v>
      </c>
      <c r="E477" s="274" t="s">
        <v>390</v>
      </c>
      <c r="F477" s="291">
        <v>0</v>
      </c>
      <c r="G477" s="1">
        <f t="shared" si="8"/>
        <v>63</v>
      </c>
    </row>
    <row r="478" spans="2:7" x14ac:dyDescent="0.25">
      <c r="B478" s="270" t="s">
        <v>355</v>
      </c>
      <c r="C478" s="302" t="s">
        <v>388</v>
      </c>
      <c r="D478" s="274" t="s">
        <v>389</v>
      </c>
      <c r="E478" s="274" t="s">
        <v>421</v>
      </c>
      <c r="F478" s="291">
        <v>0</v>
      </c>
      <c r="G478" s="1">
        <f t="shared" si="8"/>
        <v>64</v>
      </c>
    </row>
    <row r="479" spans="2:7" x14ac:dyDescent="0.25">
      <c r="B479" s="270" t="s">
        <v>355</v>
      </c>
      <c r="C479" s="302" t="s">
        <v>410</v>
      </c>
      <c r="D479" s="274" t="s">
        <v>411</v>
      </c>
      <c r="E479" s="274" t="s">
        <v>412</v>
      </c>
      <c r="F479" s="291">
        <v>0</v>
      </c>
      <c r="G479" s="1">
        <f t="shared" si="8"/>
        <v>63</v>
      </c>
    </row>
    <row r="480" spans="2:7" x14ac:dyDescent="0.25">
      <c r="B480" s="270" t="s">
        <v>355</v>
      </c>
      <c r="C480" s="302" t="s">
        <v>422</v>
      </c>
      <c r="D480" s="274" t="s">
        <v>412</v>
      </c>
      <c r="E480" s="274" t="s">
        <v>391</v>
      </c>
      <c r="F480" s="291">
        <v>0</v>
      </c>
      <c r="G480" s="1">
        <f t="shared" si="8"/>
        <v>64</v>
      </c>
    </row>
    <row r="481" spans="2:7" x14ac:dyDescent="0.25">
      <c r="B481" s="270" t="s">
        <v>355</v>
      </c>
      <c r="C481" s="302" t="s">
        <v>377</v>
      </c>
      <c r="D481" s="274" t="s">
        <v>390</v>
      </c>
      <c r="E481" s="274"/>
      <c r="F481" s="291">
        <v>0</v>
      </c>
      <c r="G481" s="1">
        <f t="shared" si="8"/>
        <v>0</v>
      </c>
    </row>
    <row r="482" spans="2:7" x14ac:dyDescent="0.25">
      <c r="B482" s="270" t="s">
        <v>355</v>
      </c>
      <c r="C482" s="302" t="s">
        <v>379</v>
      </c>
      <c r="D482" s="274" t="s">
        <v>391</v>
      </c>
      <c r="E482" s="274" t="s">
        <v>389</v>
      </c>
      <c r="F482" s="291">
        <v>0</v>
      </c>
      <c r="G482" s="1">
        <f t="shared" si="8"/>
        <v>64</v>
      </c>
    </row>
    <row r="483" spans="2:7" x14ac:dyDescent="0.25">
      <c r="B483" s="270" t="s">
        <v>355</v>
      </c>
      <c r="C483" s="302" t="s">
        <v>378</v>
      </c>
      <c r="D483" s="274" t="s">
        <v>392</v>
      </c>
      <c r="E483" s="274"/>
      <c r="F483" s="291">
        <v>0</v>
      </c>
      <c r="G483" s="1">
        <f t="shared" si="8"/>
        <v>0</v>
      </c>
    </row>
    <row r="484" spans="2:7" x14ac:dyDescent="0.25">
      <c r="B484" s="270" t="s">
        <v>355</v>
      </c>
      <c r="C484" s="302" t="s">
        <v>414</v>
      </c>
      <c r="D484" s="274" t="s">
        <v>415</v>
      </c>
      <c r="E484" s="274" t="s">
        <v>411</v>
      </c>
      <c r="F484" s="291">
        <v>0</v>
      </c>
      <c r="G484" s="1">
        <f t="shared" si="8"/>
        <v>63</v>
      </c>
    </row>
    <row r="485" spans="2:7" x14ac:dyDescent="0.25">
      <c r="B485" s="270" t="s">
        <v>355</v>
      </c>
      <c r="C485" s="302" t="s">
        <v>416</v>
      </c>
      <c r="D485" s="274" t="s">
        <v>411</v>
      </c>
      <c r="E485" s="274" t="s">
        <v>412</v>
      </c>
      <c r="F485" s="291">
        <v>0</v>
      </c>
      <c r="G485" s="1">
        <f t="shared" si="8"/>
        <v>63</v>
      </c>
    </row>
    <row r="486" spans="2:7" x14ac:dyDescent="0.25">
      <c r="B486" s="270" t="s">
        <v>355</v>
      </c>
      <c r="C486" s="302" t="s">
        <v>417</v>
      </c>
      <c r="D486" s="274" t="s">
        <v>415</v>
      </c>
      <c r="E486" s="274" t="s">
        <v>412</v>
      </c>
      <c r="F486" s="291">
        <v>0</v>
      </c>
      <c r="G486" s="1">
        <f t="shared" si="8"/>
        <v>63</v>
      </c>
    </row>
    <row r="487" spans="2:7" x14ac:dyDescent="0.25">
      <c r="B487" s="270" t="s">
        <v>353</v>
      </c>
      <c r="C487" s="302" t="s">
        <v>380</v>
      </c>
      <c r="D487" s="274" t="s">
        <v>381</v>
      </c>
      <c r="E487" s="274" t="s">
        <v>393</v>
      </c>
      <c r="F487" s="291">
        <v>0</v>
      </c>
      <c r="G487" s="1">
        <f t="shared" si="8"/>
        <v>61</v>
      </c>
    </row>
    <row r="488" spans="2:7" x14ac:dyDescent="0.25">
      <c r="B488" s="270" t="s">
        <v>353</v>
      </c>
      <c r="C488" s="302" t="s">
        <v>394</v>
      </c>
      <c r="D488" s="274" t="s">
        <v>393</v>
      </c>
      <c r="E488" s="274" t="s">
        <v>395</v>
      </c>
      <c r="F488" s="291">
        <v>0</v>
      </c>
      <c r="G488" s="1">
        <f t="shared" si="8"/>
        <v>61</v>
      </c>
    </row>
    <row r="489" spans="2:7" x14ac:dyDescent="0.25">
      <c r="B489" s="270" t="s">
        <v>353</v>
      </c>
      <c r="C489" s="302" t="s">
        <v>423</v>
      </c>
      <c r="D489" s="274" t="s">
        <v>395</v>
      </c>
      <c r="E489" s="274" t="s">
        <v>384</v>
      </c>
      <c r="F489" s="291">
        <v>0</v>
      </c>
      <c r="G489" s="1">
        <f t="shared" si="8"/>
        <v>62</v>
      </c>
    </row>
    <row r="490" spans="2:7" x14ac:dyDescent="0.25">
      <c r="B490" s="270" t="s">
        <v>353</v>
      </c>
      <c r="C490" s="302" t="s">
        <v>396</v>
      </c>
      <c r="D490" s="274" t="s">
        <v>397</v>
      </c>
      <c r="E490" s="274" t="s">
        <v>398</v>
      </c>
      <c r="F490" s="291">
        <v>0</v>
      </c>
      <c r="G490" s="1">
        <f t="shared" si="8"/>
        <v>62</v>
      </c>
    </row>
    <row r="491" spans="2:7" x14ac:dyDescent="0.25">
      <c r="B491" s="270" t="s">
        <v>353</v>
      </c>
      <c r="C491" s="302" t="s">
        <v>399</v>
      </c>
      <c r="D491" s="274" t="s">
        <v>398</v>
      </c>
      <c r="E491" s="274" t="s">
        <v>398</v>
      </c>
      <c r="F491" s="291">
        <v>0</v>
      </c>
      <c r="G491" s="1">
        <f t="shared" si="8"/>
        <v>62</v>
      </c>
    </row>
    <row r="492" spans="2:7" x14ac:dyDescent="0.25">
      <c r="B492" s="270" t="s">
        <v>353</v>
      </c>
      <c r="C492" s="302" t="s">
        <v>401</v>
      </c>
      <c r="D492" s="274" t="s">
        <v>402</v>
      </c>
      <c r="E492" s="274" t="s">
        <v>403</v>
      </c>
      <c r="F492" s="291">
        <v>0</v>
      </c>
      <c r="G492" s="1">
        <f t="shared" si="8"/>
        <v>62</v>
      </c>
    </row>
    <row r="493" spans="2:7" x14ac:dyDescent="0.25">
      <c r="B493" s="270" t="s">
        <v>353</v>
      </c>
      <c r="C493" s="302" t="s">
        <v>419</v>
      </c>
      <c r="D493" s="274" t="s">
        <v>390</v>
      </c>
      <c r="E493" s="274" t="s">
        <v>405</v>
      </c>
      <c r="F493" s="291">
        <v>0</v>
      </c>
      <c r="G493" s="1">
        <f t="shared" si="8"/>
        <v>63</v>
      </c>
    </row>
    <row r="494" spans="2:7" x14ac:dyDescent="0.25">
      <c r="B494" s="270" t="s">
        <v>353</v>
      </c>
      <c r="C494" s="302" t="s">
        <v>404</v>
      </c>
      <c r="D494" s="274" t="s">
        <v>405</v>
      </c>
      <c r="E494" s="274" t="s">
        <v>405</v>
      </c>
      <c r="F494" s="291">
        <v>0</v>
      </c>
      <c r="G494" s="1">
        <f t="shared" si="8"/>
        <v>63</v>
      </c>
    </row>
    <row r="495" spans="2:7" x14ac:dyDescent="0.25">
      <c r="B495" s="270" t="s">
        <v>353</v>
      </c>
      <c r="C495" s="302" t="s">
        <v>372</v>
      </c>
      <c r="D495" s="274" t="s">
        <v>382</v>
      </c>
      <c r="E495" s="274" t="s">
        <v>406</v>
      </c>
      <c r="F495" s="291">
        <v>0</v>
      </c>
      <c r="G495" s="1">
        <f t="shared" si="8"/>
        <v>61</v>
      </c>
    </row>
    <row r="496" spans="2:7" x14ac:dyDescent="0.25">
      <c r="B496" s="270" t="s">
        <v>353</v>
      </c>
      <c r="C496" s="302" t="s">
        <v>407</v>
      </c>
      <c r="D496" s="274" t="s">
        <v>406</v>
      </c>
      <c r="E496" s="274" t="s">
        <v>381</v>
      </c>
      <c r="F496" s="291">
        <v>0</v>
      </c>
      <c r="G496" s="1">
        <f t="shared" si="8"/>
        <v>61</v>
      </c>
    </row>
    <row r="497" spans="2:7" x14ac:dyDescent="0.25">
      <c r="B497" s="270" t="s">
        <v>353</v>
      </c>
      <c r="C497" s="302" t="s">
        <v>383</v>
      </c>
      <c r="D497" s="274" t="s">
        <v>384</v>
      </c>
      <c r="E497" s="274" t="s">
        <v>384</v>
      </c>
      <c r="F497" s="291">
        <v>0</v>
      </c>
      <c r="G497" s="1">
        <f t="shared" si="8"/>
        <v>62</v>
      </c>
    </row>
    <row r="498" spans="2:7" x14ac:dyDescent="0.25">
      <c r="B498" s="270" t="s">
        <v>353</v>
      </c>
      <c r="C498" s="302" t="s">
        <v>420</v>
      </c>
      <c r="D498" s="274" t="s">
        <v>384</v>
      </c>
      <c r="E498" s="274" t="s">
        <v>384</v>
      </c>
      <c r="F498" s="291">
        <v>0</v>
      </c>
      <c r="G498" s="1">
        <f t="shared" si="8"/>
        <v>62</v>
      </c>
    </row>
    <row r="499" spans="2:7" x14ac:dyDescent="0.25">
      <c r="B499" s="270" t="s">
        <v>353</v>
      </c>
      <c r="C499" s="302" t="s">
        <v>373</v>
      </c>
      <c r="D499" s="274" t="s">
        <v>382</v>
      </c>
      <c r="E499" s="274" t="s">
        <v>397</v>
      </c>
      <c r="F499" s="291">
        <v>0</v>
      </c>
      <c r="G499" s="1">
        <f t="shared" si="8"/>
        <v>62</v>
      </c>
    </row>
    <row r="500" spans="2:7" x14ac:dyDescent="0.25">
      <c r="B500" s="270" t="s">
        <v>353</v>
      </c>
      <c r="C500" s="302" t="s">
        <v>409</v>
      </c>
      <c r="D500" s="274" t="s">
        <v>400</v>
      </c>
      <c r="E500" s="274" t="s">
        <v>402</v>
      </c>
      <c r="F500" s="291">
        <v>0</v>
      </c>
      <c r="G500" s="1">
        <f t="shared" si="8"/>
        <v>62</v>
      </c>
    </row>
    <row r="501" spans="2:7" x14ac:dyDescent="0.25">
      <c r="B501" s="270" t="s">
        <v>353</v>
      </c>
      <c r="C501" s="302" t="s">
        <v>375</v>
      </c>
      <c r="D501" s="274" t="s">
        <v>385</v>
      </c>
      <c r="E501" s="274" t="s">
        <v>390</v>
      </c>
      <c r="F501" s="291">
        <v>0</v>
      </c>
      <c r="G501" s="1">
        <f t="shared" si="8"/>
        <v>63</v>
      </c>
    </row>
    <row r="502" spans="2:7" x14ac:dyDescent="0.25">
      <c r="B502" s="270" t="s">
        <v>353</v>
      </c>
      <c r="C502" s="302" t="s">
        <v>374</v>
      </c>
      <c r="D502" s="274" t="s">
        <v>402</v>
      </c>
      <c r="E502" s="274" t="s">
        <v>403</v>
      </c>
      <c r="F502" s="291">
        <v>0</v>
      </c>
      <c r="G502" s="1">
        <f t="shared" si="8"/>
        <v>62</v>
      </c>
    </row>
    <row r="503" spans="2:7" x14ac:dyDescent="0.25">
      <c r="B503" s="270" t="s">
        <v>353</v>
      </c>
      <c r="C503" s="302" t="s">
        <v>386</v>
      </c>
      <c r="D503" s="274" t="s">
        <v>387</v>
      </c>
      <c r="E503" s="274" t="s">
        <v>387</v>
      </c>
      <c r="F503" s="291">
        <v>0</v>
      </c>
      <c r="G503" s="1">
        <f t="shared" si="8"/>
        <v>63</v>
      </c>
    </row>
    <row r="504" spans="2:7" x14ac:dyDescent="0.25">
      <c r="B504" s="270" t="s">
        <v>353</v>
      </c>
      <c r="C504" s="302" t="s">
        <v>388</v>
      </c>
      <c r="D504" s="274" t="s">
        <v>389</v>
      </c>
      <c r="E504" s="274" t="s">
        <v>421</v>
      </c>
      <c r="F504" s="291">
        <v>0</v>
      </c>
      <c r="G504" s="1">
        <f t="shared" si="8"/>
        <v>64</v>
      </c>
    </row>
    <row r="505" spans="2:7" x14ac:dyDescent="0.25">
      <c r="B505" s="270" t="s">
        <v>353</v>
      </c>
      <c r="C505" s="302" t="s">
        <v>410</v>
      </c>
      <c r="D505" s="274" t="s">
        <v>411</v>
      </c>
      <c r="E505" s="274" t="s">
        <v>411</v>
      </c>
      <c r="F505" s="291">
        <v>0</v>
      </c>
      <c r="G505" s="1">
        <f t="shared" si="8"/>
        <v>63</v>
      </c>
    </row>
    <row r="506" spans="2:7" x14ac:dyDescent="0.25">
      <c r="B506" s="270" t="s">
        <v>353</v>
      </c>
      <c r="C506" s="302" t="s">
        <v>422</v>
      </c>
      <c r="D506" s="274" t="s">
        <v>412</v>
      </c>
      <c r="E506" s="274" t="s">
        <v>391</v>
      </c>
      <c r="F506" s="291">
        <v>0</v>
      </c>
      <c r="G506" s="1">
        <f t="shared" si="8"/>
        <v>64</v>
      </c>
    </row>
    <row r="507" spans="2:7" x14ac:dyDescent="0.25">
      <c r="B507" s="270" t="s">
        <v>353</v>
      </c>
      <c r="C507" s="302" t="s">
        <v>377</v>
      </c>
      <c r="D507" s="274" t="s">
        <v>390</v>
      </c>
      <c r="E507" s="274"/>
      <c r="F507" s="291">
        <v>0</v>
      </c>
      <c r="G507" s="1">
        <f t="shared" si="8"/>
        <v>0</v>
      </c>
    </row>
    <row r="508" spans="2:7" x14ac:dyDescent="0.25">
      <c r="B508" s="270" t="s">
        <v>353</v>
      </c>
      <c r="C508" s="302" t="s">
        <v>379</v>
      </c>
      <c r="D508" s="274" t="s">
        <v>391</v>
      </c>
      <c r="E508" s="274" t="s">
        <v>413</v>
      </c>
      <c r="F508" s="291">
        <v>0</v>
      </c>
      <c r="G508" s="1">
        <f t="shared" si="8"/>
        <v>64</v>
      </c>
    </row>
    <row r="509" spans="2:7" x14ac:dyDescent="0.25">
      <c r="B509" s="270" t="s">
        <v>353</v>
      </c>
      <c r="C509" s="302" t="s">
        <v>378</v>
      </c>
      <c r="D509" s="274" t="s">
        <v>392</v>
      </c>
      <c r="E509" s="274"/>
      <c r="F509" s="291">
        <v>0</v>
      </c>
      <c r="G509" s="1">
        <f t="shared" si="8"/>
        <v>0</v>
      </c>
    </row>
    <row r="510" spans="2:7" x14ac:dyDescent="0.25">
      <c r="B510" s="270" t="s">
        <v>353</v>
      </c>
      <c r="C510" s="302" t="s">
        <v>414</v>
      </c>
      <c r="D510" s="274" t="s">
        <v>415</v>
      </c>
      <c r="E510" s="274" t="s">
        <v>411</v>
      </c>
      <c r="F510" s="291">
        <v>0</v>
      </c>
      <c r="G510" s="1">
        <f t="shared" si="8"/>
        <v>63</v>
      </c>
    </row>
    <row r="511" spans="2:7" x14ac:dyDescent="0.25">
      <c r="B511" s="270" t="s">
        <v>353</v>
      </c>
      <c r="C511" s="302" t="s">
        <v>416</v>
      </c>
      <c r="D511" s="274" t="s">
        <v>411</v>
      </c>
      <c r="E511" s="274" t="s">
        <v>412</v>
      </c>
      <c r="F511" s="291">
        <v>0</v>
      </c>
      <c r="G511" s="1">
        <f t="shared" si="8"/>
        <v>63</v>
      </c>
    </row>
    <row r="512" spans="2:7" x14ac:dyDescent="0.25">
      <c r="B512" s="270" t="s">
        <v>353</v>
      </c>
      <c r="C512" s="302" t="s">
        <v>417</v>
      </c>
      <c r="D512" s="274" t="s">
        <v>415</v>
      </c>
      <c r="E512" s="274" t="s">
        <v>415</v>
      </c>
      <c r="F512" s="291">
        <v>0</v>
      </c>
      <c r="G512" s="1">
        <f t="shared" si="8"/>
        <v>63</v>
      </c>
    </row>
    <row r="513" spans="2:7" x14ac:dyDescent="0.25">
      <c r="B513" s="270" t="s">
        <v>353</v>
      </c>
      <c r="C513" s="302" t="s">
        <v>418</v>
      </c>
      <c r="D513" s="274" t="s">
        <v>391</v>
      </c>
      <c r="E513" s="274" t="s">
        <v>389</v>
      </c>
      <c r="F513" s="291">
        <v>0</v>
      </c>
      <c r="G513" s="1">
        <f t="shared" si="8"/>
        <v>64</v>
      </c>
    </row>
    <row r="514" spans="2:7" x14ac:dyDescent="0.25">
      <c r="B514" s="270" t="s">
        <v>370</v>
      </c>
      <c r="C514" s="302" t="s">
        <v>380</v>
      </c>
      <c r="D514" s="274" t="s">
        <v>381</v>
      </c>
      <c r="E514" s="274" t="s">
        <v>393</v>
      </c>
      <c r="F514" s="291">
        <v>0</v>
      </c>
      <c r="G514" s="1">
        <f t="shared" si="8"/>
        <v>61</v>
      </c>
    </row>
    <row r="515" spans="2:7" x14ac:dyDescent="0.25">
      <c r="B515" s="270" t="s">
        <v>370</v>
      </c>
      <c r="C515" s="302" t="s">
        <v>394</v>
      </c>
      <c r="D515" s="274" t="s">
        <v>393</v>
      </c>
      <c r="E515" s="274" t="s">
        <v>395</v>
      </c>
      <c r="F515" s="291">
        <v>0</v>
      </c>
      <c r="G515" s="1">
        <f t="shared" si="8"/>
        <v>61</v>
      </c>
    </row>
    <row r="516" spans="2:7" x14ac:dyDescent="0.25">
      <c r="B516" s="270" t="s">
        <v>370</v>
      </c>
      <c r="C516" s="302" t="s">
        <v>423</v>
      </c>
      <c r="D516" s="274" t="s">
        <v>395</v>
      </c>
      <c r="E516" s="274" t="s">
        <v>384</v>
      </c>
      <c r="F516" s="291">
        <v>0</v>
      </c>
      <c r="G516" s="1">
        <f t="shared" si="8"/>
        <v>62</v>
      </c>
    </row>
    <row r="517" spans="2:7" x14ac:dyDescent="0.25">
      <c r="B517" s="270" t="s">
        <v>370</v>
      </c>
      <c r="C517" s="302" t="s">
        <v>396</v>
      </c>
      <c r="D517" s="274" t="s">
        <v>397</v>
      </c>
      <c r="E517" s="274" t="s">
        <v>398</v>
      </c>
      <c r="F517" s="291">
        <v>0</v>
      </c>
      <c r="G517" s="1">
        <f t="shared" si="8"/>
        <v>62</v>
      </c>
    </row>
    <row r="518" spans="2:7" x14ac:dyDescent="0.25">
      <c r="B518" s="270" t="s">
        <v>370</v>
      </c>
      <c r="C518" s="302" t="s">
        <v>399</v>
      </c>
      <c r="D518" s="274" t="s">
        <v>398</v>
      </c>
      <c r="E518" s="274" t="s">
        <v>400</v>
      </c>
      <c r="F518" s="291">
        <v>0</v>
      </c>
      <c r="G518" s="1">
        <f t="shared" si="8"/>
        <v>62</v>
      </c>
    </row>
    <row r="519" spans="2:7" x14ac:dyDescent="0.25">
      <c r="B519" s="270" t="s">
        <v>370</v>
      </c>
      <c r="C519" s="302" t="s">
        <v>401</v>
      </c>
      <c r="D519" s="274" t="s">
        <v>402</v>
      </c>
      <c r="E519" s="274" t="s">
        <v>403</v>
      </c>
      <c r="F519" s="291">
        <v>0</v>
      </c>
      <c r="G519" s="1">
        <f t="shared" ref="G519:G582" si="9">IF(ISBLANK(E519),E519,TRUNC((E519-start)/7,0)+1)</f>
        <v>62</v>
      </c>
    </row>
    <row r="520" spans="2:7" x14ac:dyDescent="0.25">
      <c r="B520" s="270" t="s">
        <v>370</v>
      </c>
      <c r="C520" s="302" t="s">
        <v>419</v>
      </c>
      <c r="D520" s="274" t="s">
        <v>390</v>
      </c>
      <c r="E520" s="274" t="s">
        <v>405</v>
      </c>
      <c r="F520" s="291">
        <v>0</v>
      </c>
      <c r="G520" s="1">
        <f t="shared" si="9"/>
        <v>63</v>
      </c>
    </row>
    <row r="521" spans="2:7" x14ac:dyDescent="0.25">
      <c r="B521" s="270" t="s">
        <v>370</v>
      </c>
      <c r="C521" s="302" t="s">
        <v>404</v>
      </c>
      <c r="D521" s="274" t="s">
        <v>405</v>
      </c>
      <c r="E521" s="274" t="s">
        <v>415</v>
      </c>
      <c r="F521" s="291">
        <v>0</v>
      </c>
      <c r="G521" s="1">
        <f t="shared" si="9"/>
        <v>63</v>
      </c>
    </row>
    <row r="522" spans="2:7" x14ac:dyDescent="0.25">
      <c r="B522" s="270" t="s">
        <v>370</v>
      </c>
      <c r="C522" s="302" t="s">
        <v>372</v>
      </c>
      <c r="D522" s="274" t="s">
        <v>382</v>
      </c>
      <c r="E522" s="274" t="s">
        <v>406</v>
      </c>
      <c r="F522" s="291">
        <v>0</v>
      </c>
      <c r="G522" s="1">
        <f t="shared" si="9"/>
        <v>61</v>
      </c>
    </row>
    <row r="523" spans="2:7" x14ac:dyDescent="0.25">
      <c r="B523" s="270" t="s">
        <v>370</v>
      </c>
      <c r="C523" s="302" t="s">
        <v>407</v>
      </c>
      <c r="D523" s="274" t="s">
        <v>406</v>
      </c>
      <c r="E523" s="274" t="s">
        <v>381</v>
      </c>
      <c r="F523" s="291">
        <v>0</v>
      </c>
      <c r="G523" s="1">
        <f t="shared" si="9"/>
        <v>61</v>
      </c>
    </row>
    <row r="524" spans="2:7" x14ac:dyDescent="0.25">
      <c r="B524" s="270" t="s">
        <v>370</v>
      </c>
      <c r="C524" s="302" t="s">
        <v>383</v>
      </c>
      <c r="D524" s="274" t="s">
        <v>384</v>
      </c>
      <c r="E524" s="274" t="s">
        <v>408</v>
      </c>
      <c r="F524" s="291">
        <v>0</v>
      </c>
      <c r="G524" s="1">
        <f t="shared" si="9"/>
        <v>62</v>
      </c>
    </row>
    <row r="525" spans="2:7" x14ac:dyDescent="0.25">
      <c r="B525" s="270" t="s">
        <v>370</v>
      </c>
      <c r="C525" s="302" t="s">
        <v>420</v>
      </c>
      <c r="D525" s="274" t="s">
        <v>384</v>
      </c>
      <c r="E525" s="274" t="s">
        <v>384</v>
      </c>
      <c r="F525" s="291">
        <v>0</v>
      </c>
      <c r="G525" s="1">
        <f t="shared" si="9"/>
        <v>62</v>
      </c>
    </row>
    <row r="526" spans="2:7" x14ac:dyDescent="0.25">
      <c r="B526" s="270" t="s">
        <v>370</v>
      </c>
      <c r="C526" s="302" t="s">
        <v>373</v>
      </c>
      <c r="D526" s="274" t="s">
        <v>382</v>
      </c>
      <c r="E526" s="274" t="s">
        <v>397</v>
      </c>
      <c r="F526" s="291">
        <v>0</v>
      </c>
      <c r="G526" s="1">
        <f t="shared" si="9"/>
        <v>62</v>
      </c>
    </row>
    <row r="527" spans="2:7" x14ac:dyDescent="0.25">
      <c r="B527" s="270" t="s">
        <v>370</v>
      </c>
      <c r="C527" s="302" t="s">
        <v>409</v>
      </c>
      <c r="D527" s="274" t="s">
        <v>400</v>
      </c>
      <c r="E527" s="274" t="s">
        <v>402</v>
      </c>
      <c r="F527" s="291">
        <v>0</v>
      </c>
      <c r="G527" s="1">
        <f t="shared" si="9"/>
        <v>62</v>
      </c>
    </row>
    <row r="528" spans="2:7" x14ac:dyDescent="0.25">
      <c r="B528" s="270" t="s">
        <v>370</v>
      </c>
      <c r="C528" s="302" t="s">
        <v>375</v>
      </c>
      <c r="D528" s="274" t="s">
        <v>385</v>
      </c>
      <c r="E528" s="274" t="s">
        <v>390</v>
      </c>
      <c r="F528" s="291">
        <v>0</v>
      </c>
      <c r="G528" s="1">
        <f t="shared" si="9"/>
        <v>63</v>
      </c>
    </row>
    <row r="529" spans="2:7" x14ac:dyDescent="0.25">
      <c r="B529" s="270" t="s">
        <v>370</v>
      </c>
      <c r="C529" s="302" t="s">
        <v>374</v>
      </c>
      <c r="D529" s="274" t="s">
        <v>402</v>
      </c>
      <c r="E529" s="274" t="s">
        <v>403</v>
      </c>
      <c r="F529" s="291">
        <v>0</v>
      </c>
      <c r="G529" s="1">
        <f t="shared" si="9"/>
        <v>62</v>
      </c>
    </row>
    <row r="530" spans="2:7" x14ac:dyDescent="0.25">
      <c r="B530" s="270" t="s">
        <v>370</v>
      </c>
      <c r="C530" s="302" t="s">
        <v>386</v>
      </c>
      <c r="D530" s="274" t="s">
        <v>387</v>
      </c>
      <c r="E530" s="274" t="s">
        <v>390</v>
      </c>
      <c r="F530" s="291">
        <v>0</v>
      </c>
      <c r="G530" s="1">
        <f t="shared" si="9"/>
        <v>63</v>
      </c>
    </row>
    <row r="531" spans="2:7" x14ac:dyDescent="0.25">
      <c r="B531" s="270" t="s">
        <v>370</v>
      </c>
      <c r="C531" s="302" t="s">
        <v>388</v>
      </c>
      <c r="D531" s="274" t="s">
        <v>389</v>
      </c>
      <c r="E531" s="274" t="s">
        <v>421</v>
      </c>
      <c r="F531" s="291">
        <v>0</v>
      </c>
      <c r="G531" s="1">
        <f t="shared" si="9"/>
        <v>64</v>
      </c>
    </row>
    <row r="532" spans="2:7" x14ac:dyDescent="0.25">
      <c r="B532" s="270" t="s">
        <v>370</v>
      </c>
      <c r="C532" s="302" t="s">
        <v>410</v>
      </c>
      <c r="D532" s="274" t="s">
        <v>411</v>
      </c>
      <c r="E532" s="274" t="s">
        <v>412</v>
      </c>
      <c r="F532" s="291">
        <v>0</v>
      </c>
      <c r="G532" s="1">
        <f t="shared" si="9"/>
        <v>63</v>
      </c>
    </row>
    <row r="533" spans="2:7" x14ac:dyDescent="0.25">
      <c r="B533" s="270" t="s">
        <v>370</v>
      </c>
      <c r="C533" s="302" t="s">
        <v>422</v>
      </c>
      <c r="D533" s="274" t="s">
        <v>412</v>
      </c>
      <c r="E533" s="274" t="s">
        <v>391</v>
      </c>
      <c r="F533" s="291">
        <v>0</v>
      </c>
      <c r="G533" s="1">
        <f t="shared" si="9"/>
        <v>64</v>
      </c>
    </row>
    <row r="534" spans="2:7" x14ac:dyDescent="0.25">
      <c r="B534" s="270" t="s">
        <v>370</v>
      </c>
      <c r="C534" s="302" t="s">
        <v>377</v>
      </c>
      <c r="D534" s="274" t="s">
        <v>390</v>
      </c>
      <c r="E534" s="274" t="s">
        <v>424</v>
      </c>
      <c r="F534" s="291">
        <v>0</v>
      </c>
      <c r="G534" s="1">
        <f t="shared" si="9"/>
        <v>64</v>
      </c>
    </row>
    <row r="535" spans="2:7" x14ac:dyDescent="0.25">
      <c r="B535" s="270" t="s">
        <v>370</v>
      </c>
      <c r="C535" s="302" t="s">
        <v>379</v>
      </c>
      <c r="D535" s="274" t="s">
        <v>391</v>
      </c>
      <c r="E535" s="274" t="s">
        <v>413</v>
      </c>
      <c r="F535" s="291">
        <v>0</v>
      </c>
      <c r="G535" s="1">
        <f t="shared" si="9"/>
        <v>64</v>
      </c>
    </row>
    <row r="536" spans="2:7" x14ac:dyDescent="0.25">
      <c r="B536" s="270" t="s">
        <v>370</v>
      </c>
      <c r="C536" s="302" t="s">
        <v>378</v>
      </c>
      <c r="D536" s="274" t="s">
        <v>392</v>
      </c>
      <c r="E536" s="274"/>
      <c r="F536" s="291">
        <v>0</v>
      </c>
      <c r="G536" s="1">
        <f t="shared" si="9"/>
        <v>0</v>
      </c>
    </row>
    <row r="537" spans="2:7" x14ac:dyDescent="0.25">
      <c r="B537" s="270" t="s">
        <v>370</v>
      </c>
      <c r="C537" s="302" t="s">
        <v>414</v>
      </c>
      <c r="D537" s="274" t="s">
        <v>415</v>
      </c>
      <c r="E537" s="274" t="s">
        <v>411</v>
      </c>
      <c r="F537" s="291">
        <v>0</v>
      </c>
      <c r="G537" s="1">
        <f t="shared" si="9"/>
        <v>63</v>
      </c>
    </row>
    <row r="538" spans="2:7" x14ac:dyDescent="0.25">
      <c r="B538" s="270" t="s">
        <v>370</v>
      </c>
      <c r="C538" s="302" t="s">
        <v>416</v>
      </c>
      <c r="D538" s="274" t="s">
        <v>411</v>
      </c>
      <c r="E538" s="274" t="s">
        <v>412</v>
      </c>
      <c r="F538" s="291">
        <v>0</v>
      </c>
      <c r="G538" s="1">
        <f t="shared" si="9"/>
        <v>63</v>
      </c>
    </row>
    <row r="539" spans="2:7" x14ac:dyDescent="0.25">
      <c r="B539" s="270" t="s">
        <v>370</v>
      </c>
      <c r="C539" s="302" t="s">
        <v>417</v>
      </c>
      <c r="D539" s="274" t="s">
        <v>415</v>
      </c>
      <c r="E539" s="274" t="s">
        <v>411</v>
      </c>
      <c r="F539" s="291">
        <v>0</v>
      </c>
      <c r="G539" s="1">
        <f t="shared" si="9"/>
        <v>63</v>
      </c>
    </row>
    <row r="540" spans="2:7" x14ac:dyDescent="0.25">
      <c r="B540" s="270" t="s">
        <v>370</v>
      </c>
      <c r="C540" s="302" t="s">
        <v>418</v>
      </c>
      <c r="D540" s="274" t="s">
        <v>391</v>
      </c>
      <c r="E540" s="274" t="s">
        <v>389</v>
      </c>
      <c r="F540" s="291">
        <v>0</v>
      </c>
      <c r="G540" s="1">
        <f t="shared" si="9"/>
        <v>64</v>
      </c>
    </row>
    <row r="541" spans="2:7" x14ac:dyDescent="0.25">
      <c r="B541" s="270" t="s">
        <v>368</v>
      </c>
      <c r="C541" s="302" t="s">
        <v>380</v>
      </c>
      <c r="D541" s="274" t="s">
        <v>381</v>
      </c>
      <c r="E541" s="274" t="s">
        <v>395</v>
      </c>
      <c r="F541" s="291">
        <v>0</v>
      </c>
      <c r="G541" s="1">
        <f t="shared" si="9"/>
        <v>61</v>
      </c>
    </row>
    <row r="542" spans="2:7" x14ac:dyDescent="0.25">
      <c r="B542" s="270" t="s">
        <v>368</v>
      </c>
      <c r="C542" s="302" t="s">
        <v>394</v>
      </c>
      <c r="D542" s="274" t="s">
        <v>393</v>
      </c>
      <c r="E542" s="274" t="s">
        <v>395</v>
      </c>
      <c r="F542" s="291">
        <v>0</v>
      </c>
      <c r="G542" s="1">
        <f t="shared" si="9"/>
        <v>61</v>
      </c>
    </row>
    <row r="543" spans="2:7" x14ac:dyDescent="0.25">
      <c r="B543" s="270" t="s">
        <v>368</v>
      </c>
      <c r="C543" s="302" t="s">
        <v>423</v>
      </c>
      <c r="D543" s="274" t="s">
        <v>395</v>
      </c>
      <c r="E543" s="274" t="s">
        <v>384</v>
      </c>
      <c r="F543" s="291">
        <v>0</v>
      </c>
      <c r="G543" s="1">
        <f t="shared" si="9"/>
        <v>62</v>
      </c>
    </row>
    <row r="544" spans="2:7" x14ac:dyDescent="0.25">
      <c r="B544" s="270" t="s">
        <v>368</v>
      </c>
      <c r="C544" s="302" t="s">
        <v>396</v>
      </c>
      <c r="D544" s="274" t="s">
        <v>397</v>
      </c>
      <c r="E544" s="274" t="s">
        <v>398</v>
      </c>
      <c r="F544" s="291">
        <v>0</v>
      </c>
      <c r="G544" s="1">
        <f t="shared" si="9"/>
        <v>62</v>
      </c>
    </row>
    <row r="545" spans="2:7" x14ac:dyDescent="0.25">
      <c r="B545" s="270" t="s">
        <v>368</v>
      </c>
      <c r="C545" s="302" t="s">
        <v>399</v>
      </c>
      <c r="D545" s="274" t="s">
        <v>398</v>
      </c>
      <c r="E545" s="274" t="s">
        <v>400</v>
      </c>
      <c r="F545" s="291">
        <v>0</v>
      </c>
      <c r="G545" s="1">
        <f t="shared" si="9"/>
        <v>62</v>
      </c>
    </row>
    <row r="546" spans="2:7" x14ac:dyDescent="0.25">
      <c r="B546" s="270" t="s">
        <v>368</v>
      </c>
      <c r="C546" s="302" t="s">
        <v>401</v>
      </c>
      <c r="D546" s="274" t="s">
        <v>402</v>
      </c>
      <c r="E546" s="274" t="s">
        <v>403</v>
      </c>
      <c r="F546" s="291">
        <v>0</v>
      </c>
      <c r="G546" s="1">
        <f t="shared" si="9"/>
        <v>62</v>
      </c>
    </row>
    <row r="547" spans="2:7" x14ac:dyDescent="0.25">
      <c r="B547" s="270" t="s">
        <v>368</v>
      </c>
      <c r="C547" s="302" t="s">
        <v>419</v>
      </c>
      <c r="D547" s="274" t="s">
        <v>390</v>
      </c>
      <c r="E547" s="274" t="s">
        <v>405</v>
      </c>
      <c r="F547" s="291">
        <v>0</v>
      </c>
      <c r="G547" s="1">
        <f t="shared" si="9"/>
        <v>63</v>
      </c>
    </row>
    <row r="548" spans="2:7" x14ac:dyDescent="0.25">
      <c r="B548" s="270" t="s">
        <v>368</v>
      </c>
      <c r="C548" s="302" t="s">
        <v>404</v>
      </c>
      <c r="D548" s="274" t="s">
        <v>405</v>
      </c>
      <c r="E548" s="274" t="s">
        <v>405</v>
      </c>
      <c r="F548" s="291">
        <v>0</v>
      </c>
      <c r="G548" s="1">
        <f t="shared" si="9"/>
        <v>63</v>
      </c>
    </row>
    <row r="549" spans="2:7" x14ac:dyDescent="0.25">
      <c r="B549" s="270" t="s">
        <v>368</v>
      </c>
      <c r="C549" s="302" t="s">
        <v>372</v>
      </c>
      <c r="D549" s="274" t="s">
        <v>382</v>
      </c>
      <c r="E549" s="274"/>
      <c r="F549" s="291">
        <v>0</v>
      </c>
      <c r="G549" s="1">
        <f t="shared" si="9"/>
        <v>0</v>
      </c>
    </row>
    <row r="550" spans="2:7" x14ac:dyDescent="0.25">
      <c r="B550" s="270" t="s">
        <v>368</v>
      </c>
      <c r="C550" s="302" t="s">
        <v>383</v>
      </c>
      <c r="D550" s="274" t="s">
        <v>384</v>
      </c>
      <c r="E550" s="274" t="s">
        <v>400</v>
      </c>
      <c r="F550" s="291">
        <v>0</v>
      </c>
      <c r="G550" s="1">
        <f t="shared" si="9"/>
        <v>62</v>
      </c>
    </row>
    <row r="551" spans="2:7" x14ac:dyDescent="0.25">
      <c r="B551" s="270" t="s">
        <v>368</v>
      </c>
      <c r="C551" s="302" t="s">
        <v>409</v>
      </c>
      <c r="D551" s="274" t="s">
        <v>400</v>
      </c>
      <c r="E551" s="274" t="s">
        <v>402</v>
      </c>
      <c r="F551" s="291">
        <v>0</v>
      </c>
      <c r="G551" s="1">
        <f t="shared" si="9"/>
        <v>62</v>
      </c>
    </row>
    <row r="552" spans="2:7" x14ac:dyDescent="0.25">
      <c r="B552" s="270" t="s">
        <v>368</v>
      </c>
      <c r="C552" s="302" t="s">
        <v>375</v>
      </c>
      <c r="D552" s="274" t="s">
        <v>385</v>
      </c>
      <c r="E552" s="274"/>
      <c r="F552" s="291">
        <v>0</v>
      </c>
      <c r="G552" s="1">
        <f t="shared" si="9"/>
        <v>0</v>
      </c>
    </row>
    <row r="553" spans="2:7" x14ac:dyDescent="0.25">
      <c r="B553" s="270" t="s">
        <v>368</v>
      </c>
      <c r="C553" s="302" t="s">
        <v>374</v>
      </c>
      <c r="D553" s="274" t="s">
        <v>402</v>
      </c>
      <c r="E553" s="274" t="s">
        <v>403</v>
      </c>
      <c r="F553" s="291">
        <v>0</v>
      </c>
      <c r="G553" s="1">
        <f t="shared" si="9"/>
        <v>62</v>
      </c>
    </row>
    <row r="554" spans="2:7" x14ac:dyDescent="0.25">
      <c r="B554" s="270" t="s">
        <v>368</v>
      </c>
      <c r="C554" s="302" t="s">
        <v>386</v>
      </c>
      <c r="D554" s="274" t="s">
        <v>387</v>
      </c>
      <c r="E554" s="274"/>
      <c r="F554" s="291">
        <v>0</v>
      </c>
      <c r="G554" s="1">
        <f t="shared" si="9"/>
        <v>0</v>
      </c>
    </row>
    <row r="555" spans="2:7" x14ac:dyDescent="0.25">
      <c r="B555" s="270" t="s">
        <v>368</v>
      </c>
      <c r="C555" s="302" t="s">
        <v>388</v>
      </c>
      <c r="D555" s="274" t="s">
        <v>389</v>
      </c>
      <c r="E555" s="274" t="s">
        <v>421</v>
      </c>
      <c r="F555" s="291">
        <v>0</v>
      </c>
      <c r="G555" s="1">
        <f t="shared" si="9"/>
        <v>64</v>
      </c>
    </row>
    <row r="556" spans="2:7" x14ac:dyDescent="0.25">
      <c r="B556" s="270" t="s">
        <v>368</v>
      </c>
      <c r="C556" s="302" t="s">
        <v>410</v>
      </c>
      <c r="D556" s="274" t="s">
        <v>411</v>
      </c>
      <c r="E556" s="274" t="s">
        <v>412</v>
      </c>
      <c r="F556" s="291">
        <v>0</v>
      </c>
      <c r="G556" s="1">
        <f t="shared" si="9"/>
        <v>63</v>
      </c>
    </row>
    <row r="557" spans="2:7" x14ac:dyDescent="0.25">
      <c r="B557" s="270" t="s">
        <v>368</v>
      </c>
      <c r="C557" s="302" t="s">
        <v>377</v>
      </c>
      <c r="D557" s="274" t="s">
        <v>390</v>
      </c>
      <c r="E557" s="274"/>
      <c r="F557" s="291">
        <v>0</v>
      </c>
      <c r="G557" s="1">
        <f t="shared" si="9"/>
        <v>0</v>
      </c>
    </row>
    <row r="558" spans="2:7" x14ac:dyDescent="0.25">
      <c r="B558" s="270" t="s">
        <v>368</v>
      </c>
      <c r="C558" s="302" t="s">
        <v>379</v>
      </c>
      <c r="D558" s="274" t="s">
        <v>391</v>
      </c>
      <c r="E558" s="274"/>
      <c r="F558" s="291">
        <v>0</v>
      </c>
      <c r="G558" s="1">
        <f t="shared" si="9"/>
        <v>0</v>
      </c>
    </row>
    <row r="559" spans="2:7" x14ac:dyDescent="0.25">
      <c r="B559" s="270" t="s">
        <v>368</v>
      </c>
      <c r="C559" s="302" t="s">
        <v>378</v>
      </c>
      <c r="D559" s="274" t="s">
        <v>392</v>
      </c>
      <c r="E559" s="274"/>
      <c r="F559" s="291">
        <v>0</v>
      </c>
      <c r="G559" s="1">
        <f t="shared" si="9"/>
        <v>0</v>
      </c>
    </row>
    <row r="560" spans="2:7" x14ac:dyDescent="0.25">
      <c r="B560" s="270" t="s">
        <v>368</v>
      </c>
      <c r="C560" s="302" t="s">
        <v>418</v>
      </c>
      <c r="D560" s="274" t="s">
        <v>391</v>
      </c>
      <c r="E560" s="274" t="s">
        <v>389</v>
      </c>
      <c r="F560" s="291">
        <v>0</v>
      </c>
      <c r="G560" s="1">
        <f t="shared" si="9"/>
        <v>64</v>
      </c>
    </row>
    <row r="561" spans="2:7" x14ac:dyDescent="0.25">
      <c r="B561" s="270" t="s">
        <v>364</v>
      </c>
      <c r="C561" s="302" t="s">
        <v>380</v>
      </c>
      <c r="D561" s="274" t="s">
        <v>381</v>
      </c>
      <c r="E561" s="274"/>
      <c r="F561" s="291">
        <v>0</v>
      </c>
      <c r="G561" s="1">
        <f t="shared" si="9"/>
        <v>0</v>
      </c>
    </row>
    <row r="562" spans="2:7" x14ac:dyDescent="0.25">
      <c r="B562" s="270" t="s">
        <v>364</v>
      </c>
      <c r="C562" s="302" t="s">
        <v>423</v>
      </c>
      <c r="D562" s="274" t="s">
        <v>395</v>
      </c>
      <c r="E562" s="274" t="s">
        <v>384</v>
      </c>
      <c r="F562" s="291">
        <v>0</v>
      </c>
      <c r="G562" s="1">
        <f t="shared" si="9"/>
        <v>62</v>
      </c>
    </row>
    <row r="563" spans="2:7" x14ac:dyDescent="0.25">
      <c r="B563" s="270" t="s">
        <v>364</v>
      </c>
      <c r="C563" s="302" t="s">
        <v>399</v>
      </c>
      <c r="D563" s="274" t="s">
        <v>398</v>
      </c>
      <c r="E563" s="274" t="s">
        <v>398</v>
      </c>
      <c r="F563" s="291">
        <v>0</v>
      </c>
      <c r="G563" s="1">
        <f t="shared" si="9"/>
        <v>62</v>
      </c>
    </row>
    <row r="564" spans="2:7" x14ac:dyDescent="0.25">
      <c r="B564" s="270" t="s">
        <v>364</v>
      </c>
      <c r="C564" s="302" t="s">
        <v>401</v>
      </c>
      <c r="D564" s="274" t="s">
        <v>402</v>
      </c>
      <c r="E564" s="274" t="s">
        <v>403</v>
      </c>
      <c r="F564" s="291">
        <v>0</v>
      </c>
      <c r="G564" s="1">
        <f t="shared" si="9"/>
        <v>62</v>
      </c>
    </row>
    <row r="565" spans="2:7" x14ac:dyDescent="0.25">
      <c r="B565" s="270" t="s">
        <v>364</v>
      </c>
      <c r="C565" s="302" t="s">
        <v>404</v>
      </c>
      <c r="D565" s="274" t="s">
        <v>405</v>
      </c>
      <c r="E565" s="274" t="s">
        <v>415</v>
      </c>
      <c r="F565" s="291">
        <v>0</v>
      </c>
      <c r="G565" s="1">
        <f t="shared" si="9"/>
        <v>63</v>
      </c>
    </row>
    <row r="566" spans="2:7" x14ac:dyDescent="0.25">
      <c r="B566" s="270" t="s">
        <v>364</v>
      </c>
      <c r="C566" s="302" t="s">
        <v>372</v>
      </c>
      <c r="D566" s="274" t="s">
        <v>382</v>
      </c>
      <c r="E566" s="274" t="s">
        <v>406</v>
      </c>
      <c r="F566" s="291">
        <v>0</v>
      </c>
      <c r="G566" s="1">
        <f t="shared" si="9"/>
        <v>61</v>
      </c>
    </row>
    <row r="567" spans="2:7" x14ac:dyDescent="0.25">
      <c r="B567" s="270" t="s">
        <v>364</v>
      </c>
      <c r="C567" s="302" t="s">
        <v>407</v>
      </c>
      <c r="D567" s="274" t="s">
        <v>406</v>
      </c>
      <c r="E567" s="274" t="s">
        <v>381</v>
      </c>
      <c r="F567" s="291">
        <v>0</v>
      </c>
      <c r="G567" s="1">
        <f t="shared" si="9"/>
        <v>61</v>
      </c>
    </row>
    <row r="568" spans="2:7" x14ac:dyDescent="0.25">
      <c r="B568" s="270" t="s">
        <v>364</v>
      </c>
      <c r="C568" s="302" t="s">
        <v>383</v>
      </c>
      <c r="D568" s="274" t="s">
        <v>384</v>
      </c>
      <c r="E568" s="274" t="s">
        <v>408</v>
      </c>
      <c r="F568" s="291">
        <v>0</v>
      </c>
      <c r="G568" s="1">
        <f t="shared" si="9"/>
        <v>62</v>
      </c>
    </row>
    <row r="569" spans="2:7" x14ac:dyDescent="0.25">
      <c r="B569" s="270" t="s">
        <v>364</v>
      </c>
      <c r="C569" s="302" t="s">
        <v>420</v>
      </c>
      <c r="D569" s="274" t="s">
        <v>384</v>
      </c>
      <c r="E569" s="274" t="s">
        <v>384</v>
      </c>
      <c r="F569" s="291">
        <v>0</v>
      </c>
      <c r="G569" s="1">
        <f t="shared" si="9"/>
        <v>62</v>
      </c>
    </row>
    <row r="570" spans="2:7" x14ac:dyDescent="0.25">
      <c r="B570" s="270" t="s">
        <v>364</v>
      </c>
      <c r="C570" s="302" t="s">
        <v>373</v>
      </c>
      <c r="D570" s="274" t="s">
        <v>382</v>
      </c>
      <c r="E570" s="274" t="s">
        <v>397</v>
      </c>
      <c r="F570" s="291">
        <v>0</v>
      </c>
      <c r="G570" s="1">
        <f t="shared" si="9"/>
        <v>62</v>
      </c>
    </row>
    <row r="571" spans="2:7" x14ac:dyDescent="0.25">
      <c r="B571" s="270" t="s">
        <v>364</v>
      </c>
      <c r="C571" s="302" t="s">
        <v>409</v>
      </c>
      <c r="D571" s="274" t="s">
        <v>400</v>
      </c>
      <c r="E571" s="274" t="s">
        <v>400</v>
      </c>
      <c r="F571" s="291">
        <v>0</v>
      </c>
      <c r="G571" s="1">
        <f t="shared" si="9"/>
        <v>62</v>
      </c>
    </row>
    <row r="572" spans="2:7" x14ac:dyDescent="0.25">
      <c r="B572" s="270" t="s">
        <v>364</v>
      </c>
      <c r="C572" s="302" t="s">
        <v>375</v>
      </c>
      <c r="D572" s="274" t="s">
        <v>385</v>
      </c>
      <c r="E572" s="274" t="s">
        <v>390</v>
      </c>
      <c r="F572" s="291">
        <v>0</v>
      </c>
      <c r="G572" s="1">
        <f t="shared" si="9"/>
        <v>63</v>
      </c>
    </row>
    <row r="573" spans="2:7" x14ac:dyDescent="0.25">
      <c r="B573" s="270" t="s">
        <v>364</v>
      </c>
      <c r="C573" s="302" t="s">
        <v>374</v>
      </c>
      <c r="D573" s="274" t="s">
        <v>402</v>
      </c>
      <c r="E573" s="274" t="s">
        <v>403</v>
      </c>
      <c r="F573" s="291">
        <v>0</v>
      </c>
      <c r="G573" s="1">
        <f t="shared" si="9"/>
        <v>62</v>
      </c>
    </row>
    <row r="574" spans="2:7" x14ac:dyDescent="0.25">
      <c r="B574" s="270" t="s">
        <v>364</v>
      </c>
      <c r="C574" s="302" t="s">
        <v>386</v>
      </c>
      <c r="D574" s="274" t="s">
        <v>387</v>
      </c>
      <c r="E574" s="274" t="s">
        <v>387</v>
      </c>
      <c r="F574" s="291">
        <v>0</v>
      </c>
      <c r="G574" s="1">
        <f t="shared" si="9"/>
        <v>63</v>
      </c>
    </row>
    <row r="575" spans="2:7" x14ac:dyDescent="0.25">
      <c r="B575" s="270" t="s">
        <v>364</v>
      </c>
      <c r="C575" s="302" t="s">
        <v>388</v>
      </c>
      <c r="D575" s="274" t="s">
        <v>389</v>
      </c>
      <c r="E575" s="274"/>
      <c r="F575" s="291">
        <v>0</v>
      </c>
      <c r="G575" s="1">
        <f t="shared" si="9"/>
        <v>0</v>
      </c>
    </row>
    <row r="576" spans="2:7" x14ac:dyDescent="0.25">
      <c r="B576" s="270" t="s">
        <v>364</v>
      </c>
      <c r="C576" s="302" t="s">
        <v>410</v>
      </c>
      <c r="D576" s="274" t="s">
        <v>411</v>
      </c>
      <c r="E576" s="274" t="s">
        <v>411</v>
      </c>
      <c r="F576" s="291">
        <v>0</v>
      </c>
      <c r="G576" s="1">
        <f t="shared" si="9"/>
        <v>63</v>
      </c>
    </row>
    <row r="577" spans="2:7" x14ac:dyDescent="0.25">
      <c r="B577" s="270" t="s">
        <v>364</v>
      </c>
      <c r="C577" s="302" t="s">
        <v>377</v>
      </c>
      <c r="D577" s="274" t="s">
        <v>390</v>
      </c>
      <c r="E577" s="274"/>
      <c r="F577" s="291">
        <v>0</v>
      </c>
      <c r="G577" s="1">
        <f t="shared" si="9"/>
        <v>0</v>
      </c>
    </row>
    <row r="578" spans="2:7" x14ac:dyDescent="0.25">
      <c r="B578" s="270" t="s">
        <v>364</v>
      </c>
      <c r="C578" s="302" t="s">
        <v>379</v>
      </c>
      <c r="D578" s="274" t="s">
        <v>391</v>
      </c>
      <c r="E578" s="274"/>
      <c r="F578" s="291">
        <v>0</v>
      </c>
      <c r="G578" s="1">
        <f t="shared" si="9"/>
        <v>0</v>
      </c>
    </row>
    <row r="579" spans="2:7" x14ac:dyDescent="0.25">
      <c r="B579" s="270" t="s">
        <v>364</v>
      </c>
      <c r="C579" s="302" t="s">
        <v>378</v>
      </c>
      <c r="D579" s="274" t="s">
        <v>392</v>
      </c>
      <c r="E579" s="274"/>
      <c r="F579" s="291">
        <v>0</v>
      </c>
      <c r="G579" s="1">
        <f t="shared" si="9"/>
        <v>0</v>
      </c>
    </row>
    <row r="580" spans="2:7" x14ac:dyDescent="0.25">
      <c r="B580" s="270" t="s">
        <v>364</v>
      </c>
      <c r="C580" s="302" t="s">
        <v>414</v>
      </c>
      <c r="D580" s="274" t="s">
        <v>415</v>
      </c>
      <c r="E580" s="274" t="s">
        <v>411</v>
      </c>
      <c r="F580" s="291">
        <v>0</v>
      </c>
      <c r="G580" s="1">
        <f t="shared" si="9"/>
        <v>63</v>
      </c>
    </row>
    <row r="581" spans="2:7" x14ac:dyDescent="0.25">
      <c r="B581" s="270" t="s">
        <v>364</v>
      </c>
      <c r="C581" s="302" t="s">
        <v>416</v>
      </c>
      <c r="D581" s="274" t="s">
        <v>411</v>
      </c>
      <c r="E581" s="274" t="s">
        <v>411</v>
      </c>
      <c r="F581" s="291">
        <v>0</v>
      </c>
      <c r="G581" s="1">
        <f t="shared" si="9"/>
        <v>63</v>
      </c>
    </row>
    <row r="582" spans="2:7" x14ac:dyDescent="0.25">
      <c r="B582" s="270" t="s">
        <v>364</v>
      </c>
      <c r="C582" s="302" t="s">
        <v>417</v>
      </c>
      <c r="D582" s="274" t="s">
        <v>415</v>
      </c>
      <c r="E582" s="274" t="s">
        <v>411</v>
      </c>
      <c r="F582" s="291">
        <v>0</v>
      </c>
      <c r="G582" s="1">
        <f t="shared" si="9"/>
        <v>63</v>
      </c>
    </row>
    <row r="583" spans="2:7" x14ac:dyDescent="0.25">
      <c r="B583" s="270" t="s">
        <v>280</v>
      </c>
      <c r="C583" s="302" t="s">
        <v>380</v>
      </c>
      <c r="D583" s="274" t="s">
        <v>381</v>
      </c>
      <c r="E583" s="274" t="s">
        <v>393</v>
      </c>
      <c r="F583" s="291">
        <v>0</v>
      </c>
      <c r="G583" s="1">
        <f t="shared" ref="G583:G646" si="10">IF(ISBLANK(E583),E583,TRUNC((E583-start)/7,0)+1)</f>
        <v>61</v>
      </c>
    </row>
    <row r="584" spans="2:7" x14ac:dyDescent="0.25">
      <c r="B584" s="270" t="s">
        <v>280</v>
      </c>
      <c r="C584" s="302" t="s">
        <v>394</v>
      </c>
      <c r="D584" s="274" t="s">
        <v>393</v>
      </c>
      <c r="E584" s="274" t="s">
        <v>395</v>
      </c>
      <c r="F584" s="291">
        <v>0</v>
      </c>
      <c r="G584" s="1">
        <f t="shared" si="10"/>
        <v>61</v>
      </c>
    </row>
    <row r="585" spans="2:7" x14ac:dyDescent="0.25">
      <c r="B585" s="270" t="s">
        <v>280</v>
      </c>
      <c r="C585" s="302" t="s">
        <v>423</v>
      </c>
      <c r="D585" s="274" t="s">
        <v>395</v>
      </c>
      <c r="E585" s="274" t="s">
        <v>384</v>
      </c>
      <c r="F585" s="291">
        <v>0</v>
      </c>
      <c r="G585" s="1">
        <f t="shared" si="10"/>
        <v>62</v>
      </c>
    </row>
    <row r="586" spans="2:7" x14ac:dyDescent="0.25">
      <c r="B586" s="270" t="s">
        <v>280</v>
      </c>
      <c r="C586" s="302" t="s">
        <v>396</v>
      </c>
      <c r="D586" s="274" t="s">
        <v>397</v>
      </c>
      <c r="E586" s="274" t="s">
        <v>398</v>
      </c>
      <c r="F586" s="291">
        <v>0</v>
      </c>
      <c r="G586" s="1">
        <f t="shared" si="10"/>
        <v>62</v>
      </c>
    </row>
    <row r="587" spans="2:7" x14ac:dyDescent="0.25">
      <c r="B587" s="270" t="s">
        <v>280</v>
      </c>
      <c r="C587" s="302" t="s">
        <v>399</v>
      </c>
      <c r="D587" s="274" t="s">
        <v>398</v>
      </c>
      <c r="E587" s="274" t="s">
        <v>398</v>
      </c>
      <c r="F587" s="291">
        <v>0</v>
      </c>
      <c r="G587" s="1">
        <f t="shared" si="10"/>
        <v>62</v>
      </c>
    </row>
    <row r="588" spans="2:7" x14ac:dyDescent="0.25">
      <c r="B588" s="270" t="s">
        <v>280</v>
      </c>
      <c r="C588" s="302" t="s">
        <v>401</v>
      </c>
      <c r="D588" s="274" t="s">
        <v>402</v>
      </c>
      <c r="E588" s="274" t="s">
        <v>403</v>
      </c>
      <c r="F588" s="291">
        <v>0</v>
      </c>
      <c r="G588" s="1">
        <f t="shared" si="10"/>
        <v>62</v>
      </c>
    </row>
    <row r="589" spans="2:7" x14ac:dyDescent="0.25">
      <c r="B589" s="270" t="s">
        <v>280</v>
      </c>
      <c r="C589" s="302" t="s">
        <v>404</v>
      </c>
      <c r="D589" s="274" t="s">
        <v>405</v>
      </c>
      <c r="E589" s="274" t="s">
        <v>405</v>
      </c>
      <c r="F589" s="291">
        <v>0</v>
      </c>
      <c r="G589" s="1">
        <f t="shared" si="10"/>
        <v>63</v>
      </c>
    </row>
    <row r="590" spans="2:7" x14ac:dyDescent="0.25">
      <c r="B590" s="270" t="s">
        <v>280</v>
      </c>
      <c r="C590" s="302" t="s">
        <v>372</v>
      </c>
      <c r="D590" s="274" t="s">
        <v>382</v>
      </c>
      <c r="E590" s="274" t="s">
        <v>406</v>
      </c>
      <c r="F590" s="291">
        <v>0</v>
      </c>
      <c r="G590" s="1">
        <f t="shared" si="10"/>
        <v>61</v>
      </c>
    </row>
    <row r="591" spans="2:7" x14ac:dyDescent="0.25">
      <c r="B591" s="270" t="s">
        <v>280</v>
      </c>
      <c r="C591" s="302" t="s">
        <v>407</v>
      </c>
      <c r="D591" s="274" t="s">
        <v>406</v>
      </c>
      <c r="E591" s="274" t="s">
        <v>406</v>
      </c>
      <c r="F591" s="291">
        <v>0</v>
      </c>
      <c r="G591" s="1">
        <f t="shared" si="10"/>
        <v>61</v>
      </c>
    </row>
    <row r="592" spans="2:7" x14ac:dyDescent="0.25">
      <c r="B592" s="270" t="s">
        <v>280</v>
      </c>
      <c r="C592" s="302" t="s">
        <v>383</v>
      </c>
      <c r="D592" s="274" t="s">
        <v>384</v>
      </c>
      <c r="E592" s="274" t="s">
        <v>397</v>
      </c>
      <c r="F592" s="291">
        <v>0</v>
      </c>
      <c r="G592" s="1">
        <f t="shared" si="10"/>
        <v>62</v>
      </c>
    </row>
    <row r="593" spans="2:7" x14ac:dyDescent="0.25">
      <c r="B593" s="270" t="s">
        <v>280</v>
      </c>
      <c r="C593" s="302" t="s">
        <v>420</v>
      </c>
      <c r="D593" s="274" t="s">
        <v>384</v>
      </c>
      <c r="E593" s="274" t="s">
        <v>384</v>
      </c>
      <c r="F593" s="291">
        <v>0</v>
      </c>
      <c r="G593" s="1">
        <f t="shared" si="10"/>
        <v>62</v>
      </c>
    </row>
    <row r="594" spans="2:7" x14ac:dyDescent="0.25">
      <c r="B594" s="270" t="s">
        <v>280</v>
      </c>
      <c r="C594" s="302" t="s">
        <v>373</v>
      </c>
      <c r="D594" s="274" t="s">
        <v>382</v>
      </c>
      <c r="E594" s="274" t="s">
        <v>397</v>
      </c>
      <c r="F594" s="291">
        <v>0</v>
      </c>
      <c r="G594" s="1">
        <f t="shared" si="10"/>
        <v>62</v>
      </c>
    </row>
    <row r="595" spans="2:7" x14ac:dyDescent="0.25">
      <c r="B595" s="270" t="s">
        <v>280</v>
      </c>
      <c r="C595" s="302" t="s">
        <v>409</v>
      </c>
      <c r="D595" s="274" t="s">
        <v>400</v>
      </c>
      <c r="E595" s="274" t="s">
        <v>400</v>
      </c>
      <c r="F595" s="291">
        <v>0</v>
      </c>
      <c r="G595" s="1">
        <f t="shared" si="10"/>
        <v>62</v>
      </c>
    </row>
    <row r="596" spans="2:7" x14ac:dyDescent="0.25">
      <c r="B596" s="270" t="s">
        <v>280</v>
      </c>
      <c r="C596" s="302" t="s">
        <v>375</v>
      </c>
      <c r="D596" s="274" t="s">
        <v>385</v>
      </c>
      <c r="E596" s="274" t="s">
        <v>387</v>
      </c>
      <c r="F596" s="291">
        <v>0</v>
      </c>
      <c r="G596" s="1">
        <f t="shared" si="10"/>
        <v>63</v>
      </c>
    </row>
    <row r="597" spans="2:7" x14ac:dyDescent="0.25">
      <c r="B597" s="270" t="s">
        <v>280</v>
      </c>
      <c r="C597" s="302" t="s">
        <v>374</v>
      </c>
      <c r="D597" s="274" t="s">
        <v>402</v>
      </c>
      <c r="E597" s="274" t="s">
        <v>403</v>
      </c>
      <c r="F597" s="291">
        <v>0</v>
      </c>
      <c r="G597" s="1">
        <f t="shared" si="10"/>
        <v>62</v>
      </c>
    </row>
    <row r="598" spans="2:7" x14ac:dyDescent="0.25">
      <c r="B598" s="270" t="s">
        <v>280</v>
      </c>
      <c r="C598" s="302" t="s">
        <v>386</v>
      </c>
      <c r="D598" s="274" t="s">
        <v>387</v>
      </c>
      <c r="E598" s="274"/>
      <c r="F598" s="291">
        <v>0</v>
      </c>
      <c r="G598" s="1">
        <f t="shared" si="10"/>
        <v>0</v>
      </c>
    </row>
    <row r="599" spans="2:7" x14ac:dyDescent="0.25">
      <c r="B599" s="270" t="s">
        <v>280</v>
      </c>
      <c r="C599" s="302" t="s">
        <v>388</v>
      </c>
      <c r="D599" s="274" t="s">
        <v>389</v>
      </c>
      <c r="E599" s="274"/>
      <c r="F599" s="291">
        <v>0</v>
      </c>
      <c r="G599" s="1">
        <f t="shared" si="10"/>
        <v>0</v>
      </c>
    </row>
    <row r="600" spans="2:7" x14ac:dyDescent="0.25">
      <c r="B600" s="270" t="s">
        <v>280</v>
      </c>
      <c r="C600" s="302" t="s">
        <v>410</v>
      </c>
      <c r="D600" s="274" t="s">
        <v>411</v>
      </c>
      <c r="E600" s="274" t="s">
        <v>412</v>
      </c>
      <c r="F600" s="291">
        <v>0</v>
      </c>
      <c r="G600" s="1">
        <f t="shared" si="10"/>
        <v>63</v>
      </c>
    </row>
    <row r="601" spans="2:7" x14ac:dyDescent="0.25">
      <c r="B601" s="270" t="s">
        <v>280</v>
      </c>
      <c r="C601" s="302" t="s">
        <v>377</v>
      </c>
      <c r="D601" s="274" t="s">
        <v>390</v>
      </c>
      <c r="E601" s="274"/>
      <c r="F601" s="291">
        <v>0</v>
      </c>
      <c r="G601" s="1">
        <f t="shared" si="10"/>
        <v>0</v>
      </c>
    </row>
    <row r="602" spans="2:7" x14ac:dyDescent="0.25">
      <c r="B602" s="270" t="s">
        <v>280</v>
      </c>
      <c r="C602" s="302" t="s">
        <v>379</v>
      </c>
      <c r="D602" s="274" t="s">
        <v>391</v>
      </c>
      <c r="E602" s="274" t="s">
        <v>413</v>
      </c>
      <c r="F602" s="291">
        <v>0</v>
      </c>
      <c r="G602" s="1">
        <f t="shared" si="10"/>
        <v>64</v>
      </c>
    </row>
    <row r="603" spans="2:7" x14ac:dyDescent="0.25">
      <c r="B603" s="270" t="s">
        <v>280</v>
      </c>
      <c r="C603" s="302" t="s">
        <v>378</v>
      </c>
      <c r="D603" s="274" t="s">
        <v>392</v>
      </c>
      <c r="E603" s="274"/>
      <c r="F603" s="291">
        <v>0</v>
      </c>
      <c r="G603" s="1">
        <f t="shared" si="10"/>
        <v>0</v>
      </c>
    </row>
    <row r="604" spans="2:7" x14ac:dyDescent="0.25">
      <c r="B604" s="270" t="s">
        <v>280</v>
      </c>
      <c r="C604" s="302" t="s">
        <v>414</v>
      </c>
      <c r="D604" s="274" t="s">
        <v>415</v>
      </c>
      <c r="E604" s="274" t="s">
        <v>411</v>
      </c>
      <c r="F604" s="291">
        <v>0</v>
      </c>
      <c r="G604" s="1">
        <f t="shared" si="10"/>
        <v>63</v>
      </c>
    </row>
    <row r="605" spans="2:7" x14ac:dyDescent="0.25">
      <c r="B605" s="270" t="s">
        <v>280</v>
      </c>
      <c r="C605" s="302" t="s">
        <v>416</v>
      </c>
      <c r="D605" s="274" t="s">
        <v>411</v>
      </c>
      <c r="E605" s="274" t="s">
        <v>412</v>
      </c>
      <c r="F605" s="291">
        <v>0</v>
      </c>
      <c r="G605" s="1">
        <f t="shared" si="10"/>
        <v>63</v>
      </c>
    </row>
    <row r="606" spans="2:7" x14ac:dyDescent="0.25">
      <c r="B606" s="270" t="s">
        <v>280</v>
      </c>
      <c r="C606" s="302" t="s">
        <v>417</v>
      </c>
      <c r="D606" s="274" t="s">
        <v>415</v>
      </c>
      <c r="E606" s="274" t="s">
        <v>412</v>
      </c>
      <c r="F606" s="291">
        <v>0</v>
      </c>
      <c r="G606" s="1">
        <f t="shared" si="10"/>
        <v>63</v>
      </c>
    </row>
    <row r="607" spans="2:7" x14ac:dyDescent="0.25">
      <c r="B607" s="270" t="s">
        <v>340</v>
      </c>
      <c r="C607" s="302" t="s">
        <v>380</v>
      </c>
      <c r="D607" s="274" t="s">
        <v>381</v>
      </c>
      <c r="E607" s="274" t="s">
        <v>393</v>
      </c>
      <c r="F607" s="291">
        <v>0</v>
      </c>
      <c r="G607" s="1">
        <f t="shared" si="10"/>
        <v>61</v>
      </c>
    </row>
    <row r="608" spans="2:7" x14ac:dyDescent="0.25">
      <c r="B608" s="270" t="s">
        <v>340</v>
      </c>
      <c r="C608" s="302" t="s">
        <v>394</v>
      </c>
      <c r="D608" s="274" t="s">
        <v>393</v>
      </c>
      <c r="E608" s="274" t="s">
        <v>395</v>
      </c>
      <c r="F608" s="291">
        <v>0</v>
      </c>
      <c r="G608" s="1">
        <f t="shared" si="10"/>
        <v>61</v>
      </c>
    </row>
    <row r="609" spans="2:7" x14ac:dyDescent="0.25">
      <c r="B609" s="270" t="s">
        <v>340</v>
      </c>
      <c r="C609" s="302" t="s">
        <v>423</v>
      </c>
      <c r="D609" s="274" t="s">
        <v>395</v>
      </c>
      <c r="E609" s="274" t="s">
        <v>384</v>
      </c>
      <c r="F609" s="291">
        <v>0</v>
      </c>
      <c r="G609" s="1">
        <f t="shared" si="10"/>
        <v>62</v>
      </c>
    </row>
    <row r="610" spans="2:7" x14ac:dyDescent="0.25">
      <c r="B610" s="270" t="s">
        <v>340</v>
      </c>
      <c r="C610" s="302" t="s">
        <v>396</v>
      </c>
      <c r="D610" s="274" t="s">
        <v>397</v>
      </c>
      <c r="E610" s="274" t="s">
        <v>398</v>
      </c>
      <c r="F610" s="291">
        <v>0</v>
      </c>
      <c r="G610" s="1">
        <f t="shared" si="10"/>
        <v>62</v>
      </c>
    </row>
    <row r="611" spans="2:7" x14ac:dyDescent="0.25">
      <c r="B611" s="270" t="s">
        <v>340</v>
      </c>
      <c r="C611" s="302" t="s">
        <v>399</v>
      </c>
      <c r="D611" s="274" t="s">
        <v>398</v>
      </c>
      <c r="E611" s="274" t="s">
        <v>400</v>
      </c>
      <c r="F611" s="291">
        <v>0</v>
      </c>
      <c r="G611" s="1">
        <f t="shared" si="10"/>
        <v>62</v>
      </c>
    </row>
    <row r="612" spans="2:7" x14ac:dyDescent="0.25">
      <c r="B612" s="270" t="s">
        <v>340</v>
      </c>
      <c r="C612" s="302" t="s">
        <v>401</v>
      </c>
      <c r="D612" s="274" t="s">
        <v>402</v>
      </c>
      <c r="E612" s="274" t="s">
        <v>403</v>
      </c>
      <c r="F612" s="291">
        <v>0</v>
      </c>
      <c r="G612" s="1">
        <f t="shared" si="10"/>
        <v>62</v>
      </c>
    </row>
    <row r="613" spans="2:7" x14ac:dyDescent="0.25">
      <c r="B613" s="270" t="s">
        <v>340</v>
      </c>
      <c r="C613" s="302" t="s">
        <v>419</v>
      </c>
      <c r="D613" s="274" t="s">
        <v>390</v>
      </c>
      <c r="E613" s="274" t="s">
        <v>405</v>
      </c>
      <c r="F613" s="291">
        <v>0</v>
      </c>
      <c r="G613" s="1">
        <f t="shared" si="10"/>
        <v>63</v>
      </c>
    </row>
    <row r="614" spans="2:7" x14ac:dyDescent="0.25">
      <c r="B614" s="270" t="s">
        <v>340</v>
      </c>
      <c r="C614" s="302" t="s">
        <v>404</v>
      </c>
      <c r="D614" s="274" t="s">
        <v>405</v>
      </c>
      <c r="E614" s="274" t="s">
        <v>405</v>
      </c>
      <c r="F614" s="291">
        <v>0</v>
      </c>
      <c r="G614" s="1">
        <f t="shared" si="10"/>
        <v>63</v>
      </c>
    </row>
    <row r="615" spans="2:7" x14ac:dyDescent="0.25">
      <c r="B615" s="270" t="s">
        <v>340</v>
      </c>
      <c r="C615" s="302" t="s">
        <v>372</v>
      </c>
      <c r="D615" s="274" t="s">
        <v>382</v>
      </c>
      <c r="E615" s="274" t="s">
        <v>406</v>
      </c>
      <c r="F615" s="291">
        <v>0</v>
      </c>
      <c r="G615" s="1">
        <f t="shared" si="10"/>
        <v>61</v>
      </c>
    </row>
    <row r="616" spans="2:7" x14ac:dyDescent="0.25">
      <c r="B616" s="270" t="s">
        <v>340</v>
      </c>
      <c r="C616" s="302" t="s">
        <v>407</v>
      </c>
      <c r="D616" s="274" t="s">
        <v>406</v>
      </c>
      <c r="E616" s="274" t="s">
        <v>381</v>
      </c>
      <c r="F616" s="291">
        <v>0</v>
      </c>
      <c r="G616" s="1">
        <f t="shared" si="10"/>
        <v>61</v>
      </c>
    </row>
    <row r="617" spans="2:7" x14ac:dyDescent="0.25">
      <c r="B617" s="270" t="s">
        <v>340</v>
      </c>
      <c r="C617" s="302" t="s">
        <v>383</v>
      </c>
      <c r="D617" s="274" t="s">
        <v>384</v>
      </c>
      <c r="E617" s="274" t="s">
        <v>397</v>
      </c>
      <c r="F617" s="291">
        <v>0</v>
      </c>
      <c r="G617" s="1">
        <f t="shared" si="10"/>
        <v>62</v>
      </c>
    </row>
    <row r="618" spans="2:7" x14ac:dyDescent="0.25">
      <c r="B618" s="270" t="s">
        <v>340</v>
      </c>
      <c r="C618" s="302" t="s">
        <v>420</v>
      </c>
      <c r="D618" s="274" t="s">
        <v>384</v>
      </c>
      <c r="E618" s="274" t="s">
        <v>384</v>
      </c>
      <c r="F618" s="291">
        <v>0</v>
      </c>
      <c r="G618" s="1">
        <f t="shared" si="10"/>
        <v>62</v>
      </c>
    </row>
    <row r="619" spans="2:7" x14ac:dyDescent="0.25">
      <c r="B619" s="270" t="s">
        <v>340</v>
      </c>
      <c r="C619" s="302" t="s">
        <v>373</v>
      </c>
      <c r="D619" s="274" t="s">
        <v>382</v>
      </c>
      <c r="E619" s="274" t="s">
        <v>406</v>
      </c>
      <c r="F619" s="291">
        <v>0</v>
      </c>
      <c r="G619" s="1">
        <f t="shared" si="10"/>
        <v>61</v>
      </c>
    </row>
    <row r="620" spans="2:7" x14ac:dyDescent="0.25">
      <c r="B620" s="270" t="s">
        <v>340</v>
      </c>
      <c r="C620" s="302" t="s">
        <v>409</v>
      </c>
      <c r="D620" s="274" t="s">
        <v>400</v>
      </c>
      <c r="E620" s="274" t="s">
        <v>402</v>
      </c>
      <c r="F620" s="291">
        <v>0</v>
      </c>
      <c r="G620" s="1">
        <f t="shared" si="10"/>
        <v>62</v>
      </c>
    </row>
    <row r="621" spans="2:7" x14ac:dyDescent="0.25">
      <c r="B621" s="270" t="s">
        <v>340</v>
      </c>
      <c r="C621" s="302" t="s">
        <v>375</v>
      </c>
      <c r="D621" s="274" t="s">
        <v>385</v>
      </c>
      <c r="E621" s="274" t="s">
        <v>387</v>
      </c>
      <c r="F621" s="291">
        <v>0</v>
      </c>
      <c r="G621" s="1">
        <f t="shared" si="10"/>
        <v>63</v>
      </c>
    </row>
    <row r="622" spans="2:7" x14ac:dyDescent="0.25">
      <c r="B622" s="270" t="s">
        <v>340</v>
      </c>
      <c r="C622" s="302" t="s">
        <v>374</v>
      </c>
      <c r="D622" s="274" t="s">
        <v>402</v>
      </c>
      <c r="E622" s="274" t="s">
        <v>403</v>
      </c>
      <c r="F622" s="291">
        <v>0</v>
      </c>
      <c r="G622" s="1">
        <f t="shared" si="10"/>
        <v>62</v>
      </c>
    </row>
    <row r="623" spans="2:7" x14ac:dyDescent="0.25">
      <c r="B623" s="270" t="s">
        <v>340</v>
      </c>
      <c r="C623" s="302" t="s">
        <v>386</v>
      </c>
      <c r="D623" s="274" t="s">
        <v>387</v>
      </c>
      <c r="E623" s="274" t="s">
        <v>387</v>
      </c>
      <c r="F623" s="291">
        <v>0</v>
      </c>
      <c r="G623" s="1">
        <f t="shared" si="10"/>
        <v>63</v>
      </c>
    </row>
    <row r="624" spans="2:7" x14ac:dyDescent="0.25">
      <c r="B624" s="270" t="s">
        <v>340</v>
      </c>
      <c r="C624" s="302" t="s">
        <v>388</v>
      </c>
      <c r="D624" s="274" t="s">
        <v>389</v>
      </c>
      <c r="E624" s="274" t="s">
        <v>421</v>
      </c>
      <c r="F624" s="291">
        <v>0</v>
      </c>
      <c r="G624" s="1">
        <f t="shared" si="10"/>
        <v>64</v>
      </c>
    </row>
    <row r="625" spans="2:7" x14ac:dyDescent="0.25">
      <c r="B625" s="270" t="s">
        <v>340</v>
      </c>
      <c r="C625" s="302" t="s">
        <v>410</v>
      </c>
      <c r="D625" s="274" t="s">
        <v>411</v>
      </c>
      <c r="E625" s="274" t="s">
        <v>412</v>
      </c>
      <c r="F625" s="291">
        <v>0</v>
      </c>
      <c r="G625" s="1">
        <f t="shared" si="10"/>
        <v>63</v>
      </c>
    </row>
    <row r="626" spans="2:7" x14ac:dyDescent="0.25">
      <c r="B626" s="270" t="s">
        <v>340</v>
      </c>
      <c r="C626" s="302" t="s">
        <v>422</v>
      </c>
      <c r="D626" s="274" t="s">
        <v>412</v>
      </c>
      <c r="E626" s="274" t="s">
        <v>391</v>
      </c>
      <c r="F626" s="291">
        <v>0</v>
      </c>
      <c r="G626" s="1">
        <f t="shared" si="10"/>
        <v>64</v>
      </c>
    </row>
    <row r="627" spans="2:7" x14ac:dyDescent="0.25">
      <c r="B627" s="270" t="s">
        <v>340</v>
      </c>
      <c r="C627" s="302" t="s">
        <v>377</v>
      </c>
      <c r="D627" s="274" t="s">
        <v>390</v>
      </c>
      <c r="E627" s="274"/>
      <c r="F627" s="291">
        <v>0</v>
      </c>
      <c r="G627" s="1">
        <f t="shared" si="10"/>
        <v>0</v>
      </c>
    </row>
    <row r="628" spans="2:7" x14ac:dyDescent="0.25">
      <c r="B628" s="270" t="s">
        <v>340</v>
      </c>
      <c r="C628" s="302" t="s">
        <v>379</v>
      </c>
      <c r="D628" s="274" t="s">
        <v>391</v>
      </c>
      <c r="E628" s="274" t="s">
        <v>413</v>
      </c>
      <c r="F628" s="291">
        <v>0</v>
      </c>
      <c r="G628" s="1">
        <f t="shared" si="10"/>
        <v>64</v>
      </c>
    </row>
    <row r="629" spans="2:7" x14ac:dyDescent="0.25">
      <c r="B629" s="270" t="s">
        <v>340</v>
      </c>
      <c r="C629" s="302" t="s">
        <v>378</v>
      </c>
      <c r="D629" s="274" t="s">
        <v>392</v>
      </c>
      <c r="E629" s="274"/>
      <c r="F629" s="291">
        <v>0</v>
      </c>
      <c r="G629" s="1">
        <f t="shared" si="10"/>
        <v>0</v>
      </c>
    </row>
    <row r="630" spans="2:7" x14ac:dyDescent="0.25">
      <c r="B630" s="270" t="s">
        <v>340</v>
      </c>
      <c r="C630" s="302" t="s">
        <v>414</v>
      </c>
      <c r="D630" s="274" t="s">
        <v>415</v>
      </c>
      <c r="E630" s="274" t="s">
        <v>411</v>
      </c>
      <c r="F630" s="291">
        <v>0</v>
      </c>
      <c r="G630" s="1">
        <f t="shared" si="10"/>
        <v>63</v>
      </c>
    </row>
    <row r="631" spans="2:7" x14ac:dyDescent="0.25">
      <c r="B631" s="270" t="s">
        <v>340</v>
      </c>
      <c r="C631" s="302" t="s">
        <v>416</v>
      </c>
      <c r="D631" s="274" t="s">
        <v>411</v>
      </c>
      <c r="E631" s="274" t="s">
        <v>412</v>
      </c>
      <c r="F631" s="291">
        <v>0</v>
      </c>
      <c r="G631" s="1">
        <f t="shared" si="10"/>
        <v>63</v>
      </c>
    </row>
    <row r="632" spans="2:7" x14ac:dyDescent="0.25">
      <c r="B632" s="270" t="s">
        <v>340</v>
      </c>
      <c r="C632" s="302" t="s">
        <v>417</v>
      </c>
      <c r="D632" s="274" t="s">
        <v>415</v>
      </c>
      <c r="E632" s="274" t="s">
        <v>411</v>
      </c>
      <c r="F632" s="291">
        <v>0</v>
      </c>
      <c r="G632" s="1">
        <f t="shared" si="10"/>
        <v>63</v>
      </c>
    </row>
    <row r="633" spans="2:7" x14ac:dyDescent="0.25">
      <c r="B633" s="270" t="s">
        <v>340</v>
      </c>
      <c r="C633" s="302" t="s">
        <v>418</v>
      </c>
      <c r="D633" s="274" t="s">
        <v>391</v>
      </c>
      <c r="E633" s="274" t="s">
        <v>389</v>
      </c>
      <c r="F633" s="291">
        <v>0</v>
      </c>
      <c r="G633" s="1">
        <f t="shared" si="10"/>
        <v>64</v>
      </c>
    </row>
    <row r="634" spans="2:7" x14ac:dyDescent="0.25">
      <c r="B634" s="270" t="s">
        <v>366</v>
      </c>
      <c r="C634" s="302" t="s">
        <v>380</v>
      </c>
      <c r="D634" s="274" t="s">
        <v>381</v>
      </c>
      <c r="E634" s="274"/>
      <c r="F634" s="291">
        <v>0</v>
      </c>
      <c r="G634" s="1">
        <f t="shared" si="10"/>
        <v>0</v>
      </c>
    </row>
    <row r="635" spans="2:7" x14ac:dyDescent="0.25">
      <c r="B635" s="270" t="s">
        <v>366</v>
      </c>
      <c r="C635" s="302" t="s">
        <v>372</v>
      </c>
      <c r="D635" s="274" t="s">
        <v>382</v>
      </c>
      <c r="E635" s="274"/>
      <c r="F635" s="291">
        <v>0</v>
      </c>
      <c r="G635" s="1">
        <f t="shared" si="10"/>
        <v>0</v>
      </c>
    </row>
    <row r="636" spans="2:7" x14ac:dyDescent="0.25">
      <c r="B636" s="270" t="s">
        <v>366</v>
      </c>
      <c r="C636" s="302" t="s">
        <v>383</v>
      </c>
      <c r="D636" s="274" t="s">
        <v>384</v>
      </c>
      <c r="E636" s="274"/>
      <c r="F636" s="291">
        <v>0</v>
      </c>
      <c r="G636" s="1">
        <f t="shared" si="10"/>
        <v>0</v>
      </c>
    </row>
    <row r="637" spans="2:7" x14ac:dyDescent="0.25">
      <c r="B637" s="270" t="s">
        <v>366</v>
      </c>
      <c r="C637" s="302" t="s">
        <v>420</v>
      </c>
      <c r="D637" s="274" t="s">
        <v>384</v>
      </c>
      <c r="E637" s="274" t="s">
        <v>384</v>
      </c>
      <c r="F637" s="291">
        <v>0</v>
      </c>
      <c r="G637" s="1">
        <f t="shared" si="10"/>
        <v>62</v>
      </c>
    </row>
    <row r="638" spans="2:7" x14ac:dyDescent="0.25">
      <c r="B638" s="270" t="s">
        <v>366</v>
      </c>
      <c r="C638" s="302" t="s">
        <v>373</v>
      </c>
      <c r="D638" s="274" t="s">
        <v>382</v>
      </c>
      <c r="E638" s="274" t="s">
        <v>397</v>
      </c>
      <c r="F638" s="291">
        <v>0</v>
      </c>
      <c r="G638" s="1">
        <f t="shared" si="10"/>
        <v>62</v>
      </c>
    </row>
    <row r="639" spans="2:7" x14ac:dyDescent="0.25">
      <c r="B639" s="270" t="s">
        <v>366</v>
      </c>
      <c r="C639" s="302" t="s">
        <v>375</v>
      </c>
      <c r="D639" s="274" t="s">
        <v>385</v>
      </c>
      <c r="E639" s="274"/>
      <c r="F639" s="291">
        <v>0</v>
      </c>
      <c r="G639" s="1">
        <f t="shared" si="10"/>
        <v>0</v>
      </c>
    </row>
    <row r="640" spans="2:7" x14ac:dyDescent="0.25">
      <c r="B640" s="270" t="s">
        <v>366</v>
      </c>
      <c r="C640" s="302" t="s">
        <v>386</v>
      </c>
      <c r="D640" s="274" t="s">
        <v>387</v>
      </c>
      <c r="E640" s="274"/>
      <c r="F640" s="291">
        <v>0</v>
      </c>
      <c r="G640" s="1">
        <f t="shared" si="10"/>
        <v>0</v>
      </c>
    </row>
    <row r="641" spans="2:7" x14ac:dyDescent="0.25">
      <c r="B641" s="270" t="s">
        <v>366</v>
      </c>
      <c r="C641" s="302" t="s">
        <v>388</v>
      </c>
      <c r="D641" s="274" t="s">
        <v>389</v>
      </c>
      <c r="E641" s="274"/>
      <c r="F641" s="291">
        <v>0</v>
      </c>
      <c r="G641" s="1">
        <f t="shared" si="10"/>
        <v>0</v>
      </c>
    </row>
    <row r="642" spans="2:7" x14ac:dyDescent="0.25">
      <c r="B642" s="270" t="s">
        <v>366</v>
      </c>
      <c r="C642" s="302" t="s">
        <v>377</v>
      </c>
      <c r="D642" s="274" t="s">
        <v>390</v>
      </c>
      <c r="E642" s="274"/>
      <c r="F642" s="291">
        <v>0</v>
      </c>
      <c r="G642" s="1">
        <f t="shared" si="10"/>
        <v>0</v>
      </c>
    </row>
    <row r="643" spans="2:7" x14ac:dyDescent="0.25">
      <c r="B643" s="270" t="s">
        <v>366</v>
      </c>
      <c r="C643" s="302" t="s">
        <v>379</v>
      </c>
      <c r="D643" s="274" t="s">
        <v>391</v>
      </c>
      <c r="E643" s="274"/>
      <c r="F643" s="291">
        <v>0</v>
      </c>
      <c r="G643" s="1">
        <f t="shared" si="10"/>
        <v>0</v>
      </c>
    </row>
    <row r="644" spans="2:7" x14ac:dyDescent="0.25">
      <c r="B644" s="270" t="s">
        <v>366</v>
      </c>
      <c r="C644" s="302" t="s">
        <v>378</v>
      </c>
      <c r="D644" s="274" t="s">
        <v>392</v>
      </c>
      <c r="E644" s="274"/>
      <c r="F644" s="291">
        <v>0</v>
      </c>
      <c r="G644" s="1">
        <f t="shared" si="10"/>
        <v>0</v>
      </c>
    </row>
    <row r="645" spans="2:7" x14ac:dyDescent="0.25">
      <c r="B645" s="270" t="s">
        <v>330</v>
      </c>
      <c r="C645" s="302" t="s">
        <v>380</v>
      </c>
      <c r="D645" s="274" t="s">
        <v>381</v>
      </c>
      <c r="E645" s="274" t="s">
        <v>395</v>
      </c>
      <c r="F645" s="291">
        <v>0</v>
      </c>
      <c r="G645" s="1">
        <f t="shared" si="10"/>
        <v>61</v>
      </c>
    </row>
    <row r="646" spans="2:7" x14ac:dyDescent="0.25">
      <c r="B646" s="270" t="s">
        <v>330</v>
      </c>
      <c r="C646" s="302" t="s">
        <v>394</v>
      </c>
      <c r="D646" s="274" t="s">
        <v>393</v>
      </c>
      <c r="E646" s="274" t="s">
        <v>395</v>
      </c>
      <c r="F646" s="291">
        <v>0</v>
      </c>
      <c r="G646" s="1">
        <f t="shared" si="10"/>
        <v>61</v>
      </c>
    </row>
    <row r="647" spans="2:7" x14ac:dyDescent="0.25">
      <c r="B647" s="270" t="s">
        <v>330</v>
      </c>
      <c r="C647" s="302" t="s">
        <v>423</v>
      </c>
      <c r="D647" s="274" t="s">
        <v>395</v>
      </c>
      <c r="E647" s="274" t="s">
        <v>384</v>
      </c>
      <c r="F647" s="291">
        <v>0</v>
      </c>
      <c r="G647" s="1">
        <f t="shared" ref="G647:G670" si="11">IF(ISBLANK(E647),E647,TRUNC((E647-start)/7,0)+1)</f>
        <v>62</v>
      </c>
    </row>
    <row r="648" spans="2:7" x14ac:dyDescent="0.25">
      <c r="B648" s="270" t="s">
        <v>330</v>
      </c>
      <c r="C648" s="302" t="s">
        <v>396</v>
      </c>
      <c r="D648" s="274" t="s">
        <v>397</v>
      </c>
      <c r="E648" s="274" t="s">
        <v>398</v>
      </c>
      <c r="F648" s="291">
        <v>0</v>
      </c>
      <c r="G648" s="1">
        <f t="shared" si="11"/>
        <v>62</v>
      </c>
    </row>
    <row r="649" spans="2:7" x14ac:dyDescent="0.25">
      <c r="B649" s="270" t="s">
        <v>330</v>
      </c>
      <c r="C649" s="302" t="s">
        <v>399</v>
      </c>
      <c r="D649" s="274" t="s">
        <v>398</v>
      </c>
      <c r="E649" s="274" t="s">
        <v>400</v>
      </c>
      <c r="F649" s="291">
        <v>0</v>
      </c>
      <c r="G649" s="1">
        <f t="shared" si="11"/>
        <v>62</v>
      </c>
    </row>
    <row r="650" spans="2:7" x14ac:dyDescent="0.25">
      <c r="B650" s="270" t="s">
        <v>330</v>
      </c>
      <c r="C650" s="302" t="s">
        <v>401</v>
      </c>
      <c r="D650" s="274" t="s">
        <v>402</v>
      </c>
      <c r="E650" s="274" t="s">
        <v>403</v>
      </c>
      <c r="F650" s="291">
        <v>0</v>
      </c>
      <c r="G650" s="1">
        <f t="shared" si="11"/>
        <v>62</v>
      </c>
    </row>
    <row r="651" spans="2:7" x14ac:dyDescent="0.25">
      <c r="B651" s="270" t="s">
        <v>330</v>
      </c>
      <c r="C651" s="302" t="s">
        <v>419</v>
      </c>
      <c r="D651" s="274" t="s">
        <v>390</v>
      </c>
      <c r="E651" s="274" t="s">
        <v>405</v>
      </c>
      <c r="F651" s="291">
        <v>0</v>
      </c>
      <c r="G651" s="1">
        <f t="shared" si="11"/>
        <v>63</v>
      </c>
    </row>
    <row r="652" spans="2:7" x14ac:dyDescent="0.25">
      <c r="B652" s="270" t="s">
        <v>330</v>
      </c>
      <c r="C652" s="302" t="s">
        <v>404</v>
      </c>
      <c r="D652" s="274" t="s">
        <v>405</v>
      </c>
      <c r="E652" s="274" t="s">
        <v>415</v>
      </c>
      <c r="F652" s="291">
        <v>0</v>
      </c>
      <c r="G652" s="1">
        <f t="shared" si="11"/>
        <v>63</v>
      </c>
    </row>
    <row r="653" spans="2:7" x14ac:dyDescent="0.25">
      <c r="B653" s="270" t="s">
        <v>330</v>
      </c>
      <c r="C653" s="302" t="s">
        <v>372</v>
      </c>
      <c r="D653" s="274" t="s">
        <v>382</v>
      </c>
      <c r="E653" s="274"/>
      <c r="F653" s="291">
        <v>0</v>
      </c>
      <c r="G653" s="1">
        <f t="shared" si="11"/>
        <v>0</v>
      </c>
    </row>
    <row r="654" spans="2:7" x14ac:dyDescent="0.25">
      <c r="B654" s="270" t="s">
        <v>330</v>
      </c>
      <c r="C654" s="302" t="s">
        <v>383</v>
      </c>
      <c r="D654" s="274" t="s">
        <v>384</v>
      </c>
      <c r="E654" s="274" t="s">
        <v>397</v>
      </c>
      <c r="F654" s="291">
        <v>0</v>
      </c>
      <c r="G654" s="1">
        <f t="shared" si="11"/>
        <v>62</v>
      </c>
    </row>
    <row r="655" spans="2:7" x14ac:dyDescent="0.25">
      <c r="B655" s="270" t="s">
        <v>330</v>
      </c>
      <c r="C655" s="302" t="s">
        <v>420</v>
      </c>
      <c r="D655" s="274" t="s">
        <v>384</v>
      </c>
      <c r="E655" s="274" t="s">
        <v>384</v>
      </c>
      <c r="F655" s="291">
        <v>0</v>
      </c>
      <c r="G655" s="1">
        <f t="shared" si="11"/>
        <v>62</v>
      </c>
    </row>
    <row r="656" spans="2:7" x14ac:dyDescent="0.25">
      <c r="B656" s="270" t="s">
        <v>330</v>
      </c>
      <c r="C656" s="302" t="s">
        <v>373</v>
      </c>
      <c r="D656" s="274" t="s">
        <v>382</v>
      </c>
      <c r="E656" s="274" t="s">
        <v>397</v>
      </c>
      <c r="F656" s="291">
        <v>0</v>
      </c>
      <c r="G656" s="1">
        <f t="shared" si="11"/>
        <v>62</v>
      </c>
    </row>
    <row r="657" spans="2:7" x14ac:dyDescent="0.25">
      <c r="B657" s="270" t="s">
        <v>330</v>
      </c>
      <c r="C657" s="302" t="s">
        <v>409</v>
      </c>
      <c r="D657" s="274" t="s">
        <v>400</v>
      </c>
      <c r="E657" s="274" t="s">
        <v>400</v>
      </c>
      <c r="F657" s="291">
        <v>0</v>
      </c>
      <c r="G657" s="1">
        <f t="shared" si="11"/>
        <v>62</v>
      </c>
    </row>
    <row r="658" spans="2:7" x14ac:dyDescent="0.25">
      <c r="B658" s="270" t="s">
        <v>330</v>
      </c>
      <c r="C658" s="302" t="s">
        <v>375</v>
      </c>
      <c r="D658" s="274" t="s">
        <v>385</v>
      </c>
      <c r="E658" s="274" t="s">
        <v>415</v>
      </c>
      <c r="F658" s="291">
        <v>0</v>
      </c>
      <c r="G658" s="1">
        <f t="shared" si="11"/>
        <v>63</v>
      </c>
    </row>
    <row r="659" spans="2:7" x14ac:dyDescent="0.25">
      <c r="B659" s="270" t="s">
        <v>330</v>
      </c>
      <c r="C659" s="302" t="s">
        <v>374</v>
      </c>
      <c r="D659" s="274" t="s">
        <v>402</v>
      </c>
      <c r="E659" s="274" t="s">
        <v>403</v>
      </c>
      <c r="F659" s="291">
        <v>0</v>
      </c>
      <c r="G659" s="1">
        <f t="shared" si="11"/>
        <v>62</v>
      </c>
    </row>
    <row r="660" spans="2:7" x14ac:dyDescent="0.25">
      <c r="B660" s="270" t="s">
        <v>330</v>
      </c>
      <c r="C660" s="302" t="s">
        <v>386</v>
      </c>
      <c r="D660" s="274" t="s">
        <v>387</v>
      </c>
      <c r="E660" s="274" t="s">
        <v>415</v>
      </c>
      <c r="F660" s="291">
        <v>0</v>
      </c>
      <c r="G660" s="1">
        <f t="shared" si="11"/>
        <v>63</v>
      </c>
    </row>
    <row r="661" spans="2:7" x14ac:dyDescent="0.25">
      <c r="B661" s="270" t="s">
        <v>330</v>
      </c>
      <c r="C661" s="302" t="s">
        <v>388</v>
      </c>
      <c r="D661" s="274" t="s">
        <v>389</v>
      </c>
      <c r="E661" s="274" t="s">
        <v>421</v>
      </c>
      <c r="F661" s="291">
        <v>0</v>
      </c>
      <c r="G661" s="1">
        <f t="shared" si="11"/>
        <v>64</v>
      </c>
    </row>
    <row r="662" spans="2:7" x14ac:dyDescent="0.25">
      <c r="B662" s="270" t="s">
        <v>330</v>
      </c>
      <c r="C662" s="302" t="s">
        <v>410</v>
      </c>
      <c r="D662" s="274" t="s">
        <v>411</v>
      </c>
      <c r="E662" s="274" t="s">
        <v>412</v>
      </c>
      <c r="F662" s="291">
        <v>0</v>
      </c>
      <c r="G662" s="1">
        <f t="shared" si="11"/>
        <v>63</v>
      </c>
    </row>
    <row r="663" spans="2:7" x14ac:dyDescent="0.25">
      <c r="B663" s="270" t="s">
        <v>330</v>
      </c>
      <c r="C663" s="302" t="s">
        <v>422</v>
      </c>
      <c r="D663" s="274" t="s">
        <v>412</v>
      </c>
      <c r="E663" s="274" t="s">
        <v>391</v>
      </c>
      <c r="F663" s="291">
        <v>0</v>
      </c>
      <c r="G663" s="1">
        <f t="shared" si="11"/>
        <v>64</v>
      </c>
    </row>
    <row r="664" spans="2:7" x14ac:dyDescent="0.25">
      <c r="B664" s="270" t="s">
        <v>330</v>
      </c>
      <c r="C664" s="302" t="s">
        <v>377</v>
      </c>
      <c r="D664" s="274" t="s">
        <v>390</v>
      </c>
      <c r="E664" s="274"/>
      <c r="F664" s="291">
        <v>0</v>
      </c>
      <c r="G664" s="1">
        <f t="shared" si="11"/>
        <v>0</v>
      </c>
    </row>
    <row r="665" spans="2:7" x14ac:dyDescent="0.25">
      <c r="B665" s="270" t="s">
        <v>330</v>
      </c>
      <c r="C665" s="302" t="s">
        <v>379</v>
      </c>
      <c r="D665" s="274" t="s">
        <v>391</v>
      </c>
      <c r="E665" s="274" t="s">
        <v>413</v>
      </c>
      <c r="F665" s="291">
        <v>0</v>
      </c>
      <c r="G665" s="1">
        <f t="shared" si="11"/>
        <v>64</v>
      </c>
    </row>
    <row r="666" spans="2:7" x14ac:dyDescent="0.25">
      <c r="B666" s="270" t="s">
        <v>330</v>
      </c>
      <c r="C666" s="302" t="s">
        <v>378</v>
      </c>
      <c r="D666" s="274" t="s">
        <v>392</v>
      </c>
      <c r="E666" s="274"/>
      <c r="F666" s="291">
        <v>0</v>
      </c>
      <c r="G666" s="1">
        <f t="shared" si="11"/>
        <v>0</v>
      </c>
    </row>
    <row r="667" spans="2:7" x14ac:dyDescent="0.25">
      <c r="B667" s="270" t="s">
        <v>330</v>
      </c>
      <c r="C667" s="302" t="s">
        <v>414</v>
      </c>
      <c r="D667" s="274" t="s">
        <v>415</v>
      </c>
      <c r="E667" s="274" t="s">
        <v>411</v>
      </c>
      <c r="F667" s="291">
        <v>0</v>
      </c>
      <c r="G667" s="1">
        <f t="shared" si="11"/>
        <v>63</v>
      </c>
    </row>
    <row r="668" spans="2:7" x14ac:dyDescent="0.25">
      <c r="B668" s="270" t="s">
        <v>330</v>
      </c>
      <c r="C668" s="302" t="s">
        <v>416</v>
      </c>
      <c r="D668" s="274" t="s">
        <v>411</v>
      </c>
      <c r="E668" s="274" t="s">
        <v>412</v>
      </c>
      <c r="F668" s="291">
        <v>0</v>
      </c>
      <c r="G668" s="1">
        <f t="shared" si="11"/>
        <v>63</v>
      </c>
    </row>
    <row r="669" spans="2:7" x14ac:dyDescent="0.25">
      <c r="B669" s="270" t="s">
        <v>330</v>
      </c>
      <c r="C669" s="302" t="s">
        <v>417</v>
      </c>
      <c r="D669" s="274" t="s">
        <v>415</v>
      </c>
      <c r="E669" s="274" t="s">
        <v>411</v>
      </c>
      <c r="F669" s="291">
        <v>0</v>
      </c>
      <c r="G669" s="1">
        <f t="shared" si="11"/>
        <v>63</v>
      </c>
    </row>
    <row r="670" spans="2:7" x14ac:dyDescent="0.25">
      <c r="B670" s="270" t="s">
        <v>330</v>
      </c>
      <c r="C670" s="302" t="s">
        <v>418</v>
      </c>
      <c r="D670" s="274" t="s">
        <v>391</v>
      </c>
      <c r="E670" s="274" t="s">
        <v>389</v>
      </c>
      <c r="F670" s="291">
        <v>0</v>
      </c>
      <c r="G670" s="1">
        <f t="shared" si="11"/>
        <v>64</v>
      </c>
    </row>
    <row r="675" spans="2:2" x14ac:dyDescent="0.25">
      <c r="B675" s="10"/>
    </row>
    <row r="676" spans="2:2" x14ac:dyDescent="0.25">
      <c r="B676" s="10"/>
    </row>
    <row r="677" spans="2:2" x14ac:dyDescent="0.25">
      <c r="B677" s="10"/>
    </row>
    <row r="678" spans="2:2" x14ac:dyDescent="0.25">
      <c r="B678" s="10"/>
    </row>
    <row r="679" spans="2:2" x14ac:dyDescent="0.25">
      <c r="B679" s="10"/>
    </row>
    <row r="680" spans="2:2" x14ac:dyDescent="0.25">
      <c r="B680" s="10"/>
    </row>
    <row r="681" spans="2:2" x14ac:dyDescent="0.25">
      <c r="B681" s="10"/>
    </row>
    <row r="682" spans="2:2" x14ac:dyDescent="0.25">
      <c r="B682" s="10"/>
    </row>
    <row r="683" spans="2:2" x14ac:dyDescent="0.25">
      <c r="B683" s="10"/>
    </row>
    <row r="684" spans="2:2" x14ac:dyDescent="0.25">
      <c r="B684" s="1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3"/>
  <sheetViews>
    <sheetView workbookViewId="0">
      <pane xSplit="1" ySplit="5" topLeftCell="B6" activePane="bottomRight" state="frozen"/>
      <selection pane="topRight" activeCell="B1" sqref="B1"/>
      <selection pane="bottomLeft" activeCell="A6" sqref="A6"/>
      <selection pane="bottomRight" activeCell="A6" sqref="A6:XFD13"/>
    </sheetView>
  </sheetViews>
  <sheetFormatPr defaultRowHeight="15" x14ac:dyDescent="0.25"/>
  <cols>
    <col min="1" max="1" width="6" customWidth="1"/>
    <col min="2" max="2" width="36.28515625" customWidth="1"/>
    <col min="3" max="3" width="14.42578125" style="1" customWidth="1"/>
    <col min="4" max="5" width="15.140625" style="1" customWidth="1"/>
  </cols>
  <sheetData>
    <row r="1" spans="1:5" x14ac:dyDescent="0.25">
      <c r="A1" t="str">
        <f>CourseName</f>
        <v>Cs525 ASD - Fall 2012</v>
      </c>
    </row>
    <row r="2" spans="1:5" x14ac:dyDescent="0.25">
      <c r="B2" s="39" t="s">
        <v>213</v>
      </c>
      <c r="C2" s="94">
        <v>41793.895555555559</v>
      </c>
    </row>
    <row r="3" spans="1:5" x14ac:dyDescent="0.25">
      <c r="B3" s="39" t="s">
        <v>52</v>
      </c>
      <c r="C3" s="1">
        <f>COUNTA(Data AsgnNames)</f>
        <v>8</v>
      </c>
      <c r="E3" s="110" t="s">
        <v>238</v>
      </c>
    </row>
    <row r="4" spans="1:5" ht="18.75" x14ac:dyDescent="0.3">
      <c r="A4" s="34" t="s">
        <v>211</v>
      </c>
    </row>
    <row r="5" spans="1:5" x14ac:dyDescent="0.25">
      <c r="B5" s="229" t="s">
        <v>222</v>
      </c>
      <c r="C5" s="230" t="s">
        <v>221</v>
      </c>
      <c r="D5" s="230" t="s">
        <v>209</v>
      </c>
      <c r="E5" s="230" t="s">
        <v>210</v>
      </c>
    </row>
    <row r="6" spans="1:5" x14ac:dyDescent="0.25">
      <c r="B6" s="271" t="s">
        <v>372</v>
      </c>
      <c r="C6" s="275">
        <v>41239</v>
      </c>
      <c r="D6" s="275">
        <v>41239</v>
      </c>
      <c r="E6" s="273">
        <v>10</v>
      </c>
    </row>
    <row r="7" spans="1:5" x14ac:dyDescent="0.25">
      <c r="B7" s="271" t="s">
        <v>373</v>
      </c>
      <c r="C7" s="275">
        <v>41246</v>
      </c>
      <c r="D7" s="275">
        <v>41246</v>
      </c>
      <c r="E7" s="273">
        <v>10</v>
      </c>
    </row>
    <row r="8" spans="1:5" x14ac:dyDescent="0.25">
      <c r="B8" s="271" t="s">
        <v>374</v>
      </c>
      <c r="C8" s="275">
        <v>41249</v>
      </c>
      <c r="D8" s="275">
        <v>41249</v>
      </c>
      <c r="E8" s="273">
        <v>10</v>
      </c>
    </row>
    <row r="9" spans="1:5" x14ac:dyDescent="0.25">
      <c r="B9" s="271" t="s">
        <v>375</v>
      </c>
      <c r="C9" s="275">
        <v>41252</v>
      </c>
      <c r="D9" s="275">
        <v>41252</v>
      </c>
      <c r="E9" s="273">
        <v>10</v>
      </c>
    </row>
    <row r="10" spans="1:5" x14ac:dyDescent="0.25">
      <c r="B10" s="271" t="s">
        <v>376</v>
      </c>
      <c r="C10" s="275">
        <v>41257</v>
      </c>
      <c r="D10" s="275">
        <v>41257</v>
      </c>
      <c r="E10" s="273">
        <v>35</v>
      </c>
    </row>
    <row r="11" spans="1:5" x14ac:dyDescent="0.25">
      <c r="B11" s="271" t="s">
        <v>377</v>
      </c>
      <c r="C11" s="275">
        <v>41259</v>
      </c>
      <c r="D11" s="275">
        <v>41259</v>
      </c>
      <c r="E11" s="273">
        <v>10</v>
      </c>
    </row>
    <row r="12" spans="1:5" x14ac:dyDescent="0.25">
      <c r="B12" s="271" t="s">
        <v>378</v>
      </c>
      <c r="C12" s="275">
        <v>41263</v>
      </c>
      <c r="D12" s="275">
        <v>41263</v>
      </c>
      <c r="E12" s="273">
        <v>10</v>
      </c>
    </row>
    <row r="13" spans="1:5" x14ac:dyDescent="0.25">
      <c r="B13" s="271" t="s">
        <v>379</v>
      </c>
      <c r="C13" s="275">
        <v>41263</v>
      </c>
      <c r="D13" s="275">
        <v>41263</v>
      </c>
      <c r="E13" s="273">
        <v>10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41"/>
  <sheetViews>
    <sheetView topLeftCell="B1" workbookViewId="0">
      <pane xSplit="1" ySplit="7" topLeftCell="C32" activePane="bottomRight" state="frozen"/>
      <selection activeCell="B1" sqref="B1"/>
      <selection pane="topRight" activeCell="C1" sqref="C1"/>
      <selection pane="bottomLeft" activeCell="B8" sqref="B8"/>
      <selection pane="bottomRight" activeCell="A8" sqref="A8:XFD34"/>
    </sheetView>
  </sheetViews>
  <sheetFormatPr defaultRowHeight="15" x14ac:dyDescent="0.25"/>
  <cols>
    <col min="1" max="1" width="4.7109375" customWidth="1"/>
    <col min="2" max="2" width="10.42578125" customWidth="1"/>
    <col min="3" max="3" width="28.85546875" customWidth="1"/>
    <col min="4" max="4" width="31.5703125" customWidth="1"/>
    <col min="5" max="5" width="30" customWidth="1"/>
    <col min="6" max="6" width="10.28515625" style="1" customWidth="1"/>
  </cols>
  <sheetData>
    <row r="1" spans="1:6" ht="18.75" x14ac:dyDescent="0.3">
      <c r="B1" s="36" t="s">
        <v>47</v>
      </c>
    </row>
    <row r="2" spans="1:6" ht="18.75" x14ac:dyDescent="0.3">
      <c r="A2" s="10"/>
      <c r="B2" s="34" t="str">
        <f>CourseName</f>
        <v>Cs525 ASD - Fall 2012</v>
      </c>
      <c r="E2" s="10"/>
      <c r="F2" s="12"/>
    </row>
    <row r="3" spans="1:6" x14ac:dyDescent="0.25">
      <c r="B3" s="181">
        <f>start</f>
        <v>40817</v>
      </c>
      <c r="C3" s="22" t="s">
        <v>48</v>
      </c>
      <c r="D3" s="26">
        <v>41793.895312499997</v>
      </c>
      <c r="E3" s="12"/>
      <c r="F3" s="12"/>
    </row>
    <row r="4" spans="1:6" x14ac:dyDescent="0.25">
      <c r="B4" s="35"/>
      <c r="C4" s="22" t="s">
        <v>52</v>
      </c>
      <c r="D4" s="51">
        <f>COUNTA(rName rData)</f>
        <v>27</v>
      </c>
      <c r="E4" s="12"/>
      <c r="F4" s="12"/>
    </row>
    <row r="5" spans="1:6" ht="8.25" customHeight="1" x14ac:dyDescent="0.25">
      <c r="A5" s="22"/>
      <c r="B5" s="13"/>
      <c r="C5" s="12"/>
      <c r="D5" s="12"/>
      <c r="E5" s="12"/>
      <c r="F5" s="12"/>
    </row>
    <row r="6" spans="1:6" x14ac:dyDescent="0.25">
      <c r="A6" s="10"/>
      <c r="B6" s="10"/>
      <c r="C6" s="8" t="s">
        <v>1</v>
      </c>
      <c r="D6" s="8" t="s">
        <v>0</v>
      </c>
      <c r="E6" s="8" t="s">
        <v>29</v>
      </c>
      <c r="F6" s="96" t="s">
        <v>30</v>
      </c>
    </row>
    <row r="7" spans="1:6" ht="3.75" customHeight="1" x14ac:dyDescent="0.25">
      <c r="A7" s="10"/>
      <c r="B7" s="10">
        <v>0</v>
      </c>
      <c r="C7" s="33"/>
      <c r="D7" s="33"/>
      <c r="E7" s="33"/>
      <c r="F7" s="135"/>
    </row>
    <row r="8" spans="1:6" x14ac:dyDescent="0.25">
      <c r="A8" s="10"/>
      <c r="B8" s="12">
        <f>B7+1</f>
        <v>1</v>
      </c>
      <c r="C8" s="271" t="s">
        <v>319</v>
      </c>
      <c r="D8" s="272" t="s">
        <v>320</v>
      </c>
      <c r="E8" s="272" t="s">
        <v>320</v>
      </c>
      <c r="F8" s="276" t="s">
        <v>32</v>
      </c>
    </row>
    <row r="9" spans="1:6" x14ac:dyDescent="0.25">
      <c r="A9" s="10"/>
      <c r="B9" s="12">
        <f t="shared" ref="B9:B34" si="0">B8+1</f>
        <v>2</v>
      </c>
      <c r="C9" s="271" t="s">
        <v>321</v>
      </c>
      <c r="D9" s="272" t="s">
        <v>322</v>
      </c>
      <c r="E9" s="272" t="s">
        <v>322</v>
      </c>
      <c r="F9" s="276" t="s">
        <v>32</v>
      </c>
    </row>
    <row r="10" spans="1:6" x14ac:dyDescent="0.25">
      <c r="A10" s="10"/>
      <c r="B10" s="12">
        <f t="shared" si="0"/>
        <v>3</v>
      </c>
      <c r="C10" s="271" t="s">
        <v>323</v>
      </c>
      <c r="D10" s="272" t="s">
        <v>324</v>
      </c>
      <c r="E10" s="272" t="s">
        <v>324</v>
      </c>
      <c r="F10" s="276" t="s">
        <v>32</v>
      </c>
    </row>
    <row r="11" spans="1:6" x14ac:dyDescent="0.25">
      <c r="A11" s="10"/>
      <c r="B11" s="12">
        <f t="shared" si="0"/>
        <v>4</v>
      </c>
      <c r="C11" s="271" t="s">
        <v>325</v>
      </c>
      <c r="D11" s="272" t="s">
        <v>326</v>
      </c>
      <c r="E11" s="272" t="s">
        <v>326</v>
      </c>
      <c r="F11" s="276" t="s">
        <v>32</v>
      </c>
    </row>
    <row r="12" spans="1:6" x14ac:dyDescent="0.25">
      <c r="A12" s="10"/>
      <c r="B12" s="12">
        <f t="shared" si="0"/>
        <v>5</v>
      </c>
      <c r="C12" s="271" t="s">
        <v>327</v>
      </c>
      <c r="D12" s="272" t="s">
        <v>328</v>
      </c>
      <c r="E12" s="272" t="s">
        <v>329</v>
      </c>
      <c r="F12" s="276" t="s">
        <v>32</v>
      </c>
    </row>
    <row r="13" spans="1:6" x14ac:dyDescent="0.25">
      <c r="A13" s="10"/>
      <c r="B13" s="12">
        <f t="shared" si="0"/>
        <v>6</v>
      </c>
      <c r="C13" s="271" t="s">
        <v>330</v>
      </c>
      <c r="D13" s="272" t="s">
        <v>331</v>
      </c>
      <c r="E13" s="272" t="s">
        <v>331</v>
      </c>
      <c r="F13" s="276" t="s">
        <v>32</v>
      </c>
    </row>
    <row r="14" spans="1:6" x14ac:dyDescent="0.25">
      <c r="A14" s="10"/>
      <c r="B14" s="12">
        <f t="shared" si="0"/>
        <v>7</v>
      </c>
      <c r="C14" s="271" t="s">
        <v>332</v>
      </c>
      <c r="D14" s="272" t="s">
        <v>333</v>
      </c>
      <c r="E14" s="272" t="s">
        <v>333</v>
      </c>
      <c r="F14" s="276" t="s">
        <v>32</v>
      </c>
    </row>
    <row r="15" spans="1:6" x14ac:dyDescent="0.25">
      <c r="A15" s="10"/>
      <c r="B15" s="12">
        <f t="shared" si="0"/>
        <v>8</v>
      </c>
      <c r="C15" s="271" t="s">
        <v>334</v>
      </c>
      <c r="D15" s="272" t="s">
        <v>335</v>
      </c>
      <c r="E15" s="272" t="s">
        <v>335</v>
      </c>
      <c r="F15" s="276" t="s">
        <v>32</v>
      </c>
    </row>
    <row r="16" spans="1:6" x14ac:dyDescent="0.25">
      <c r="A16" s="10"/>
      <c r="B16" s="12">
        <f t="shared" si="0"/>
        <v>9</v>
      </c>
      <c r="C16" s="271" t="s">
        <v>336</v>
      </c>
      <c r="D16" s="272" t="s">
        <v>337</v>
      </c>
      <c r="E16" s="272" t="s">
        <v>337</v>
      </c>
      <c r="F16" s="276" t="s">
        <v>32</v>
      </c>
    </row>
    <row r="17" spans="1:6" x14ac:dyDescent="0.25">
      <c r="A17" s="10"/>
      <c r="B17" s="12">
        <f t="shared" si="0"/>
        <v>10</v>
      </c>
      <c r="C17" s="271" t="s">
        <v>338</v>
      </c>
      <c r="D17" s="272" t="s">
        <v>339</v>
      </c>
      <c r="E17" s="272" t="s">
        <v>339</v>
      </c>
      <c r="F17" s="276" t="s">
        <v>32</v>
      </c>
    </row>
    <row r="18" spans="1:6" x14ac:dyDescent="0.25">
      <c r="A18" s="10"/>
      <c r="B18" s="12">
        <f t="shared" si="0"/>
        <v>11</v>
      </c>
      <c r="C18" s="271" t="s">
        <v>340</v>
      </c>
      <c r="D18" s="272" t="s">
        <v>341</v>
      </c>
      <c r="E18" s="272" t="s">
        <v>341</v>
      </c>
      <c r="F18" s="276" t="s">
        <v>32</v>
      </c>
    </row>
    <row r="19" spans="1:6" x14ac:dyDescent="0.25">
      <c r="A19" s="10"/>
      <c r="B19" s="12">
        <f t="shared" si="0"/>
        <v>12</v>
      </c>
      <c r="C19" s="271" t="s">
        <v>342</v>
      </c>
      <c r="D19" s="272" t="s">
        <v>343</v>
      </c>
      <c r="E19" s="272" t="s">
        <v>343</v>
      </c>
      <c r="F19" s="276" t="s">
        <v>32</v>
      </c>
    </row>
    <row r="20" spans="1:6" x14ac:dyDescent="0.25">
      <c r="A20" s="10"/>
      <c r="B20" s="12">
        <f t="shared" si="0"/>
        <v>13</v>
      </c>
      <c r="C20" s="271" t="s">
        <v>344</v>
      </c>
      <c r="D20" s="272" t="s">
        <v>345</v>
      </c>
      <c r="E20" s="272" t="s">
        <v>346</v>
      </c>
      <c r="F20" s="276" t="s">
        <v>32</v>
      </c>
    </row>
    <row r="21" spans="1:6" x14ac:dyDescent="0.25">
      <c r="A21" s="10"/>
      <c r="B21" s="12">
        <f t="shared" si="0"/>
        <v>14</v>
      </c>
      <c r="C21" s="271" t="s">
        <v>347</v>
      </c>
      <c r="D21" s="272" t="s">
        <v>348</v>
      </c>
      <c r="E21" s="272" t="s">
        <v>348</v>
      </c>
      <c r="F21" s="276" t="s">
        <v>32</v>
      </c>
    </row>
    <row r="22" spans="1:6" x14ac:dyDescent="0.25">
      <c r="A22" s="10"/>
      <c r="B22" s="12">
        <f t="shared" si="0"/>
        <v>15</v>
      </c>
      <c r="C22" s="271" t="s">
        <v>349</v>
      </c>
      <c r="D22" s="272" t="s">
        <v>350</v>
      </c>
      <c r="E22" s="272" t="s">
        <v>350</v>
      </c>
      <c r="F22" s="276" t="s">
        <v>32</v>
      </c>
    </row>
    <row r="23" spans="1:6" x14ac:dyDescent="0.25">
      <c r="A23" s="10"/>
      <c r="B23" s="12">
        <f t="shared" si="0"/>
        <v>16</v>
      </c>
      <c r="C23" s="271" t="s">
        <v>268</v>
      </c>
      <c r="D23" s="272" t="s">
        <v>267</v>
      </c>
      <c r="E23" s="272" t="s">
        <v>267</v>
      </c>
      <c r="F23" s="276" t="s">
        <v>32</v>
      </c>
    </row>
    <row r="24" spans="1:6" x14ac:dyDescent="0.25">
      <c r="A24" s="10"/>
      <c r="B24" s="12">
        <f t="shared" si="0"/>
        <v>17</v>
      </c>
      <c r="C24" s="271" t="s">
        <v>351</v>
      </c>
      <c r="D24" s="272" t="s">
        <v>352</v>
      </c>
      <c r="E24" s="272" t="s">
        <v>352</v>
      </c>
      <c r="F24" s="276" t="s">
        <v>32</v>
      </c>
    </row>
    <row r="25" spans="1:6" x14ac:dyDescent="0.25">
      <c r="A25" s="10"/>
      <c r="B25" s="12">
        <f t="shared" si="0"/>
        <v>18</v>
      </c>
      <c r="C25" s="271" t="s">
        <v>353</v>
      </c>
      <c r="D25" s="272" t="s">
        <v>354</v>
      </c>
      <c r="E25" s="272" t="s">
        <v>354</v>
      </c>
      <c r="F25" s="276" t="s">
        <v>32</v>
      </c>
    </row>
    <row r="26" spans="1:6" x14ac:dyDescent="0.25">
      <c r="A26" s="10"/>
      <c r="B26" s="12">
        <f t="shared" si="0"/>
        <v>19</v>
      </c>
      <c r="C26" s="271" t="s">
        <v>355</v>
      </c>
      <c r="D26" s="272" t="s">
        <v>356</v>
      </c>
      <c r="E26" s="272" t="s">
        <v>356</v>
      </c>
      <c r="F26" s="276" t="s">
        <v>32</v>
      </c>
    </row>
    <row r="27" spans="1:6" x14ac:dyDescent="0.25">
      <c r="A27" s="10"/>
      <c r="B27" s="12">
        <f t="shared" si="0"/>
        <v>20</v>
      </c>
      <c r="C27" s="271" t="s">
        <v>357</v>
      </c>
      <c r="D27" s="272" t="s">
        <v>358</v>
      </c>
      <c r="E27" s="272" t="s">
        <v>358</v>
      </c>
      <c r="F27" s="276" t="s">
        <v>32</v>
      </c>
    </row>
    <row r="28" spans="1:6" x14ac:dyDescent="0.25">
      <c r="A28" s="10"/>
      <c r="B28" s="12">
        <f t="shared" si="0"/>
        <v>21</v>
      </c>
      <c r="C28" s="271" t="s">
        <v>359</v>
      </c>
      <c r="D28" s="272" t="s">
        <v>360</v>
      </c>
      <c r="E28" s="272" t="s">
        <v>360</v>
      </c>
      <c r="F28" s="276" t="s">
        <v>32</v>
      </c>
    </row>
    <row r="29" spans="1:6" x14ac:dyDescent="0.25">
      <c r="A29" s="10"/>
      <c r="B29" s="12">
        <f t="shared" si="0"/>
        <v>22</v>
      </c>
      <c r="C29" s="271" t="s">
        <v>361</v>
      </c>
      <c r="D29" s="272" t="s">
        <v>362</v>
      </c>
      <c r="E29" s="272" t="s">
        <v>363</v>
      </c>
      <c r="F29" s="276" t="s">
        <v>32</v>
      </c>
    </row>
    <row r="30" spans="1:6" x14ac:dyDescent="0.25">
      <c r="A30" s="10"/>
      <c r="B30" s="12">
        <f t="shared" si="0"/>
        <v>23</v>
      </c>
      <c r="C30" s="271" t="s">
        <v>364</v>
      </c>
      <c r="D30" s="272" t="s">
        <v>365</v>
      </c>
      <c r="E30" s="272" t="s">
        <v>365</v>
      </c>
      <c r="F30" s="276" t="s">
        <v>32</v>
      </c>
    </row>
    <row r="31" spans="1:6" x14ac:dyDescent="0.25">
      <c r="A31" s="10"/>
      <c r="B31" s="12">
        <f t="shared" si="0"/>
        <v>24</v>
      </c>
      <c r="C31" s="271" t="s">
        <v>366</v>
      </c>
      <c r="D31" s="272" t="s">
        <v>367</v>
      </c>
      <c r="E31" s="272" t="s">
        <v>367</v>
      </c>
      <c r="F31" s="276" t="s">
        <v>32</v>
      </c>
    </row>
    <row r="32" spans="1:6" x14ac:dyDescent="0.25">
      <c r="A32" s="10"/>
      <c r="B32" s="12">
        <f t="shared" si="0"/>
        <v>25</v>
      </c>
      <c r="C32" s="271" t="s">
        <v>368</v>
      </c>
      <c r="D32" s="272" t="s">
        <v>369</v>
      </c>
      <c r="E32" s="272" t="s">
        <v>369</v>
      </c>
      <c r="F32" s="276" t="s">
        <v>32</v>
      </c>
    </row>
    <row r="33" spans="1:6" x14ac:dyDescent="0.25">
      <c r="A33" s="10"/>
      <c r="B33" s="12">
        <f t="shared" si="0"/>
        <v>26</v>
      </c>
      <c r="C33" s="271" t="s">
        <v>370</v>
      </c>
      <c r="D33" s="272" t="s">
        <v>371</v>
      </c>
      <c r="E33" s="272" t="s">
        <v>371</v>
      </c>
      <c r="F33" s="276" t="s">
        <v>32</v>
      </c>
    </row>
    <row r="34" spans="1:6" x14ac:dyDescent="0.25">
      <c r="A34" s="10"/>
      <c r="B34" s="12">
        <f t="shared" si="0"/>
        <v>27</v>
      </c>
      <c r="C34" s="271" t="s">
        <v>280</v>
      </c>
      <c r="D34" s="272" t="s">
        <v>279</v>
      </c>
      <c r="E34" s="272" t="s">
        <v>279</v>
      </c>
      <c r="F34" s="276" t="s">
        <v>32</v>
      </c>
    </row>
    <row r="35" spans="1:6" ht="6" customHeight="1" x14ac:dyDescent="0.25">
      <c r="A35" s="10"/>
      <c r="B35" s="10"/>
      <c r="C35" s="33"/>
      <c r="D35" s="33"/>
      <c r="E35" s="33"/>
      <c r="F35" s="135"/>
    </row>
    <row r="36" spans="1:6" ht="13.5" customHeight="1" x14ac:dyDescent="0.25">
      <c r="A36" s="10"/>
      <c r="B36" s="10"/>
      <c r="C36" s="12">
        <f>COUNTA(rName rData)</f>
        <v>27</v>
      </c>
      <c r="D36" s="10"/>
      <c r="E36" s="12"/>
      <c r="F36"/>
    </row>
    <row r="37" spans="1:6" x14ac:dyDescent="0.25">
      <c r="A37" s="10"/>
      <c r="B37" s="10"/>
      <c r="C37" s="10"/>
      <c r="D37" s="10"/>
      <c r="E37" s="10"/>
      <c r="F37" s="12"/>
    </row>
    <row r="38" spans="1:6" x14ac:dyDescent="0.25">
      <c r="A38" s="10"/>
      <c r="B38" s="12"/>
      <c r="C38" s="10" t="s">
        <v>39</v>
      </c>
      <c r="D38" s="10" t="s">
        <v>26</v>
      </c>
      <c r="E38" s="10" t="s">
        <v>26</v>
      </c>
      <c r="F38" s="21" t="s">
        <v>40</v>
      </c>
    </row>
    <row r="39" spans="1:6" x14ac:dyDescent="0.25">
      <c r="A39" s="10"/>
      <c r="B39" s="12"/>
      <c r="C39" s="10" t="s">
        <v>45</v>
      </c>
      <c r="D39" s="10" t="s">
        <v>46</v>
      </c>
      <c r="E39" s="10" t="s">
        <v>46</v>
      </c>
      <c r="F39" s="21" t="s">
        <v>40</v>
      </c>
    </row>
    <row r="40" spans="1:6" x14ac:dyDescent="0.25">
      <c r="A40" s="10"/>
      <c r="B40" s="12"/>
      <c r="C40" s="10" t="s">
        <v>43</v>
      </c>
      <c r="D40" s="10" t="s">
        <v>44</v>
      </c>
      <c r="E40" s="10" t="s">
        <v>44</v>
      </c>
      <c r="F40" s="21" t="s">
        <v>40</v>
      </c>
    </row>
    <row r="41" spans="1:6" x14ac:dyDescent="0.25">
      <c r="A41" s="10"/>
      <c r="B41" s="10"/>
      <c r="C41" s="10"/>
      <c r="D41" s="10"/>
      <c r="E41" s="10"/>
      <c r="F41" s="1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F28"/>
  <sheetViews>
    <sheetView workbookViewId="0">
      <selection activeCell="I24" sqref="I24"/>
    </sheetView>
  </sheetViews>
  <sheetFormatPr defaultRowHeight="15" x14ac:dyDescent="0.25"/>
  <cols>
    <col min="1" max="1" width="5.7109375" customWidth="1"/>
    <col min="2" max="2" width="47.140625" style="6" customWidth="1"/>
    <col min="3" max="3" width="11.42578125" customWidth="1"/>
    <col min="4" max="4" width="9.7109375" customWidth="1"/>
    <col min="5" max="5" width="10.28515625" customWidth="1"/>
    <col min="6" max="6" width="11.5703125" customWidth="1"/>
  </cols>
  <sheetData>
    <row r="2" spans="2:6" ht="18.75" x14ac:dyDescent="0.3">
      <c r="B2" s="212" t="s">
        <v>186</v>
      </c>
    </row>
    <row r="3" spans="2:6" ht="15" customHeight="1" x14ac:dyDescent="0.25">
      <c r="B3" s="211">
        <v>41270</v>
      </c>
    </row>
    <row r="4" spans="2:6" ht="15" customHeight="1" x14ac:dyDescent="0.25">
      <c r="B4" s="210"/>
    </row>
    <row r="5" spans="2:6" ht="31.5" customHeight="1" x14ac:dyDescent="0.25">
      <c r="B5" s="209" t="s">
        <v>1</v>
      </c>
      <c r="C5" s="208" t="s">
        <v>185</v>
      </c>
      <c r="D5" s="208" t="s">
        <v>184</v>
      </c>
      <c r="E5" s="208" t="s">
        <v>183</v>
      </c>
      <c r="F5" s="208" t="s">
        <v>182</v>
      </c>
    </row>
    <row r="6" spans="2:6" ht="15.75" customHeight="1" x14ac:dyDescent="0.25">
      <c r="B6" s="205" t="s">
        <v>181</v>
      </c>
      <c r="C6" s="207">
        <v>0</v>
      </c>
      <c r="D6" s="207">
        <v>1</v>
      </c>
      <c r="E6" s="207">
        <v>143</v>
      </c>
      <c r="F6" s="206">
        <v>0.01</v>
      </c>
    </row>
    <row r="7" spans="2:6" ht="15.75" customHeight="1" x14ac:dyDescent="0.25">
      <c r="B7" s="205" t="s">
        <v>180</v>
      </c>
      <c r="C7" s="207">
        <v>0</v>
      </c>
      <c r="D7" s="207">
        <v>0</v>
      </c>
      <c r="E7" s="207">
        <v>144</v>
      </c>
      <c r="F7" s="206">
        <v>0</v>
      </c>
    </row>
    <row r="8" spans="2:6" ht="15.75" customHeight="1" x14ac:dyDescent="0.25">
      <c r="B8" s="205" t="s">
        <v>179</v>
      </c>
      <c r="C8" s="207">
        <v>25</v>
      </c>
      <c r="D8" s="207">
        <v>143</v>
      </c>
      <c r="E8" s="207">
        <v>1</v>
      </c>
      <c r="F8" s="206">
        <v>0.99</v>
      </c>
    </row>
    <row r="9" spans="2:6" ht="15.75" customHeight="1" x14ac:dyDescent="0.25">
      <c r="B9" s="205" t="s">
        <v>178</v>
      </c>
      <c r="C9" s="207">
        <v>23</v>
      </c>
      <c r="D9" s="207">
        <v>142</v>
      </c>
      <c r="E9" s="207">
        <v>2</v>
      </c>
      <c r="F9" s="206">
        <v>0.99</v>
      </c>
    </row>
    <row r="10" spans="2:6" ht="15.75" customHeight="1" x14ac:dyDescent="0.25">
      <c r="B10" s="205" t="s">
        <v>177</v>
      </c>
      <c r="C10" s="207">
        <v>0</v>
      </c>
      <c r="D10" s="207">
        <v>0</v>
      </c>
      <c r="E10" s="207">
        <v>144</v>
      </c>
      <c r="F10" s="206">
        <v>0</v>
      </c>
    </row>
    <row r="11" spans="2:6" ht="15.75" customHeight="1" x14ac:dyDescent="0.25">
      <c r="B11" s="205" t="s">
        <v>176</v>
      </c>
      <c r="C11" s="207">
        <v>0</v>
      </c>
      <c r="D11" s="207">
        <v>0</v>
      </c>
      <c r="E11" s="207">
        <v>144</v>
      </c>
      <c r="F11" s="206">
        <v>0</v>
      </c>
    </row>
    <row r="12" spans="2:6" ht="15.75" customHeight="1" x14ac:dyDescent="0.25">
      <c r="B12" s="205" t="s">
        <v>175</v>
      </c>
      <c r="C12" s="207">
        <v>3</v>
      </c>
      <c r="D12" s="207">
        <v>140</v>
      </c>
      <c r="E12" s="207">
        <v>4</v>
      </c>
      <c r="F12" s="206">
        <v>0.97</v>
      </c>
    </row>
    <row r="13" spans="2:6" ht="15.75" customHeight="1" x14ac:dyDescent="0.25">
      <c r="B13" s="205" t="s">
        <v>174</v>
      </c>
      <c r="C13" s="207">
        <v>33</v>
      </c>
      <c r="D13" s="207">
        <v>142</v>
      </c>
      <c r="E13" s="207">
        <v>2</v>
      </c>
      <c r="F13" s="206">
        <v>0.99</v>
      </c>
    </row>
    <row r="14" spans="2:6" ht="15.75" customHeight="1" x14ac:dyDescent="0.25">
      <c r="B14" s="205" t="s">
        <v>173</v>
      </c>
      <c r="C14" s="207">
        <v>25</v>
      </c>
      <c r="D14" s="207">
        <v>140</v>
      </c>
      <c r="E14" s="207">
        <v>4</v>
      </c>
      <c r="F14" s="206">
        <v>0.97</v>
      </c>
    </row>
    <row r="15" spans="2:6" ht="15.75" customHeight="1" x14ac:dyDescent="0.25">
      <c r="B15" s="205" t="s">
        <v>172</v>
      </c>
      <c r="C15" s="207">
        <v>11</v>
      </c>
      <c r="D15" s="207">
        <v>92</v>
      </c>
      <c r="E15" s="207">
        <v>52</v>
      </c>
      <c r="F15" s="206">
        <v>0.64</v>
      </c>
    </row>
    <row r="16" spans="2:6" ht="15.75" customHeight="1" x14ac:dyDescent="0.25">
      <c r="B16" s="205" t="s">
        <v>171</v>
      </c>
      <c r="C16" s="207">
        <v>10</v>
      </c>
      <c r="D16" s="207">
        <v>126</v>
      </c>
      <c r="E16" s="207">
        <v>18</v>
      </c>
      <c r="F16" s="206">
        <v>0.88</v>
      </c>
    </row>
    <row r="17" spans="2:6" ht="15.75" customHeight="1" x14ac:dyDescent="0.25">
      <c r="B17" s="205" t="s">
        <v>170</v>
      </c>
      <c r="C17" s="207">
        <v>1</v>
      </c>
      <c r="D17" s="207">
        <v>2</v>
      </c>
      <c r="E17" s="207">
        <v>142</v>
      </c>
      <c r="F17" s="206">
        <v>0.01</v>
      </c>
    </row>
    <row r="18" spans="2:6" ht="15.75" customHeight="1" x14ac:dyDescent="0.25">
      <c r="B18" s="205" t="s">
        <v>169</v>
      </c>
      <c r="C18" s="207">
        <v>0</v>
      </c>
      <c r="D18" s="207">
        <v>0</v>
      </c>
      <c r="E18" s="207">
        <v>144</v>
      </c>
      <c r="F18" s="206">
        <v>0</v>
      </c>
    </row>
    <row r="19" spans="2:6" ht="15.75" customHeight="1" x14ac:dyDescent="0.25">
      <c r="B19" s="205" t="s">
        <v>168</v>
      </c>
      <c r="C19" s="207">
        <v>0</v>
      </c>
      <c r="D19" s="207">
        <v>0</v>
      </c>
      <c r="E19" s="207">
        <v>144</v>
      </c>
      <c r="F19" s="206">
        <v>0</v>
      </c>
    </row>
    <row r="20" spans="2:6" ht="15.75" customHeight="1" x14ac:dyDescent="0.25">
      <c r="B20" s="205" t="s">
        <v>167</v>
      </c>
      <c r="C20" s="207">
        <v>0</v>
      </c>
      <c r="D20" s="207">
        <v>0</v>
      </c>
      <c r="E20" s="207">
        <v>144</v>
      </c>
      <c r="F20" s="206">
        <v>0</v>
      </c>
    </row>
    <row r="21" spans="2:6" ht="15.75" customHeight="1" x14ac:dyDescent="0.25">
      <c r="B21" s="205" t="s">
        <v>166</v>
      </c>
      <c r="C21" s="207">
        <v>6</v>
      </c>
      <c r="D21" s="207">
        <v>142</v>
      </c>
      <c r="E21" s="207">
        <v>2</v>
      </c>
      <c r="F21" s="206">
        <v>0.99</v>
      </c>
    </row>
    <row r="22" spans="2:6" ht="15.75" customHeight="1" x14ac:dyDescent="0.25">
      <c r="B22" s="205" t="s">
        <v>165</v>
      </c>
      <c r="C22" s="207">
        <v>0</v>
      </c>
      <c r="D22" s="207">
        <v>0</v>
      </c>
      <c r="E22" s="207">
        <v>144</v>
      </c>
      <c r="F22" s="206">
        <v>0</v>
      </c>
    </row>
    <row r="23" spans="2:6" ht="15.75" customHeight="1" x14ac:dyDescent="0.25">
      <c r="B23" s="205" t="s">
        <v>164</v>
      </c>
      <c r="C23" s="207">
        <v>0</v>
      </c>
      <c r="D23" s="207">
        <v>142</v>
      </c>
      <c r="E23" s="207">
        <v>2</v>
      </c>
      <c r="F23" s="206">
        <v>0.99</v>
      </c>
    </row>
    <row r="24" spans="2:6" ht="15.75" customHeight="1" x14ac:dyDescent="0.25">
      <c r="B24" s="205" t="s">
        <v>163</v>
      </c>
      <c r="C24" s="207">
        <v>4</v>
      </c>
      <c r="D24" s="207">
        <v>20</v>
      </c>
      <c r="E24" s="207">
        <v>124</v>
      </c>
      <c r="F24" s="206">
        <v>0.14000000000000001</v>
      </c>
    </row>
    <row r="25" spans="2:6" ht="15.75" customHeight="1" x14ac:dyDescent="0.25">
      <c r="B25" s="205" t="s">
        <v>162</v>
      </c>
      <c r="C25" s="207">
        <v>0</v>
      </c>
      <c r="D25" s="207">
        <v>0</v>
      </c>
      <c r="E25" s="207">
        <v>144</v>
      </c>
      <c r="F25" s="206">
        <v>0</v>
      </c>
    </row>
    <row r="26" spans="2:6" ht="15.75" customHeight="1" x14ac:dyDescent="0.25">
      <c r="B26" s="205" t="s">
        <v>161</v>
      </c>
      <c r="C26" s="207">
        <v>2</v>
      </c>
      <c r="D26" s="207">
        <v>65</v>
      </c>
      <c r="E26" s="207">
        <v>79</v>
      </c>
      <c r="F26" s="206">
        <v>0.45</v>
      </c>
    </row>
    <row r="27" spans="2:6" ht="15.75" customHeight="1" x14ac:dyDescent="0.25">
      <c r="B27" s="205"/>
      <c r="C27" s="213">
        <f>SUM(C6:C26)</f>
        <v>143</v>
      </c>
      <c r="D27" s="213">
        <f t="shared" ref="D27:E27" si="0">SUM(D6:D26)</f>
        <v>1297</v>
      </c>
      <c r="E27" s="213">
        <f t="shared" si="0"/>
        <v>1727</v>
      </c>
      <c r="F27" s="203"/>
    </row>
    <row r="28" spans="2:6" ht="15.75" customHeight="1" x14ac:dyDescent="0.25">
      <c r="B28" s="205"/>
      <c r="C28" s="204"/>
      <c r="D28" s="204"/>
      <c r="E28" s="204"/>
      <c r="F28" s="203"/>
    </row>
  </sheetData>
  <hyperlinks>
    <hyperlink ref="B5" r:id="rId1" tooltip="Name" display="http://sakai.cs.mum.edu/portal/tool/3079c7b5-e5c2-4870-a2d3-e6439db9031b/discussionForum/statistics/dfStatisticsList"/>
    <hyperlink ref="C5" r:id="rId2" tooltip="Authored" display="http://sakai.cs.mum.edu/portal/tool/3079c7b5-e5c2-4870-a2d3-e6439db9031b/discussionForum/statistics/dfStatisticsList"/>
    <hyperlink ref="D5" r:id="rId3" tooltip="Read" display="http://sakai.cs.mum.edu/portal/tool/3079c7b5-e5c2-4870-a2d3-e6439db9031b/discussionForum/statistics/dfStatisticsList"/>
    <hyperlink ref="E5" r:id="rId4" tooltip="Unread" display="http://sakai.cs.mum.edu/portal/tool/3079c7b5-e5c2-4870-a2d3-e6439db9031b/discussionForum/statistics/dfStatisticsList"/>
    <hyperlink ref="F5" r:id="rId5" tooltip="Percent Read" display="http://sakai.cs.mum.edu/portal/tool/3079c7b5-e5c2-4870-a2d3-e6439db9031b/discussionForum/statistics/dfStatisticsList"/>
    <hyperlink ref="B6" r:id="rId6" display="http://sakai.cs.mum.edu/portal/tool/3079c7b5-e5c2-4870-a2d3-e6439db9031b/discussionForum/statistics/dfStatisticsList"/>
    <hyperlink ref="B7" r:id="rId7" display="http://sakai.cs.mum.edu/portal/tool/3079c7b5-e5c2-4870-a2d3-e6439db9031b/discussionForum/statistics/dfStatisticsList"/>
    <hyperlink ref="B8" r:id="rId8" display="http://sakai.cs.mum.edu/portal/tool/3079c7b5-e5c2-4870-a2d3-e6439db9031b/discussionForum/statistics/dfStatisticsList"/>
    <hyperlink ref="B9" r:id="rId9" display="http://sakai.cs.mum.edu/portal/tool/3079c7b5-e5c2-4870-a2d3-e6439db9031b/discussionForum/statistics/dfStatisticsList"/>
    <hyperlink ref="B10" r:id="rId10" display="http://sakai.cs.mum.edu/portal/tool/3079c7b5-e5c2-4870-a2d3-e6439db9031b/discussionForum/statistics/dfStatisticsList"/>
    <hyperlink ref="B11" r:id="rId11" display="http://sakai.cs.mum.edu/portal/tool/3079c7b5-e5c2-4870-a2d3-e6439db9031b/discussionForum/statistics/dfStatisticsList"/>
    <hyperlink ref="B12" r:id="rId12" display="http://sakai.cs.mum.edu/portal/tool/3079c7b5-e5c2-4870-a2d3-e6439db9031b/discussionForum/statistics/dfStatisticsList"/>
    <hyperlink ref="B13" r:id="rId13" display="http://sakai.cs.mum.edu/portal/tool/3079c7b5-e5c2-4870-a2d3-e6439db9031b/discussionForum/statistics/dfStatisticsList"/>
    <hyperlink ref="B14" r:id="rId14" display="http://sakai.cs.mum.edu/portal/tool/3079c7b5-e5c2-4870-a2d3-e6439db9031b/discussionForum/statistics/dfStatisticsList"/>
    <hyperlink ref="B15" r:id="rId15" display="http://sakai.cs.mum.edu/portal/tool/3079c7b5-e5c2-4870-a2d3-e6439db9031b/discussionForum/statistics/dfStatisticsList"/>
    <hyperlink ref="B16" r:id="rId16" display="http://sakai.cs.mum.edu/portal/tool/3079c7b5-e5c2-4870-a2d3-e6439db9031b/discussionForum/statistics/dfStatisticsList"/>
    <hyperlink ref="B17" r:id="rId17" display="http://sakai.cs.mum.edu/portal/tool/3079c7b5-e5c2-4870-a2d3-e6439db9031b/discussionForum/statistics/dfStatisticsList"/>
    <hyperlink ref="B18" r:id="rId18" display="http://sakai.cs.mum.edu/portal/tool/3079c7b5-e5c2-4870-a2d3-e6439db9031b/discussionForum/statistics/dfStatisticsList"/>
    <hyperlink ref="B19" r:id="rId19" display="http://sakai.cs.mum.edu/portal/tool/3079c7b5-e5c2-4870-a2d3-e6439db9031b/discussionForum/statistics/dfStatisticsList"/>
    <hyperlink ref="B20" r:id="rId20" display="http://sakai.cs.mum.edu/portal/tool/3079c7b5-e5c2-4870-a2d3-e6439db9031b/discussionForum/statistics/dfStatisticsList"/>
    <hyperlink ref="B21" r:id="rId21" display="http://sakai.cs.mum.edu/portal/tool/3079c7b5-e5c2-4870-a2d3-e6439db9031b/discussionForum/statistics/dfStatisticsList"/>
    <hyperlink ref="B22" r:id="rId22" display="http://sakai.cs.mum.edu/portal/tool/3079c7b5-e5c2-4870-a2d3-e6439db9031b/discussionForum/statistics/dfStatisticsList"/>
    <hyperlink ref="B23" r:id="rId23" display="http://sakai.cs.mum.edu/portal/tool/3079c7b5-e5c2-4870-a2d3-e6439db9031b/discussionForum/statistics/dfStatisticsList"/>
    <hyperlink ref="B24" r:id="rId24" display="http://sakai.cs.mum.edu/portal/tool/3079c7b5-e5c2-4870-a2d3-e6439db9031b/discussionForum/statistics/dfStatisticsList"/>
    <hyperlink ref="B25" r:id="rId25" display="http://sakai.cs.mum.edu/portal/tool/3079c7b5-e5c2-4870-a2d3-e6439db9031b/discussionForum/statistics/dfStatisticsList"/>
    <hyperlink ref="B26" r:id="rId26" display="http://sakai.cs.mum.edu/portal/tool/3079c7b5-e5c2-4870-a2d3-e6439db9031b/discussionForum/statistics/dfStatisticsList"/>
  </hyperlinks>
  <pageMargins left="0.7" right="0.7" top="0.75" bottom="0.75" header="0.3" footer="0.3"/>
  <pageSetup orientation="portrait" r:id="rId27"/>
  <drawing r:id="rId2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18"/>
  <sheetViews>
    <sheetView tabSelected="1" topLeftCell="A85" workbookViewId="0">
      <selection activeCell="E107" sqref="E107"/>
    </sheetView>
  </sheetViews>
  <sheetFormatPr defaultRowHeight="15" x14ac:dyDescent="0.25"/>
  <cols>
    <col min="2" max="2" width="5.140625" customWidth="1"/>
    <col min="3" max="3" width="9.7109375" bestFit="1" customWidth="1"/>
    <col min="4" max="4" width="9.140625" style="1"/>
    <col min="5" max="5" width="61.5703125" customWidth="1"/>
  </cols>
  <sheetData>
    <row r="1" spans="1:5" x14ac:dyDescent="0.25">
      <c r="A1" s="10"/>
      <c r="B1" s="10"/>
      <c r="C1" s="10"/>
      <c r="D1" s="12"/>
      <c r="E1" s="10"/>
    </row>
    <row r="2" spans="1:5" ht="18.75" x14ac:dyDescent="0.3">
      <c r="A2" s="31" t="s">
        <v>11</v>
      </c>
      <c r="C2" s="10"/>
      <c r="D2" s="12"/>
      <c r="E2" s="10"/>
    </row>
    <row r="3" spans="1:5" x14ac:dyDescent="0.25">
      <c r="A3" s="10"/>
      <c r="B3" s="10"/>
      <c r="C3" s="10" t="s">
        <v>12</v>
      </c>
      <c r="D3" s="12"/>
      <c r="E3" s="10"/>
    </row>
    <row r="4" spans="1:5" x14ac:dyDescent="0.25">
      <c r="A4" s="10"/>
      <c r="B4" s="10"/>
      <c r="C4" s="10" t="s">
        <v>13</v>
      </c>
      <c r="D4" s="12"/>
      <c r="E4" s="10"/>
    </row>
    <row r="5" spans="1:5" x14ac:dyDescent="0.25">
      <c r="A5" s="10"/>
      <c r="B5" s="10"/>
      <c r="C5" s="10" t="s">
        <v>24</v>
      </c>
      <c r="D5" s="12"/>
      <c r="E5" s="10"/>
    </row>
    <row r="6" spans="1:5" x14ac:dyDescent="0.25">
      <c r="A6" s="10"/>
      <c r="B6" s="10"/>
      <c r="C6" s="57" t="s">
        <v>82</v>
      </c>
      <c r="D6" s="12"/>
      <c r="E6" s="10"/>
    </row>
    <row r="7" spans="1:5" x14ac:dyDescent="0.25">
      <c r="A7" s="10"/>
      <c r="B7" s="10"/>
      <c r="C7" s="116" t="s">
        <v>83</v>
      </c>
      <c r="D7" s="12"/>
      <c r="E7" s="10"/>
    </row>
    <row r="8" spans="1:5" x14ac:dyDescent="0.25">
      <c r="A8" s="10"/>
      <c r="B8" s="10" t="s">
        <v>84</v>
      </c>
      <c r="C8" s="10"/>
      <c r="D8" s="12"/>
      <c r="E8" s="10"/>
    </row>
    <row r="9" spans="1:5" x14ac:dyDescent="0.25">
      <c r="A9" s="10"/>
      <c r="B9" s="10"/>
      <c r="C9" s="10" t="s">
        <v>50</v>
      </c>
      <c r="D9" s="12"/>
      <c r="E9" s="10"/>
    </row>
    <row r="10" spans="1:5" x14ac:dyDescent="0.25">
      <c r="A10" s="10"/>
      <c r="B10" s="10"/>
      <c r="C10" s="10" t="s">
        <v>117</v>
      </c>
      <c r="D10" s="12"/>
      <c r="E10" s="10"/>
    </row>
    <row r="11" spans="1:5" x14ac:dyDescent="0.25">
      <c r="A11" s="10"/>
      <c r="B11" s="10"/>
      <c r="C11" s="10" t="s">
        <v>85</v>
      </c>
      <c r="D11" s="12"/>
      <c r="E11" s="10"/>
    </row>
    <row r="12" spans="1:5" x14ac:dyDescent="0.25">
      <c r="A12" s="10"/>
      <c r="B12" s="10" t="s">
        <v>91</v>
      </c>
      <c r="C12" s="10"/>
      <c r="E12" s="10"/>
    </row>
    <row r="13" spans="1:5" x14ac:dyDescent="0.25">
      <c r="A13" s="10"/>
      <c r="B13" s="10"/>
      <c r="C13" s="11" t="s">
        <v>92</v>
      </c>
      <c r="D13" s="12"/>
      <c r="E13" s="10"/>
    </row>
    <row r="14" spans="1:5" x14ac:dyDescent="0.25">
      <c r="A14" s="10"/>
      <c r="B14" s="10"/>
      <c r="C14" s="116" t="s">
        <v>93</v>
      </c>
      <c r="D14" s="12"/>
      <c r="E14" s="10"/>
    </row>
    <row r="15" spans="1:5" x14ac:dyDescent="0.25">
      <c r="A15" s="10"/>
      <c r="B15" s="10"/>
      <c r="C15" s="116" t="s">
        <v>94</v>
      </c>
      <c r="D15" s="12"/>
      <c r="E15" s="10"/>
    </row>
    <row r="16" spans="1:5" x14ac:dyDescent="0.25">
      <c r="A16" s="10"/>
      <c r="B16" s="10"/>
      <c r="C16" s="116" t="s">
        <v>95</v>
      </c>
      <c r="D16" s="12"/>
      <c r="E16" s="10"/>
    </row>
    <row r="17" spans="1:5" x14ac:dyDescent="0.25">
      <c r="A17" s="10"/>
      <c r="B17" s="10"/>
      <c r="C17" s="116" t="s">
        <v>96</v>
      </c>
      <c r="D17" s="12"/>
      <c r="E17" s="10"/>
    </row>
    <row r="18" spans="1:5" x14ac:dyDescent="0.25">
      <c r="A18" s="10"/>
      <c r="B18" s="10"/>
      <c r="C18" s="116" t="s">
        <v>97</v>
      </c>
      <c r="D18" s="12"/>
      <c r="E18" s="10"/>
    </row>
    <row r="19" spans="1:5" x14ac:dyDescent="0.25">
      <c r="A19" s="10"/>
      <c r="B19" s="10"/>
      <c r="C19" s="116" t="s">
        <v>98</v>
      </c>
      <c r="D19" s="12"/>
      <c r="E19" s="10"/>
    </row>
    <row r="20" spans="1:5" x14ac:dyDescent="0.25">
      <c r="A20" s="10"/>
      <c r="B20" s="10"/>
      <c r="C20" s="116" t="s">
        <v>99</v>
      </c>
      <c r="D20" s="12"/>
      <c r="E20" s="10"/>
    </row>
    <row r="21" spans="1:5" x14ac:dyDescent="0.25">
      <c r="A21" s="10"/>
      <c r="B21" s="10"/>
      <c r="C21" s="124" t="s">
        <v>100</v>
      </c>
      <c r="D21" s="12"/>
      <c r="E21" s="10"/>
    </row>
    <row r="22" spans="1:5" x14ac:dyDescent="0.25">
      <c r="A22" s="10"/>
      <c r="B22" s="10"/>
      <c r="C22" s="124" t="s">
        <v>112</v>
      </c>
      <c r="D22" s="12"/>
      <c r="E22" s="10"/>
    </row>
    <row r="23" spans="1:5" x14ac:dyDescent="0.25">
      <c r="A23" s="10"/>
      <c r="B23" s="10"/>
      <c r="C23" s="124"/>
      <c r="D23" s="10" t="s">
        <v>113</v>
      </c>
      <c r="E23" s="10"/>
    </row>
    <row r="24" spans="1:5" x14ac:dyDescent="0.25">
      <c r="A24" s="10"/>
      <c r="B24" s="10"/>
      <c r="C24" s="124"/>
      <c r="D24" s="11" t="s">
        <v>114</v>
      </c>
      <c r="E24" s="10"/>
    </row>
    <row r="25" spans="1:5" x14ac:dyDescent="0.25">
      <c r="A25" s="10"/>
      <c r="B25" s="10" t="s">
        <v>311</v>
      </c>
      <c r="C25" s="10"/>
      <c r="E25" s="10"/>
    </row>
    <row r="26" spans="1:5" x14ac:dyDescent="0.25">
      <c r="A26" s="10"/>
      <c r="B26" s="10"/>
      <c r="C26" s="11" t="s">
        <v>312</v>
      </c>
      <c r="D26" s="12"/>
      <c r="E26" s="10"/>
    </row>
    <row r="27" spans="1:5" x14ac:dyDescent="0.25">
      <c r="A27" s="10"/>
      <c r="B27" s="10"/>
      <c r="C27" s="124" t="s">
        <v>313</v>
      </c>
      <c r="E27" s="10"/>
    </row>
    <row r="28" spans="1:5" x14ac:dyDescent="0.25">
      <c r="A28" s="10"/>
      <c r="B28" s="10"/>
      <c r="C28" s="124" t="s">
        <v>314</v>
      </c>
      <c r="E28" s="10"/>
    </row>
    <row r="29" spans="1:5" x14ac:dyDescent="0.25">
      <c r="A29" s="10"/>
      <c r="B29" s="10"/>
      <c r="C29" s="124" t="s">
        <v>315</v>
      </c>
      <c r="E29" s="10"/>
    </row>
    <row r="30" spans="1:5" x14ac:dyDescent="0.25">
      <c r="A30" s="10"/>
      <c r="B30" s="10"/>
      <c r="C30" s="124" t="s">
        <v>316</v>
      </c>
      <c r="E30" s="10"/>
    </row>
    <row r="31" spans="1:5" x14ac:dyDescent="0.25">
      <c r="A31" s="10"/>
      <c r="B31" s="10"/>
      <c r="C31" s="124"/>
      <c r="E31" s="10"/>
    </row>
    <row r="32" spans="1:5" ht="6.75" customHeight="1" thickBot="1" x14ac:dyDescent="0.3">
      <c r="A32" s="127"/>
      <c r="B32" s="127"/>
      <c r="C32" s="127"/>
      <c r="D32" s="128"/>
      <c r="E32" s="127"/>
    </row>
    <row r="33" spans="1:5" ht="19.5" thickTop="1" x14ac:dyDescent="0.3">
      <c r="A33" s="31" t="s">
        <v>17</v>
      </c>
      <c r="C33" s="10"/>
      <c r="D33" s="12"/>
      <c r="E33" s="10"/>
    </row>
    <row r="34" spans="1:5" x14ac:dyDescent="0.25">
      <c r="A34" s="48" t="s">
        <v>125</v>
      </c>
      <c r="B34" s="151">
        <v>1</v>
      </c>
      <c r="C34" s="32">
        <v>41124</v>
      </c>
      <c r="D34" s="12" t="s">
        <v>18</v>
      </c>
      <c r="E34" s="10" t="s">
        <v>19</v>
      </c>
    </row>
    <row r="35" spans="1:5" x14ac:dyDescent="0.25">
      <c r="A35" s="10"/>
      <c r="B35" s="151"/>
      <c r="C35" s="32">
        <v>41124</v>
      </c>
      <c r="D35" s="12" t="s">
        <v>18</v>
      </c>
      <c r="E35" s="10" t="s">
        <v>20</v>
      </c>
    </row>
    <row r="36" spans="1:5" x14ac:dyDescent="0.25">
      <c r="A36" s="10"/>
      <c r="B36" s="151"/>
      <c r="C36" s="32">
        <v>41124</v>
      </c>
      <c r="D36" s="12" t="s">
        <v>18</v>
      </c>
      <c r="E36" s="10" t="s">
        <v>22</v>
      </c>
    </row>
    <row r="37" spans="1:5" x14ac:dyDescent="0.25">
      <c r="A37" s="10"/>
      <c r="B37" s="151"/>
      <c r="C37" s="32">
        <v>41125</v>
      </c>
      <c r="D37" s="12" t="s">
        <v>18</v>
      </c>
      <c r="E37" s="10" t="s">
        <v>49</v>
      </c>
    </row>
    <row r="38" spans="1:5" x14ac:dyDescent="0.25">
      <c r="A38" s="10"/>
      <c r="B38" s="151"/>
      <c r="C38" s="32">
        <v>41133</v>
      </c>
      <c r="D38" s="12" t="s">
        <v>18</v>
      </c>
      <c r="E38" s="10" t="s">
        <v>51</v>
      </c>
    </row>
    <row r="39" spans="1:5" x14ac:dyDescent="0.25">
      <c r="A39" s="10"/>
      <c r="B39" s="151"/>
      <c r="C39" s="32">
        <v>41134</v>
      </c>
      <c r="D39" s="12" t="s">
        <v>18</v>
      </c>
      <c r="E39" s="10" t="s">
        <v>53</v>
      </c>
    </row>
    <row r="40" spans="1:5" x14ac:dyDescent="0.25">
      <c r="A40" s="10"/>
      <c r="B40" s="151"/>
      <c r="C40" s="32">
        <v>41134</v>
      </c>
      <c r="D40" s="12" t="s">
        <v>18</v>
      </c>
      <c r="E40" s="10" t="s">
        <v>54</v>
      </c>
    </row>
    <row r="41" spans="1:5" x14ac:dyDescent="0.25">
      <c r="A41" s="10"/>
      <c r="B41" s="151"/>
      <c r="C41" s="32">
        <v>41134</v>
      </c>
      <c r="D41" s="12" t="s">
        <v>18</v>
      </c>
      <c r="E41" s="10" t="s">
        <v>58</v>
      </c>
    </row>
    <row r="42" spans="1:5" x14ac:dyDescent="0.25">
      <c r="A42" s="10"/>
      <c r="B42" s="151"/>
      <c r="C42" s="32">
        <v>41134</v>
      </c>
      <c r="D42" s="12" t="s">
        <v>18</v>
      </c>
      <c r="E42" s="10" t="s">
        <v>57</v>
      </c>
    </row>
    <row r="43" spans="1:5" x14ac:dyDescent="0.25">
      <c r="A43" s="10"/>
      <c r="B43" s="151"/>
      <c r="C43" s="32">
        <v>41134</v>
      </c>
      <c r="D43" s="12" t="s">
        <v>18</v>
      </c>
      <c r="E43" s="10" t="s">
        <v>59</v>
      </c>
    </row>
    <row r="44" spans="1:5" x14ac:dyDescent="0.25">
      <c r="A44" s="10"/>
      <c r="B44" s="151"/>
      <c r="C44" s="32">
        <v>41134</v>
      </c>
      <c r="D44" s="12" t="s">
        <v>18</v>
      </c>
      <c r="E44" s="10" t="s">
        <v>71</v>
      </c>
    </row>
    <row r="45" spans="1:5" x14ac:dyDescent="0.25">
      <c r="A45" s="10"/>
      <c r="B45" s="151"/>
      <c r="C45" s="32">
        <v>41135</v>
      </c>
      <c r="D45" s="12" t="s">
        <v>18</v>
      </c>
      <c r="E45" s="10" t="s">
        <v>78</v>
      </c>
    </row>
    <row r="46" spans="1:5" x14ac:dyDescent="0.25">
      <c r="A46" s="10"/>
      <c r="B46" s="151"/>
      <c r="C46" s="32">
        <v>41135</v>
      </c>
      <c r="D46" s="12" t="s">
        <v>18</v>
      </c>
      <c r="E46" s="10" t="s">
        <v>81</v>
      </c>
    </row>
    <row r="47" spans="1:5" x14ac:dyDescent="0.25">
      <c r="A47" s="10"/>
      <c r="B47" s="151"/>
      <c r="C47" s="32">
        <v>41136</v>
      </c>
      <c r="D47" s="12" t="s">
        <v>18</v>
      </c>
      <c r="E47" s="10" t="s">
        <v>86</v>
      </c>
    </row>
    <row r="48" spans="1:5" x14ac:dyDescent="0.25">
      <c r="A48" s="10"/>
      <c r="B48" s="151"/>
      <c r="C48" s="32">
        <v>41138</v>
      </c>
      <c r="D48" s="12" t="s">
        <v>18</v>
      </c>
      <c r="E48" s="10" t="s">
        <v>89</v>
      </c>
    </row>
    <row r="49" spans="1:5" x14ac:dyDescent="0.25">
      <c r="A49" s="10"/>
      <c r="B49" s="151"/>
      <c r="C49" s="32">
        <v>41141</v>
      </c>
      <c r="D49" s="12" t="s">
        <v>18</v>
      </c>
      <c r="E49" s="116" t="s">
        <v>118</v>
      </c>
    </row>
    <row r="50" spans="1:5" x14ac:dyDescent="0.25">
      <c r="A50" s="10"/>
      <c r="B50" s="151"/>
      <c r="C50" s="32">
        <v>41141</v>
      </c>
      <c r="D50" s="12" t="s">
        <v>18</v>
      </c>
      <c r="E50" s="10" t="s">
        <v>101</v>
      </c>
    </row>
    <row r="51" spans="1:5" x14ac:dyDescent="0.25">
      <c r="B51" s="151"/>
      <c r="C51" s="32">
        <v>41141</v>
      </c>
      <c r="D51" s="12" t="s">
        <v>18</v>
      </c>
      <c r="E51" s="10" t="s">
        <v>102</v>
      </c>
    </row>
    <row r="52" spans="1:5" x14ac:dyDescent="0.25">
      <c r="B52" s="151"/>
      <c r="C52" s="32">
        <v>41141</v>
      </c>
      <c r="D52" s="12" t="s">
        <v>18</v>
      </c>
      <c r="E52" s="10" t="s">
        <v>103</v>
      </c>
    </row>
    <row r="53" spans="1:5" x14ac:dyDescent="0.25">
      <c r="B53" s="151"/>
      <c r="C53" s="32">
        <v>41141</v>
      </c>
      <c r="D53" s="12" t="s">
        <v>18</v>
      </c>
      <c r="E53" s="10" t="s">
        <v>104</v>
      </c>
    </row>
    <row r="54" spans="1:5" x14ac:dyDescent="0.25">
      <c r="B54" s="151"/>
      <c r="C54" s="32">
        <v>41141</v>
      </c>
      <c r="D54" s="12" t="s">
        <v>18</v>
      </c>
      <c r="E54" s="10" t="s">
        <v>105</v>
      </c>
    </row>
    <row r="55" spans="1:5" x14ac:dyDescent="0.25">
      <c r="B55" s="151"/>
      <c r="C55" s="32">
        <v>41141</v>
      </c>
      <c r="D55" s="12" t="s">
        <v>18</v>
      </c>
      <c r="E55" s="10" t="s">
        <v>108</v>
      </c>
    </row>
    <row r="56" spans="1:5" x14ac:dyDescent="0.25">
      <c r="B56" s="151"/>
      <c r="C56" s="32">
        <v>41141</v>
      </c>
      <c r="D56" s="12" t="s">
        <v>18</v>
      </c>
      <c r="E56" s="10" t="s">
        <v>110</v>
      </c>
    </row>
    <row r="57" spans="1:5" x14ac:dyDescent="0.25">
      <c r="B57" s="151"/>
      <c r="C57" s="32">
        <v>41141</v>
      </c>
      <c r="D57" s="12" t="s">
        <v>18</v>
      </c>
      <c r="E57" s="10" t="s">
        <v>111</v>
      </c>
    </row>
    <row r="58" spans="1:5" x14ac:dyDescent="0.25">
      <c r="B58" s="151"/>
      <c r="C58" s="32">
        <v>41141</v>
      </c>
      <c r="D58" s="12" t="s">
        <v>18</v>
      </c>
      <c r="E58" s="10" t="s">
        <v>115</v>
      </c>
    </row>
    <row r="59" spans="1:5" x14ac:dyDescent="0.25">
      <c r="B59" s="151"/>
      <c r="C59" s="32">
        <v>41143</v>
      </c>
      <c r="D59" s="12" t="s">
        <v>18</v>
      </c>
      <c r="E59" s="10" t="s">
        <v>116</v>
      </c>
    </row>
    <row r="60" spans="1:5" x14ac:dyDescent="0.25">
      <c r="B60" s="151"/>
      <c r="C60" s="32">
        <v>41168</v>
      </c>
      <c r="D60" s="12" t="s">
        <v>18</v>
      </c>
      <c r="E60" s="116" t="s">
        <v>118</v>
      </c>
    </row>
    <row r="61" spans="1:5" x14ac:dyDescent="0.25">
      <c r="B61" s="151"/>
      <c r="C61" s="32">
        <v>41168</v>
      </c>
      <c r="D61" s="12" t="s">
        <v>18</v>
      </c>
      <c r="E61" s="11" t="s">
        <v>119</v>
      </c>
    </row>
    <row r="62" spans="1:5" x14ac:dyDescent="0.25">
      <c r="B62" s="151">
        <v>1.1299999999999999</v>
      </c>
      <c r="C62" s="32">
        <v>41171</v>
      </c>
      <c r="D62" s="12" t="s">
        <v>18</v>
      </c>
      <c r="E62" s="10" t="s">
        <v>124</v>
      </c>
    </row>
    <row r="63" spans="1:5" x14ac:dyDescent="0.25">
      <c r="C63" s="32">
        <v>41171</v>
      </c>
      <c r="D63" s="12" t="s">
        <v>18</v>
      </c>
      <c r="E63" s="10" t="s">
        <v>128</v>
      </c>
    </row>
    <row r="64" spans="1:5" x14ac:dyDescent="0.25">
      <c r="C64" s="32">
        <v>41188</v>
      </c>
      <c r="D64" s="12" t="s">
        <v>18</v>
      </c>
      <c r="E64" s="10" t="s">
        <v>130</v>
      </c>
    </row>
    <row r="65" spans="2:5" x14ac:dyDescent="0.25">
      <c r="C65" s="32">
        <v>41188</v>
      </c>
      <c r="D65" s="12" t="s">
        <v>18</v>
      </c>
      <c r="E65" s="10" t="s">
        <v>131</v>
      </c>
    </row>
    <row r="66" spans="2:5" x14ac:dyDescent="0.25">
      <c r="B66">
        <v>1.1399999999999999</v>
      </c>
      <c r="C66" s="32">
        <v>41188</v>
      </c>
      <c r="D66" s="12" t="s">
        <v>18</v>
      </c>
      <c r="E66" s="10" t="s">
        <v>132</v>
      </c>
    </row>
    <row r="67" spans="2:5" x14ac:dyDescent="0.25">
      <c r="C67" s="32">
        <v>41188</v>
      </c>
      <c r="D67" s="12" t="s">
        <v>18</v>
      </c>
      <c r="E67" s="10" t="s">
        <v>136</v>
      </c>
    </row>
    <row r="68" spans="2:5" x14ac:dyDescent="0.25">
      <c r="C68" s="32">
        <v>41205</v>
      </c>
      <c r="D68" s="12" t="s">
        <v>18</v>
      </c>
      <c r="E68" s="10" t="s">
        <v>137</v>
      </c>
    </row>
    <row r="69" spans="2:5" x14ac:dyDescent="0.25">
      <c r="C69" s="32">
        <v>41205</v>
      </c>
      <c r="D69" s="12" t="s">
        <v>18</v>
      </c>
      <c r="E69" s="10" t="s">
        <v>138</v>
      </c>
    </row>
    <row r="70" spans="2:5" x14ac:dyDescent="0.25">
      <c r="C70" s="32">
        <v>41250</v>
      </c>
      <c r="D70" s="12" t="s">
        <v>18</v>
      </c>
      <c r="E70" s="10" t="s">
        <v>139</v>
      </c>
    </row>
    <row r="71" spans="2:5" x14ac:dyDescent="0.25">
      <c r="C71" s="32">
        <v>41256</v>
      </c>
      <c r="D71" s="12" t="s">
        <v>18</v>
      </c>
      <c r="E71" s="10" t="s">
        <v>140</v>
      </c>
    </row>
    <row r="72" spans="2:5" x14ac:dyDescent="0.25">
      <c r="B72" s="134"/>
      <c r="C72" s="177"/>
      <c r="D72" s="178"/>
      <c r="E72" s="179" t="s">
        <v>155</v>
      </c>
    </row>
    <row r="73" spans="2:5" x14ac:dyDescent="0.25">
      <c r="C73" s="32">
        <v>41266</v>
      </c>
      <c r="D73" s="12" t="s">
        <v>18</v>
      </c>
      <c r="E73" s="10" t="s">
        <v>138</v>
      </c>
    </row>
    <row r="74" spans="2:5" x14ac:dyDescent="0.25">
      <c r="C74" s="32">
        <v>41266</v>
      </c>
      <c r="D74" s="12" t="s">
        <v>18</v>
      </c>
      <c r="E74" s="10" t="s">
        <v>143</v>
      </c>
    </row>
    <row r="75" spans="2:5" x14ac:dyDescent="0.25">
      <c r="C75" s="32"/>
      <c r="D75" s="12" t="s">
        <v>18</v>
      </c>
      <c r="E75" s="10" t="s">
        <v>145</v>
      </c>
    </row>
    <row r="76" spans="2:5" x14ac:dyDescent="0.25">
      <c r="B76">
        <v>1.1499999999999999</v>
      </c>
      <c r="C76" s="32">
        <v>41269</v>
      </c>
      <c r="D76" s="12" t="s">
        <v>18</v>
      </c>
      <c r="E76" s="10" t="s">
        <v>148</v>
      </c>
    </row>
    <row r="77" spans="2:5" x14ac:dyDescent="0.25">
      <c r="C77" s="32">
        <v>41269</v>
      </c>
      <c r="D77" s="12" t="s">
        <v>18</v>
      </c>
      <c r="E77" s="10" t="s">
        <v>149</v>
      </c>
    </row>
    <row r="78" spans="2:5" x14ac:dyDescent="0.25">
      <c r="C78" s="32">
        <v>41269</v>
      </c>
      <c r="D78" s="12" t="s">
        <v>18</v>
      </c>
      <c r="E78" s="10" t="s">
        <v>151</v>
      </c>
    </row>
    <row r="79" spans="2:5" x14ac:dyDescent="0.25">
      <c r="C79" s="32">
        <v>41269</v>
      </c>
      <c r="D79" s="12" t="s">
        <v>18</v>
      </c>
      <c r="E79" s="10" t="s">
        <v>153</v>
      </c>
    </row>
    <row r="80" spans="2:5" x14ac:dyDescent="0.25">
      <c r="C80" s="32">
        <v>41269</v>
      </c>
      <c r="D80" s="12" t="s">
        <v>18</v>
      </c>
      <c r="E80" s="10" t="s">
        <v>189</v>
      </c>
    </row>
    <row r="81" spans="2:5" x14ac:dyDescent="0.25">
      <c r="C81" s="32">
        <v>41269</v>
      </c>
      <c r="D81" s="12" t="s">
        <v>18</v>
      </c>
      <c r="E81" s="10" t="s">
        <v>160</v>
      </c>
    </row>
    <row r="82" spans="2:5" x14ac:dyDescent="0.25">
      <c r="B82">
        <v>1.1599999999999999</v>
      </c>
      <c r="C82" s="32">
        <v>41271</v>
      </c>
      <c r="D82" s="12" t="s">
        <v>18</v>
      </c>
      <c r="E82" s="10" t="s">
        <v>188</v>
      </c>
    </row>
    <row r="83" spans="2:5" x14ac:dyDescent="0.25">
      <c r="B83" s="349">
        <v>2</v>
      </c>
      <c r="C83" s="32">
        <v>40910</v>
      </c>
      <c r="D83" s="12" t="s">
        <v>18</v>
      </c>
      <c r="E83" s="10" t="s">
        <v>190</v>
      </c>
    </row>
    <row r="84" spans="2:5" x14ac:dyDescent="0.25">
      <c r="C84" s="32">
        <v>40910</v>
      </c>
      <c r="D84" s="12" t="s">
        <v>18</v>
      </c>
      <c r="E84" s="10" t="s">
        <v>191</v>
      </c>
    </row>
    <row r="85" spans="2:5" x14ac:dyDescent="0.25">
      <c r="C85" s="32">
        <v>40910</v>
      </c>
      <c r="D85" s="12" t="s">
        <v>18</v>
      </c>
      <c r="E85" s="10" t="s">
        <v>192</v>
      </c>
    </row>
    <row r="86" spans="2:5" x14ac:dyDescent="0.25">
      <c r="C86" s="32">
        <v>40910</v>
      </c>
      <c r="D86" s="12" t="s">
        <v>18</v>
      </c>
      <c r="E86" s="10" t="s">
        <v>193</v>
      </c>
    </row>
    <row r="87" spans="2:5" ht="5.25" customHeight="1" x14ac:dyDescent="0.25">
      <c r="B87" s="4"/>
      <c r="C87" s="303"/>
      <c r="D87" s="38"/>
      <c r="E87" s="4"/>
    </row>
    <row r="88" spans="2:5" x14ac:dyDescent="0.25">
      <c r="B88">
        <v>2.11</v>
      </c>
      <c r="C88" s="32">
        <v>41319</v>
      </c>
      <c r="D88" s="12" t="s">
        <v>18</v>
      </c>
      <c r="E88" s="10" t="s">
        <v>236</v>
      </c>
    </row>
    <row r="89" spans="2:5" x14ac:dyDescent="0.25">
      <c r="C89" s="32"/>
      <c r="D89" s="12"/>
      <c r="E89" s="10" t="s">
        <v>239</v>
      </c>
    </row>
    <row r="90" spans="2:5" x14ac:dyDescent="0.25">
      <c r="B90">
        <v>2.12</v>
      </c>
      <c r="C90" s="32">
        <v>41320</v>
      </c>
      <c r="D90" s="12" t="s">
        <v>18</v>
      </c>
      <c r="E90" s="10" t="s">
        <v>245</v>
      </c>
    </row>
    <row r="91" spans="2:5" x14ac:dyDescent="0.25">
      <c r="B91">
        <v>2.13</v>
      </c>
      <c r="C91" s="32">
        <v>41320</v>
      </c>
      <c r="D91" s="12" t="s">
        <v>18</v>
      </c>
      <c r="E91" s="10" t="s">
        <v>246</v>
      </c>
    </row>
    <row r="92" spans="2:5" x14ac:dyDescent="0.25">
      <c r="C92" s="32">
        <v>41320</v>
      </c>
      <c r="D92" s="12" t="s">
        <v>18</v>
      </c>
      <c r="E92" s="10" t="s">
        <v>244</v>
      </c>
    </row>
    <row r="93" spans="2:5" x14ac:dyDescent="0.25">
      <c r="B93">
        <v>2.14</v>
      </c>
      <c r="C93" s="32">
        <v>41412</v>
      </c>
      <c r="D93" s="12" t="s">
        <v>18</v>
      </c>
      <c r="E93" s="10" t="s">
        <v>247</v>
      </c>
    </row>
    <row r="94" spans="2:5" x14ac:dyDescent="0.25">
      <c r="B94" t="s">
        <v>299</v>
      </c>
      <c r="C94" s="32">
        <v>41520</v>
      </c>
      <c r="D94" s="12" t="s">
        <v>18</v>
      </c>
      <c r="E94" s="10" t="s">
        <v>298</v>
      </c>
    </row>
    <row r="95" spans="2:5" x14ac:dyDescent="0.25">
      <c r="C95" s="32">
        <v>41520</v>
      </c>
      <c r="D95" s="12" t="s">
        <v>18</v>
      </c>
      <c r="E95" s="10" t="s">
        <v>300</v>
      </c>
    </row>
    <row r="96" spans="2:5" x14ac:dyDescent="0.25">
      <c r="C96" s="32">
        <v>41520</v>
      </c>
      <c r="D96" s="12" t="s">
        <v>18</v>
      </c>
      <c r="E96" s="10" t="s">
        <v>301</v>
      </c>
    </row>
    <row r="97" spans="1:5" x14ac:dyDescent="0.25">
      <c r="C97" s="32">
        <v>41520</v>
      </c>
      <c r="D97" s="12" t="s">
        <v>18</v>
      </c>
      <c r="E97" s="10" t="s">
        <v>302</v>
      </c>
    </row>
    <row r="98" spans="1:5" x14ac:dyDescent="0.25">
      <c r="C98" s="32">
        <v>41520</v>
      </c>
      <c r="D98" s="12" t="s">
        <v>18</v>
      </c>
      <c r="E98" s="10" t="s">
        <v>304</v>
      </c>
    </row>
    <row r="99" spans="1:5" x14ac:dyDescent="0.25">
      <c r="C99" s="32">
        <v>41520</v>
      </c>
      <c r="D99" s="12" t="s">
        <v>18</v>
      </c>
      <c r="E99" s="10" t="s">
        <v>305</v>
      </c>
    </row>
    <row r="100" spans="1:5" x14ac:dyDescent="0.25">
      <c r="B100" t="s">
        <v>307</v>
      </c>
      <c r="C100" s="32">
        <v>41520</v>
      </c>
      <c r="D100" s="12" t="s">
        <v>18</v>
      </c>
      <c r="E100" s="10" t="s">
        <v>306</v>
      </c>
    </row>
    <row r="101" spans="1:5" x14ac:dyDescent="0.25">
      <c r="C101" s="32">
        <v>41520</v>
      </c>
      <c r="D101" s="12" t="s">
        <v>18</v>
      </c>
      <c r="E101" s="10" t="s">
        <v>308</v>
      </c>
    </row>
    <row r="102" spans="1:5" x14ac:dyDescent="0.25">
      <c r="C102" s="32"/>
      <c r="E102" s="10" t="s">
        <v>309</v>
      </c>
    </row>
    <row r="103" spans="1:5" x14ac:dyDescent="0.25">
      <c r="C103" s="32">
        <v>41789</v>
      </c>
      <c r="D103" s="1" t="s">
        <v>18</v>
      </c>
      <c r="E103" s="10" t="s">
        <v>317</v>
      </c>
    </row>
    <row r="104" spans="1:5" x14ac:dyDescent="0.25">
      <c r="B104" t="s">
        <v>425</v>
      </c>
      <c r="C104" s="32">
        <v>41793</v>
      </c>
      <c r="D104" s="1" t="s">
        <v>18</v>
      </c>
      <c r="E104" s="10" t="s">
        <v>429</v>
      </c>
    </row>
    <row r="105" spans="1:5" x14ac:dyDescent="0.25">
      <c r="C105" s="32"/>
      <c r="D105" s="1" t="s">
        <v>18</v>
      </c>
      <c r="E105" s="10" t="s">
        <v>426</v>
      </c>
    </row>
    <row r="106" spans="1:5" x14ac:dyDescent="0.25">
      <c r="B106">
        <v>2.15</v>
      </c>
      <c r="C106" s="32">
        <v>42010</v>
      </c>
      <c r="D106" s="1" t="s">
        <v>430</v>
      </c>
      <c r="E106" s="10" t="s">
        <v>431</v>
      </c>
    </row>
    <row r="107" spans="1:5" x14ac:dyDescent="0.25">
      <c r="C107" s="32"/>
      <c r="D107" s="1" t="s">
        <v>430</v>
      </c>
      <c r="E107" s="10" t="s">
        <v>432</v>
      </c>
    </row>
    <row r="108" spans="1:5" x14ac:dyDescent="0.25">
      <c r="C108" s="32"/>
      <c r="E108" s="10"/>
    </row>
    <row r="109" spans="1:5" x14ac:dyDescent="0.25">
      <c r="C109" s="32"/>
      <c r="E109" s="10"/>
    </row>
    <row r="110" spans="1:5" x14ac:dyDescent="0.25">
      <c r="E110" s="10"/>
    </row>
    <row r="111" spans="1:5" ht="6.75" customHeight="1" thickBot="1" x14ac:dyDescent="0.3">
      <c r="A111" s="127"/>
      <c r="B111" s="127"/>
      <c r="C111" s="127"/>
      <c r="D111" s="128"/>
      <c r="E111" s="127"/>
    </row>
    <row r="112" spans="1:5" ht="63.75" customHeight="1" thickTop="1" x14ac:dyDescent="0.25">
      <c r="A112" s="354" t="s">
        <v>123</v>
      </c>
      <c r="E112" s="351" t="s">
        <v>310</v>
      </c>
    </row>
    <row r="113" spans="5:5" ht="48.75" customHeight="1" x14ac:dyDescent="0.25">
      <c r="E113" s="352" t="s">
        <v>156</v>
      </c>
    </row>
    <row r="114" spans="5:5" ht="34.5" customHeight="1" x14ac:dyDescent="0.25">
      <c r="E114" s="352" t="s">
        <v>154</v>
      </c>
    </row>
    <row r="115" spans="5:5" ht="26.25" customHeight="1" x14ac:dyDescent="0.25">
      <c r="E115" s="352" t="s">
        <v>157</v>
      </c>
    </row>
    <row r="116" spans="5:5" x14ac:dyDescent="0.25">
      <c r="E116" s="353"/>
    </row>
    <row r="117" spans="5:5" x14ac:dyDescent="0.25">
      <c r="E117" s="353"/>
    </row>
    <row r="118" spans="5:5" x14ac:dyDescent="0.25">
      <c r="E118" s="35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47"/>
  <sheetViews>
    <sheetView workbookViewId="0">
      <selection activeCell="C47" sqref="C47"/>
    </sheetView>
  </sheetViews>
  <sheetFormatPr defaultRowHeight="15" x14ac:dyDescent="0.25"/>
  <sheetData>
    <row r="1" spans="1:1" ht="18.75" x14ac:dyDescent="0.3">
      <c r="A1" s="9" t="s">
        <v>27</v>
      </c>
    </row>
    <row r="2" spans="1:1" ht="18.75" x14ac:dyDescent="0.3">
      <c r="A2" s="9"/>
    </row>
    <row r="3" spans="1:1" ht="18.75" x14ac:dyDescent="0.3">
      <c r="A3" s="9"/>
    </row>
    <row r="4" spans="1:1" ht="18.75" x14ac:dyDescent="0.3">
      <c r="A4" s="9"/>
    </row>
    <row r="5" spans="1:1" ht="18.75" x14ac:dyDescent="0.3">
      <c r="A5" s="9"/>
    </row>
    <row r="6" spans="1:1" ht="18.75" x14ac:dyDescent="0.3">
      <c r="A6" s="9"/>
    </row>
    <row r="7" spans="1:1" ht="18.75" x14ac:dyDescent="0.3">
      <c r="A7" s="9"/>
    </row>
    <row r="8" spans="1:1" ht="18.75" x14ac:dyDescent="0.3">
      <c r="A8" s="9"/>
    </row>
    <row r="9" spans="1:1" ht="18.75" x14ac:dyDescent="0.3">
      <c r="A9" s="9"/>
    </row>
    <row r="10" spans="1:1" ht="18.75" x14ac:dyDescent="0.3">
      <c r="A10" s="9"/>
    </row>
    <row r="11" spans="1:1" ht="18.75" x14ac:dyDescent="0.3">
      <c r="A11" s="9"/>
    </row>
    <row r="46" spans="3:3" x14ac:dyDescent="0.25">
      <c r="C46" t="s">
        <v>79</v>
      </c>
    </row>
    <row r="47" spans="3:3" x14ac:dyDescent="0.25">
      <c r="C47" s="116" t="s">
        <v>83</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9"/>
  <sheetViews>
    <sheetView workbookViewId="0">
      <selection activeCell="D11" sqref="D11"/>
    </sheetView>
  </sheetViews>
  <sheetFormatPr defaultRowHeight="15" x14ac:dyDescent="0.25"/>
  <cols>
    <col min="1" max="1" width="7" customWidth="1"/>
    <col min="2" max="2" width="30.7109375" customWidth="1"/>
    <col min="3" max="3" width="13.7109375" customWidth="1"/>
  </cols>
  <sheetData>
    <row r="1" spans="1:2" x14ac:dyDescent="0.25">
      <c r="A1" s="348" t="s">
        <v>297</v>
      </c>
      <c r="B1" s="10"/>
    </row>
    <row r="2" spans="1:2" x14ac:dyDescent="0.25">
      <c r="A2" s="348"/>
      <c r="B2" s="10"/>
    </row>
    <row r="3" spans="1:2" x14ac:dyDescent="0.25">
      <c r="A3" s="10"/>
      <c r="B3" s="29" t="s">
        <v>61</v>
      </c>
    </row>
    <row r="4" spans="1:2" ht="3" customHeight="1" x14ac:dyDescent="0.25">
      <c r="A4" s="10"/>
      <c r="B4" s="88"/>
    </row>
    <row r="5" spans="1:2" x14ac:dyDescent="0.25">
      <c r="A5" s="10"/>
      <c r="B5" s="10" t="str">
        <f t="array" ref="B5">INDEX(data name, MATCH(0, COUNTIF($B$4:B4, (data name)&amp;""), 0))</f>
        <v>Khosla, Shruti</v>
      </c>
    </row>
    <row r="6" spans="1:2" x14ac:dyDescent="0.25">
      <c r="A6" s="10"/>
      <c r="B6" s="10" t="str">
        <f t="array" ref="B6">INDEX(data name, MATCH(0, COUNTIF($B$4:B5, (data name)&amp;""), 0))</f>
        <v>Shrestha, Subas Chandra</v>
      </c>
    </row>
    <row r="7" spans="1:2" x14ac:dyDescent="0.25">
      <c r="A7" s="10"/>
      <c r="B7" s="10" t="str">
        <f t="array" ref="B7">INDEX(data name, MATCH(0, COUNTIF($B$4:B6, (data name)&amp;""), 0))</f>
        <v>Saclot, Louel Albert</v>
      </c>
    </row>
    <row r="8" spans="1:2" x14ac:dyDescent="0.25">
      <c r="A8" s="10"/>
      <c r="B8" s="10" t="str">
        <f t="array" ref="B8">INDEX(data name, MATCH(0, COUNTIF($B$4:B7, (data name)&amp;""), 0))</f>
        <v>Yasin, Waleed</v>
      </c>
    </row>
    <row r="9" spans="1:2" x14ac:dyDescent="0.25">
      <c r="A9" s="10"/>
      <c r="B9" s="10" t="str">
        <f t="array" ref="B9">INDEX(data name, MATCH(0, COUNTIF($B$4:B8, (data name)&amp;""), 0))</f>
        <v>Rabadi, Tareq</v>
      </c>
    </row>
    <row r="10" spans="1:2" x14ac:dyDescent="0.25">
      <c r="A10" s="10"/>
      <c r="B10" s="10" t="str">
        <f t="array" ref="B10">INDEX(data name, MATCH(0, COUNTIF($B$4:B9, (data name)&amp;""), 0))</f>
        <v>Khuangan, Yernar</v>
      </c>
    </row>
    <row r="11" spans="1:2" x14ac:dyDescent="0.25">
      <c r="A11" s="10"/>
      <c r="B11" s="10" t="str">
        <f t="array" ref="B11">INDEX(data name, MATCH(0, COUNTIF($B$4:B10, (data name)&amp;""), 0))</f>
        <v>Malkawe, Akram</v>
      </c>
    </row>
    <row r="12" spans="1:2" x14ac:dyDescent="0.25">
      <c r="A12" s="10"/>
      <c r="B12" s="10" t="str">
        <f t="array" ref="B12">INDEX(data name, MATCH(0, COUNTIF($B$4:B11, (data name)&amp;""), 0))</f>
        <v>Amin, Abdullah Mohamed Ahmed</v>
      </c>
    </row>
    <row r="13" spans="1:2" x14ac:dyDescent="0.25">
      <c r="A13" s="10"/>
      <c r="B13" s="10" t="str">
        <f t="array" ref="B13">INDEX(data name, MATCH(0, COUNTIF($B$4:B12, (data name)&amp;""), 0))</f>
        <v>Ibrahim, Amro Reda F.</v>
      </c>
    </row>
    <row r="14" spans="1:2" x14ac:dyDescent="0.25">
      <c r="A14" s="10"/>
      <c r="B14" s="10" t="str">
        <f t="array" ref="B14">INDEX(data name, MATCH(0, COUNTIF($B$4:B13, (data name)&amp;""), 0))</f>
        <v>Yang, Zheng</v>
      </c>
    </row>
    <row r="15" spans="1:2" x14ac:dyDescent="0.25">
      <c r="A15" s="10"/>
      <c r="B15" s="10" t="str">
        <f t="array" ref="B15">INDEX(data name, MATCH(0, COUNTIF($B$4:B14, (data name)&amp;""), 0))</f>
        <v>Kouotou Mefire, Ibrahim</v>
      </c>
    </row>
    <row r="18" spans="2:3" x14ac:dyDescent="0.25">
      <c r="B18" s="29" t="s">
        <v>208</v>
      </c>
      <c r="C18" s="29" t="s">
        <v>3</v>
      </c>
    </row>
    <row r="19" spans="2:3" ht="5.25" customHeight="1" x14ac:dyDescent="0.25">
      <c r="B19" s="88"/>
      <c r="C19" s="8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100</vt:i4>
      </vt:variant>
    </vt:vector>
  </HeadingPairs>
  <TitlesOfParts>
    <vt:vector size="116" baseType="lpstr">
      <vt:lpstr>Summary</vt:lpstr>
      <vt:lpstr>Status</vt:lpstr>
      <vt:lpstr>Summary-Forum</vt:lpstr>
      <vt:lpstr>Summary-Visits</vt:lpstr>
      <vt:lpstr>Data-Submits</vt:lpstr>
      <vt:lpstr>Data-Assigns</vt:lpstr>
      <vt:lpstr>Data-Forums</vt:lpstr>
      <vt:lpstr>Data-Faculty</vt:lpstr>
      <vt:lpstr>Data-SiteVisits</vt:lpstr>
      <vt:lpstr>Submissions</vt:lpstr>
      <vt:lpstr>Assignments</vt:lpstr>
      <vt:lpstr>Roster</vt:lpstr>
      <vt:lpstr>Forum Statistics</vt:lpstr>
      <vt:lpstr>Notes</vt:lpstr>
      <vt:lpstr>Reports</vt:lpstr>
      <vt:lpstr>Data</vt:lpstr>
      <vt:lpstr>a1Total</vt:lpstr>
      <vt:lpstr>a2Total</vt:lpstr>
      <vt:lpstr>a3Total</vt:lpstr>
      <vt:lpstr>a4Total</vt:lpstr>
      <vt:lpstr>aMax</vt:lpstr>
      <vt:lpstr>'Data-Assigns'!AsgnData</vt:lpstr>
      <vt:lpstr>'Data-Assigns'!AsgnHdRows</vt:lpstr>
      <vt:lpstr>Assignments!AsgnNames</vt:lpstr>
      <vt:lpstr>'Data-Assigns'!asnData</vt:lpstr>
      <vt:lpstr>'Data-Assigns'!asnNames</vt:lpstr>
      <vt:lpstr>Submissions!asnNames</vt:lpstr>
      <vt:lpstr>asnRep</vt:lpstr>
      <vt:lpstr>Submissions!assign</vt:lpstr>
      <vt:lpstr>AssignData</vt:lpstr>
      <vt:lpstr>count</vt:lpstr>
      <vt:lpstr>CourseEnd</vt:lpstr>
      <vt:lpstr>CourseName</vt:lpstr>
      <vt:lpstr>CourseStart</vt:lpstr>
      <vt:lpstr>cTotal</vt:lpstr>
      <vt:lpstr>Assignments!Data</vt:lpstr>
      <vt:lpstr>'Data-Assigns'!Data</vt:lpstr>
      <vt:lpstr>'Data-Forums'!data</vt:lpstr>
      <vt:lpstr>'Data-SiteVisits'!Data</vt:lpstr>
      <vt:lpstr>Submissions!Data</vt:lpstr>
      <vt:lpstr>data</vt:lpstr>
      <vt:lpstr>Assignments!Data_Update</vt:lpstr>
      <vt:lpstr>'Data-Assigns'!Data_Update</vt:lpstr>
      <vt:lpstr>Submissions!Data_Update</vt:lpstr>
      <vt:lpstr>'Data-Forums'!date</vt:lpstr>
      <vt:lpstr>date</vt:lpstr>
      <vt:lpstr>Event</vt:lpstr>
      <vt:lpstr>'Summary-Forum'!Extract</vt:lpstr>
      <vt:lpstr>facCount</vt:lpstr>
      <vt:lpstr>facData</vt:lpstr>
      <vt:lpstr>facEvent</vt:lpstr>
      <vt:lpstr>'Data-Faculty'!FacultyUpdate</vt:lpstr>
      <vt:lpstr>facWeek</vt:lpstr>
      <vt:lpstr>'Data-Faculty'!fCols</vt:lpstr>
      <vt:lpstr>fCount</vt:lpstr>
      <vt:lpstr>Assignments!fData</vt:lpstr>
      <vt:lpstr>'Data-Faculty'!fData</vt:lpstr>
      <vt:lpstr>'Data-Forums'!fData</vt:lpstr>
      <vt:lpstr>Submissions!fData</vt:lpstr>
      <vt:lpstr>ForumData</vt:lpstr>
      <vt:lpstr>ForumsUpdate</vt:lpstr>
      <vt:lpstr>fTot</vt:lpstr>
      <vt:lpstr>fWeek</vt:lpstr>
      <vt:lpstr>fweeks</vt:lpstr>
      <vt:lpstr>Submissions!grade</vt:lpstr>
      <vt:lpstr>id</vt:lpstr>
      <vt:lpstr>Status!name</vt:lpstr>
      <vt:lpstr>Submissions!name</vt:lpstr>
      <vt:lpstr>name</vt:lpstr>
      <vt:lpstr>'Data-Assigns'!names</vt:lpstr>
      <vt:lpstr>Submissions!names</vt:lpstr>
      <vt:lpstr>namez</vt:lpstr>
      <vt:lpstr>qName</vt:lpstr>
      <vt:lpstr>qType</vt:lpstr>
      <vt:lpstr>Roster!rCols</vt:lpstr>
      <vt:lpstr>rCount</vt:lpstr>
      <vt:lpstr>Roster!rData</vt:lpstr>
      <vt:lpstr>'Data-SiteVisits'!rename</vt:lpstr>
      <vt:lpstr>Report_Date</vt:lpstr>
      <vt:lpstr>ReportWeeks</vt:lpstr>
      <vt:lpstr>rName</vt:lpstr>
      <vt:lpstr>rosterUpdate</vt:lpstr>
      <vt:lpstr>scount</vt:lpstr>
      <vt:lpstr>sData</vt:lpstr>
      <vt:lpstr>sfLabels</vt:lpstr>
      <vt:lpstr>sfName</vt:lpstr>
      <vt:lpstr>'Data-Submits'!sName</vt:lpstr>
      <vt:lpstr>'Summary-Visits'!sName</vt:lpstr>
      <vt:lpstr>sname</vt:lpstr>
      <vt:lpstr>sNames</vt:lpstr>
      <vt:lpstr>start</vt:lpstr>
      <vt:lpstr>StatCount</vt:lpstr>
      <vt:lpstr>Status</vt:lpstr>
      <vt:lpstr>StatusCols</vt:lpstr>
      <vt:lpstr>statusData</vt:lpstr>
      <vt:lpstr>sTot</vt:lpstr>
      <vt:lpstr>Submissions!subDate</vt:lpstr>
      <vt:lpstr>subName</vt:lpstr>
      <vt:lpstr>svWeek</vt:lpstr>
      <vt:lpstr>svWeeks</vt:lpstr>
      <vt:lpstr>'Data-Submits'!sWeek</vt:lpstr>
      <vt:lpstr>Submissions!sWeek</vt:lpstr>
      <vt:lpstr>sweek</vt:lpstr>
      <vt:lpstr>test</vt:lpstr>
      <vt:lpstr>Total</vt:lpstr>
      <vt:lpstr>type</vt:lpstr>
      <vt:lpstr>'Data-SiteVisits'!vCols</vt:lpstr>
      <vt:lpstr>vCount</vt:lpstr>
      <vt:lpstr>vdata</vt:lpstr>
      <vt:lpstr>VisitData</vt:lpstr>
      <vt:lpstr>VisitsUpdate</vt:lpstr>
      <vt:lpstr>vName</vt:lpstr>
      <vt:lpstr>vNames</vt:lpstr>
      <vt:lpstr>vWeek</vt:lpstr>
      <vt:lpstr>week</vt:lpstr>
      <vt:lpstr>when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guthrie</dc:creator>
  <cp:lastModifiedBy>Sergio Muriel</cp:lastModifiedBy>
  <cp:lastPrinted>2013-09-04T01:48:16Z</cp:lastPrinted>
  <dcterms:created xsi:type="dcterms:W3CDTF">2012-07-01T03:11:05Z</dcterms:created>
  <dcterms:modified xsi:type="dcterms:W3CDTF">2015-04-10T16:49:22Z</dcterms:modified>
</cp:coreProperties>
</file>